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Read Me" sheetId="1" state="visible" r:id="rId3"/>
    <sheet name="TOR Register" sheetId="2" state="visible" r:id="rId4"/>
    <sheet name="Monthly Log" sheetId="3" state="visible" r:id="rId5"/>
    <sheet name="Deliverables &amp; RACI" sheetId="4" state="visible" r:id="rId6"/>
    <sheet name="Risks &amp; Issues" sheetId="5" state="visible" r:id="rId7"/>
    <sheet name="Dashboard" sheetId="6" state="visible" r:id="rId8"/>
    <sheet name="Charts" sheetId="7" state="visible" r:id="rId9"/>
    <sheet name="Lists" sheetId="8" state="visible" r:id="rId10"/>
  </sheets>
  <definedNames>
    <definedName function="false" hidden="true" localSheetId="3" name="_xlnm._FilterDatabase" vbProcedure="false">'Deliverables &amp; RACI'!$A$3:$J$203</definedName>
    <definedName function="false" hidden="true" localSheetId="2" name="_xlnm._FilterDatabase" vbProcedure="false">'Monthly Log'!$A$3:$O$303</definedName>
    <definedName function="false" hidden="true" localSheetId="4" name="_xlnm._FilterDatabase" vbProcedure="false">'Risks &amp; Issues'!$A$3:$M$203</definedName>
    <definedName function="false" hidden="true" localSheetId="1" name="_xlnm._FilterDatabase" vbProcedure="false">'TOR Register'!$A$3:$N$43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<sst xmlns="http://schemas.openxmlformats.org/spreadsheetml/2006/main" count="695" uniqueCount="425">
  <si>
    <t xml:space="preserve">  Project Strategy TOR Dashboard - monthly team pack</t>
  </si>
  <si>
    <t xml:space="preserve">  Tracks delivery against what each project's Terms of Reference committed to. One reporting cycle per month.</t>
  </si>
  <si>
    <t xml:space="preserve">What this workbook is for</t>
  </si>
  <si>
    <t xml:space="preserve">A single monthly pack the team can walk through in a governance or SteerCo meeting. Every metric answers one question: is this project still delivering what its Terms of Reference said it would, for the money and by the dates the TOR approved?</t>
  </si>
  <si>
    <t xml:space="preserve">The monthly cycle - five steps</t>
  </si>
  <si>
    <t xml:space="preserve">1.  Update registers</t>
  </si>
  <si>
    <t xml:space="preserve">Add or update rows on 'Deliverables &amp; RACI' and 'Risks &amp; Issues' as things change during the month.</t>
  </si>
  <si>
    <t xml:space="preserve">2.  Add the month's rows</t>
  </si>
  <si>
    <t xml:space="preserve">On 'Monthly Log', add one row per active project for the new month. Copy the previous month's block down and update the numbers. All figures are CUMULATIVE TO DATE, not in-month.</t>
  </si>
  <si>
    <t xml:space="preserve">3.  Copy the live counts</t>
  </si>
  <si>
    <t xml:space="preserve">Copy Open Risks and High Risks from 'Risks &amp; Issues', and RACI Gaps from 'Deliverables &amp; RACI', into the month's row. Both sheets show these per project at the top right. Freezing them into the log is what gives the trend charts their history - the registers only ever show today.</t>
  </si>
  <si>
    <t xml:space="preserve">4.  Set the reporting month</t>
  </si>
  <si>
    <t xml:space="preserve">On 'Dashboard', set the reporting month in cell C4. Everything else recalculates.</t>
  </si>
  <si>
    <t xml:space="preserve">5.  Review and present</t>
  </si>
  <si>
    <t xml:space="preserve">Walk the Dashboard exception table, then 'Charts' for the trend. Red and Amber rows are the agenda.</t>
  </si>
  <si>
    <t xml:space="preserve">Tab guide</t>
  </si>
  <si>
    <t xml:space="preserve">Read Me</t>
  </si>
  <si>
    <t xml:space="preserve">This page.</t>
  </si>
  <si>
    <t xml:space="preserve">TOR Register</t>
  </si>
  <si>
    <t xml:space="preserve">The baseline. One row per project holding what the signed TOR committed to: objective, scope boundaries, dates, approved budget, planned milestone and deliverable counts. Change this only through an approved change request.</t>
  </si>
  <si>
    <t xml:space="preserve">Monthly Log</t>
  </si>
  <si>
    <t xml:space="preserve">The data entry surface. One row per project per month, cumulative to date. This is the only sheet that needs touching in a normal month.</t>
  </si>
  <si>
    <t xml:space="preserve">Deliverables &amp; RACI</t>
  </si>
  <si>
    <t xml:space="preserve">Deliverable-level register mapped back to TOR clauses, with Responsible / Accountable / Consulted / Informed. A blank Accountable is a governance gap and is counted for you.</t>
  </si>
  <si>
    <t xml:space="preserve">Risks &amp; Issues</t>
  </si>
  <si>
    <t xml:space="preserve">Risk and issue register with likelihood x impact scoring and live counts per project.</t>
  </si>
  <si>
    <t xml:space="preserve">Dashboard</t>
  </si>
  <si>
    <t xml:space="preserve">The monthly view. Portfolio tiles, then a per-project table with a calculated RAG.</t>
  </si>
  <si>
    <t xml:space="preserve">Charts</t>
  </si>
  <si>
    <t xml:space="preserve">Six-plus month trend for the portfolio, plus per-project comparison charts.</t>
  </si>
  <si>
    <t xml:space="preserve">Lists</t>
  </si>
  <si>
    <t xml:space="preserve">Dropdown values. Extend here if the team uses different status wording.</t>
  </si>
  <si>
    <t xml:space="preserve">How each metric is defined</t>
  </si>
  <si>
    <t xml:space="preserve">Scope adherence %</t>
  </si>
  <si>
    <t xml:space="preserve">Deliverables accepted to date / deliverables due to date. Measures whether the TOR's promised outputs are actually landing and being accepted, not just started.</t>
  </si>
  <si>
    <t xml:space="preserve">Milestone hit rate %</t>
  </si>
  <si>
    <t xml:space="preserve">Milestones achieved to date / milestones planned to date. Schedule health against the TOR baseline.</t>
  </si>
  <si>
    <t xml:space="preserve">Budget used %</t>
  </si>
  <si>
    <t xml:space="preserve">Spend to date / TOR-approved budget. Over 100% means the project has spent past what the TOR authorised, regardless of how much work remains.</t>
  </si>
  <si>
    <t xml:space="preserve">Budget variance</t>
  </si>
  <si>
    <t xml:space="preserve">TOR-approved budget less spend to date. Negative means overspent.</t>
  </si>
  <si>
    <t xml:space="preserve">Approved scope changes</t>
  </si>
  <si>
    <t xml:space="preserve">Cumulative change requests approved. A rising count with a flat budget is the classic TOR drift signal - scope grew, funding did not.</t>
  </si>
  <si>
    <t xml:space="preserve">RACI gaps</t>
  </si>
  <si>
    <t xml:space="preserve">Deliverables with no accountable owner named. Any number above zero is a governance finding, not a delivery one.</t>
  </si>
  <si>
    <t xml:space="preserve">Calculated RAG</t>
  </si>
  <si>
    <t xml:space="preserve">Computed objectively from the thresholds in Dashboard C10:C14, so it cannot be talked up or down. Shown next to the PM's own RAG - a disagreement between the two is itself worth discussing.</t>
  </si>
  <si>
    <t xml:space="preserve">Colour legend</t>
  </si>
  <si>
    <t xml:space="preserve">Blue text</t>
  </si>
  <si>
    <t xml:space="preserve">A number or value you type in. Safe to edit.</t>
  </si>
  <si>
    <t xml:space="preserve">Yellow fill</t>
  </si>
  <si>
    <t xml:space="preserve">Key input you are expected to set - reporting month and RAG thresholds.</t>
  </si>
  <si>
    <t xml:space="preserve">Black text</t>
  </si>
  <si>
    <t xml:space="preserve">Formula calculated on that sheet. Do not overwrite.</t>
  </si>
  <si>
    <t xml:space="preserve">Green text</t>
  </si>
  <si>
    <t xml:space="preserve">Value pulled from another sheet. Do not overwrite.</t>
  </si>
  <si>
    <t xml:space="preserve">Capacity and assumptions</t>
  </si>
  <si>
    <t xml:space="preserve">Row capacity</t>
  </si>
  <si>
    <t xml:space="preserve">TOR Register 40 projects; Monthly Log 300 rows (that is 25 projects for 12 months); Deliverables and Risks 200 rows each. Formulas already cover every row in those ranges - just type into the next empty row.</t>
  </si>
  <si>
    <t xml:space="preserve">Month format</t>
  </si>
  <si>
    <t xml:space="preserve">Always enter the FIRST DAY of the month (e.g. 2026-09-01). The Dashboard matches on the exact date, so a mid-month date will not be picked up.</t>
  </si>
  <si>
    <t xml:space="preserve">Example data</t>
  </si>
  <si>
    <t xml:space="preserve">The workbook ships with six months of EXAMPLE data for five fictional projects so the formulas and charts can be seen working. Names and figures are invented. Delete rows 4 and below on TOR Register, Monthly Log, Deliverables &amp; RACI and Risks &amp; Issues before real use.</t>
  </si>
  <si>
    <t xml:space="preserve">Currency</t>
  </si>
  <si>
    <t xml:space="preserve">All money is in whole dollars. Change the number formats if the team reports in another unit.</t>
  </si>
  <si>
    <t xml:space="preserve">Source</t>
  </si>
  <si>
    <t xml:space="preserve">Structure and metric definitions were specified for this request; there is no external data source behind the example figures.</t>
  </si>
  <si>
    <t xml:space="preserve">  TOR Register - the approved baseline</t>
  </si>
  <si>
    <t xml:space="preserve">  One row per project, straight from the signed Terms of Reference. Change only via an approved CR. EXAMPLE DATA - replace with the team's projects.</t>
  </si>
  <si>
    <t xml:space="preserve">Project ID</t>
  </si>
  <si>
    <t xml:space="preserve">Project Name</t>
  </si>
  <si>
    <t xml:space="preserve">Strategic Pillar</t>
  </si>
  <si>
    <t xml:space="preserve">Sponsor</t>
  </si>
  <si>
    <t xml:space="preserve">Project Manager</t>
  </si>
  <si>
    <t xml:space="preserve">TOR Approved</t>
  </si>
  <si>
    <t xml:space="preserve">Planned Start</t>
  </si>
  <si>
    <t xml:space="preserve">Planned End</t>
  </si>
  <si>
    <t xml:space="preserve">TOR Approved Budget ($)</t>
  </si>
  <si>
    <t xml:space="preserve">Planned Milestones (total)</t>
  </si>
  <si>
    <t xml:space="preserve">Planned Deliverables (total)</t>
  </si>
  <si>
    <t xml:space="preserve">TOR Objective</t>
  </si>
  <si>
    <t xml:space="preserve">Key In-Scope (per TOR)</t>
  </si>
  <si>
    <t xml:space="preserve">Key Out-of-Scope (per TOR)</t>
  </si>
  <si>
    <t xml:space="preserve">P-001</t>
  </si>
  <si>
    <t xml:space="preserve">Client Portal Rebuild</t>
  </si>
  <si>
    <t xml:space="preserve">Digital Experience</t>
  </si>
  <si>
    <t xml:space="preserve">A. Mensah</t>
  </si>
  <si>
    <t xml:space="preserve">R. Patel</t>
  </si>
  <si>
    <t xml:space="preserve">Replace the legacy client portal to cut self-service failure rate by half.</t>
  </si>
  <si>
    <t xml:space="preserve">Portal UI, auth, self-service billing, migration of active accounts</t>
  </si>
  <si>
    <t xml:space="preserve">Mobile app, partner API, archived account history</t>
  </si>
  <si>
    <t xml:space="preserve">P-002</t>
  </si>
  <si>
    <t xml:space="preserve">Data Platform Migration</t>
  </si>
  <si>
    <t xml:space="preserve">Data &amp; Infrastructure</t>
  </si>
  <si>
    <t xml:space="preserve">L. Njoku</t>
  </si>
  <si>
    <t xml:space="preserve">S. Kowalski</t>
  </si>
  <si>
    <t xml:space="preserve">Move reporting workloads off the on-prem warehouse to the cloud platform.</t>
  </si>
  <si>
    <t xml:space="preserve">ETL rebuild, warehouse cutover, BI re-point, decommission plan</t>
  </si>
  <si>
    <t xml:space="preserve">ML feature store, real-time streaming, third-party data contracts</t>
  </si>
  <si>
    <t xml:space="preserve">P-003</t>
  </si>
  <si>
    <t xml:space="preserve">Regulatory Reporting Uplift</t>
  </si>
  <si>
    <t xml:space="preserve">Risk &amp; Compliance</t>
  </si>
  <si>
    <t xml:space="preserve">D. Ferreira</t>
  </si>
  <si>
    <t xml:space="preserve">M. Haddad</t>
  </si>
  <si>
    <t xml:space="preserve">Meet the new quarterly disclosure standard ahead of the Q1 2027 deadline.</t>
  </si>
  <si>
    <t xml:space="preserve">Control redesign, evidence automation, submission templates, sign-off flow</t>
  </si>
  <si>
    <t xml:space="preserve">Historic restatements, group consolidation changes</t>
  </si>
  <si>
    <t xml:space="preserve">P-004</t>
  </si>
  <si>
    <t xml:space="preserve">Market Expansion - APAC</t>
  </si>
  <si>
    <t xml:space="preserve">Growth</t>
  </si>
  <si>
    <t xml:space="preserve">T. Yamamoto</t>
  </si>
  <si>
    <t xml:space="preserve">Stand up sales and support operations in two APAC markets.</t>
  </si>
  <si>
    <t xml:space="preserve">Entity setup, local hiring, pricing localisation, support coverage</t>
  </si>
  <si>
    <t xml:space="preserve">Manufacturing footprint, local data centre, M&amp;A options</t>
  </si>
  <si>
    <t xml:space="preserve">P-005</t>
  </si>
  <si>
    <t xml:space="preserve">Cost-to-Serve Optimisation</t>
  </si>
  <si>
    <t xml:space="preserve">Operating Efficiency</t>
  </si>
  <si>
    <t xml:space="preserve">C. Duarte</t>
  </si>
  <si>
    <t xml:space="preserve">Reduce cost to serve per account by 15% without lowering CSAT.</t>
  </si>
  <si>
    <t xml:space="preserve">Process redesign, tier-1 automation, vendor renegotiation</t>
  </si>
  <si>
    <t xml:space="preserve">Headcount reduction, offshoring, product rationalisation</t>
  </si>
  <si>
    <t xml:space="preserve">  Monthly Log - the only sheet to update each month</t>
  </si>
  <si>
    <t xml:space="preserve">  One row per project per month. ALL FIGURES ARE CUMULATIVE TO DATE. Enter the first day of the month. EXAMPLE DATA - delete before real use.</t>
  </si>
  <si>
    <t xml:space="preserve">Month (1st of month)</t>
  </si>
  <si>
    <t xml:space="preserve">Milestones Planned to Date</t>
  </si>
  <si>
    <t xml:space="preserve">Milestones Achieved to Date</t>
  </si>
  <si>
    <t xml:space="preserve">Deliverables Due to Date</t>
  </si>
  <si>
    <t xml:space="preserve">Deliverables Accepted to Date</t>
  </si>
  <si>
    <t xml:space="preserve">Budget Spent to Date ($)</t>
  </si>
  <si>
    <t xml:space="preserve">Change Requests Raised (cum.)</t>
  </si>
  <si>
    <t xml:space="preserve">Change Requests Approved (cum.)</t>
  </si>
  <si>
    <t xml:space="preserve">Open Risks (snapshot)</t>
  </si>
  <si>
    <t xml:space="preserve">High Risks (snapshot)</t>
  </si>
  <si>
    <t xml:space="preserve">RACI Gaps (snapshot)</t>
  </si>
  <si>
    <t xml:space="preserve">PM RAG</t>
  </si>
  <si>
    <t xml:space="preserve">Commentary</t>
  </si>
  <si>
    <t xml:space="preserve">Match Key (auto)</t>
  </si>
  <si>
    <t xml:space="preserve">Green</t>
  </si>
  <si>
    <t xml:space="preserve">Kick-off complete, TOR baselined.</t>
  </si>
  <si>
    <t xml:space="preserve">Amber</t>
  </si>
  <si>
    <t xml:space="preserve">Two RACI gaps flagged at TOR review.</t>
  </si>
  <si>
    <t xml:space="preserve">Baselined against draft standard.</t>
  </si>
  <si>
    <t xml:space="preserve">Entity setup started on schedule.</t>
  </si>
  <si>
    <t xml:space="preserve">Baseline agreed with operations.</t>
  </si>
  <si>
    <t xml:space="preserve">Auth vendor confirmed; first CR raised on billing scope.</t>
  </si>
  <si>
    <t xml:space="preserve">Ownership resolved for ETL workstream.</t>
  </si>
  <si>
    <t xml:space="preserve">Regulator clarification pending, first slip.</t>
  </si>
  <si>
    <t xml:space="preserve">Local counsel engaged, no issues.</t>
  </si>
  <si>
    <t xml:space="preserve">Vendor renegotiation opened.</t>
  </si>
  <si>
    <t xml:space="preserve">Design sign-off slipped 2 weeks; one milestone missed.</t>
  </si>
  <si>
    <t xml:space="preserve">Cutover risk raised to high pending capacity test.</t>
  </si>
  <si>
    <t xml:space="preserve">Scope grew: evidence automation added by CR.</t>
  </si>
  <si>
    <t xml:space="preserve">Hiring pipeline ahead of plan.</t>
  </si>
  <si>
    <t xml:space="preserve">Automation vendor risk raised to high.</t>
  </si>
  <si>
    <t xml:space="preserve">Migration dry-run failed once, retest scheduled.</t>
  </si>
  <si>
    <t xml:space="preserve">Capacity test passed; back on plan.</t>
  </si>
  <si>
    <t xml:space="preserve">Red</t>
  </si>
  <si>
    <t xml:space="preserve">Budget forecast breached; escalated to sponsor.</t>
  </si>
  <si>
    <t xml:space="preserve">Pricing CR approved, budget unchanged.</t>
  </si>
  <si>
    <t xml:space="preserve">Mitigation in place, second vendor shortlisted.</t>
  </si>
  <si>
    <t xml:space="preserve">Two deliverables awaiting sponsor acceptance.</t>
  </si>
  <si>
    <t xml:space="preserve">One milestone slipped into next month, no scope impact.</t>
  </si>
  <si>
    <t xml:space="preserve">Four unowned deliverables, accountability unresolved.</t>
  </si>
  <si>
    <t xml:space="preserve">First market live.</t>
  </si>
  <si>
    <t xml:space="preserve">Vendor risk closed; CR approved for extra automation.</t>
  </si>
  <si>
    <t xml:space="preserve">Recovery plan agreed; hit rate improving but still behind TOR.</t>
  </si>
  <si>
    <t xml:space="preserve">Tracking to TOR; decommission CR approved.</t>
  </si>
  <si>
    <t xml:space="preserve">Overspent vs TOR budget. Re-baseline decision needed at SteerCo.</t>
  </si>
  <si>
    <t xml:space="preserve">Both markets on track to TOR end date.</t>
  </si>
  <si>
    <t xml:space="preserve">Two deliverables pending acceptance, otherwise on plan.</t>
  </si>
  <si>
    <t xml:space="preserve">  Deliverables &amp; RACI - TOR outputs and who owns them</t>
  </si>
  <si>
    <t xml:space="preserve">  A blank Accountable is a governance gap and is counted automatically. EXAMPLE DATA - delete before real use.</t>
  </si>
  <si>
    <t xml:space="preserve">Live register counts</t>
  </si>
  <si>
    <t xml:space="preserve">Deliverable ID</t>
  </si>
  <si>
    <t xml:space="preserve">Deliverable (per TOR)</t>
  </si>
  <si>
    <t xml:space="preserve">TOR Clause Ref</t>
  </si>
  <si>
    <t xml:space="preserve">Responsible</t>
  </si>
  <si>
    <t xml:space="preserve">Accountable</t>
  </si>
  <si>
    <t xml:space="preserve">Consulted</t>
  </si>
  <si>
    <t xml:space="preserve">Informed</t>
  </si>
  <si>
    <t xml:space="preserve">Due Date</t>
  </si>
  <si>
    <t xml:space="preserve">Status</t>
  </si>
  <si>
    <t xml:space="preserve">Project</t>
  </si>
  <si>
    <t xml:space="preserve">In Register</t>
  </si>
  <si>
    <t xml:space="preserve">Accepted</t>
  </si>
  <si>
    <t xml:space="preserve">RACI Gaps -&gt; copy to log</t>
  </si>
  <si>
    <t xml:space="preserve">D-001</t>
  </si>
  <si>
    <t xml:space="preserve">Portal design system sign-off</t>
  </si>
  <si>
    <t xml:space="preserve">TOR 4.1</t>
  </si>
  <si>
    <t xml:space="preserve">Design guild</t>
  </si>
  <si>
    <t xml:space="preserve">Steering group</t>
  </si>
  <si>
    <t xml:space="preserve">D-002</t>
  </si>
  <si>
    <t xml:space="preserve">Authentication service cutover</t>
  </si>
  <si>
    <t xml:space="preserve">TOR 4.2</t>
  </si>
  <si>
    <t xml:space="preserve">K. Osei</t>
  </si>
  <si>
    <t xml:space="preserve">Security</t>
  </si>
  <si>
    <t xml:space="preserve">Service desk</t>
  </si>
  <si>
    <t xml:space="preserve">Submitted</t>
  </si>
  <si>
    <t xml:space="preserve">D-003</t>
  </si>
  <si>
    <t xml:space="preserve">Self-service billing module</t>
  </si>
  <si>
    <t xml:space="preserve">TOR 4.3</t>
  </si>
  <si>
    <t xml:space="preserve">Finance ops</t>
  </si>
  <si>
    <t xml:space="preserve">Client services</t>
  </si>
  <si>
    <t xml:space="preserve">In Progress</t>
  </si>
  <si>
    <t xml:space="preserve">D-004</t>
  </si>
  <si>
    <t xml:space="preserve">Active account migration</t>
  </si>
  <si>
    <t xml:space="preserve">TOR 4.4</t>
  </si>
  <si>
    <t xml:space="preserve">J. Silva</t>
  </si>
  <si>
    <t xml:space="preserve">Data team</t>
  </si>
  <si>
    <t xml:space="preserve">Not Started</t>
  </si>
  <si>
    <t xml:space="preserve">D-005</t>
  </si>
  <si>
    <t xml:space="preserve">ETL rebuild - phase 1</t>
  </si>
  <si>
    <t xml:space="preserve">TOR 3.1</t>
  </si>
  <si>
    <t xml:space="preserve">Platform</t>
  </si>
  <si>
    <t xml:space="preserve">BI users</t>
  </si>
  <si>
    <t xml:space="preserve">D-006</t>
  </si>
  <si>
    <t xml:space="preserve">Warehouse cutover runbook</t>
  </si>
  <si>
    <t xml:space="preserve">TOR 3.2</t>
  </si>
  <si>
    <t xml:space="preserve">N. Abebe</t>
  </si>
  <si>
    <t xml:space="preserve">Ops</t>
  </si>
  <si>
    <t xml:space="preserve">All staff</t>
  </si>
  <si>
    <t xml:space="preserve">D-007</t>
  </si>
  <si>
    <t xml:space="preserve">BI re-point and validation</t>
  </si>
  <si>
    <t xml:space="preserve">TOR 3.3</t>
  </si>
  <si>
    <t xml:space="preserve">Finance</t>
  </si>
  <si>
    <t xml:space="preserve">Only the RACI gap count is copied into the Monthly Log. This register holds the major TOR deliverables and their ownership; the log's 'due / accepted' counts come from the full delivery plan, so they are normally the larger number.</t>
  </si>
  <si>
    <t xml:space="preserve">D-008</t>
  </si>
  <si>
    <t xml:space="preserve">Control redesign pack</t>
  </si>
  <si>
    <t xml:space="preserve">TOR 2.1</t>
  </si>
  <si>
    <t xml:space="preserve">Internal audit</t>
  </si>
  <si>
    <t xml:space="preserve">Board</t>
  </si>
  <si>
    <t xml:space="preserve">D-009</t>
  </si>
  <si>
    <t xml:space="preserve">Evidence automation build</t>
  </si>
  <si>
    <t xml:space="preserve">TOR 2.4 (CR-03)</t>
  </si>
  <si>
    <t xml:space="preserve">P. Lindqvist</t>
  </si>
  <si>
    <t xml:space="preserve">Compliance</t>
  </si>
  <si>
    <t xml:space="preserve">D-010</t>
  </si>
  <si>
    <t xml:space="preserve">Submission template set</t>
  </si>
  <si>
    <t xml:space="preserve">TOR 2.2</t>
  </si>
  <si>
    <t xml:space="preserve">Regulator liaison</t>
  </si>
  <si>
    <t xml:space="preserve">D-011</t>
  </si>
  <si>
    <t xml:space="preserve">Sign-off workflow</t>
  </si>
  <si>
    <t xml:space="preserve">TOR 2.3</t>
  </si>
  <si>
    <t xml:space="preserve">Legal</t>
  </si>
  <si>
    <t xml:space="preserve">D-012</t>
  </si>
  <si>
    <t xml:space="preserve">Historic restatement review</t>
  </si>
  <si>
    <t xml:space="preserve">TOR 2.5 (CR-04)</t>
  </si>
  <si>
    <t xml:space="preserve">D-013</t>
  </si>
  <si>
    <t xml:space="preserve">APAC entity registration</t>
  </si>
  <si>
    <t xml:space="preserve">TOR 5.1</t>
  </si>
  <si>
    <t xml:space="preserve">Exec</t>
  </si>
  <si>
    <t xml:space="preserve">D-014</t>
  </si>
  <si>
    <t xml:space="preserve">Localised pricing model</t>
  </si>
  <si>
    <t xml:space="preserve">TOR 5.2</t>
  </si>
  <si>
    <t xml:space="preserve">H. Tran</t>
  </si>
  <si>
    <t xml:space="preserve">Sales</t>
  </si>
  <si>
    <t xml:space="preserve">D-015</t>
  </si>
  <si>
    <t xml:space="preserve">Regional support coverage</t>
  </si>
  <si>
    <t xml:space="preserve">TOR 5.3</t>
  </si>
  <si>
    <t xml:space="preserve">Support</t>
  </si>
  <si>
    <t xml:space="preserve">Clients</t>
  </si>
  <si>
    <t xml:space="preserve">D-016</t>
  </si>
  <si>
    <t xml:space="preserve">Process redesign blueprint</t>
  </si>
  <si>
    <t xml:space="preserve">TOR 6.1</t>
  </si>
  <si>
    <t xml:space="preserve">Ops leads</t>
  </si>
  <si>
    <t xml:space="preserve">D-017</t>
  </si>
  <si>
    <t xml:space="preserve">Tier-1 automation release</t>
  </si>
  <si>
    <t xml:space="preserve">TOR 6.2</t>
  </si>
  <si>
    <t xml:space="preserve">E. Boateng</t>
  </si>
  <si>
    <t xml:space="preserve">D-018</t>
  </si>
  <si>
    <t xml:space="preserve">Vendor contract renegotiation</t>
  </si>
  <si>
    <t xml:space="preserve">TOR 6.3</t>
  </si>
  <si>
    <t xml:space="preserve">Procurement</t>
  </si>
  <si>
    <t xml:space="preserve">  Risks &amp; Issues register</t>
  </si>
  <si>
    <t xml:space="preserve">  Score = likelihood x impact. Severity and the live counts are calculated. EXAMPLE DATA - delete before real use.</t>
  </si>
  <si>
    <t xml:space="preserve">Live counts - copy into the Monthly Log</t>
  </si>
  <si>
    <t xml:space="preserve">ID</t>
  </si>
  <si>
    <t xml:space="preserve">Type</t>
  </si>
  <si>
    <t xml:space="preserve">Description</t>
  </si>
  <si>
    <t xml:space="preserve">Likelihood (1-5)</t>
  </si>
  <si>
    <t xml:space="preserve">Impact (1-5)</t>
  </si>
  <si>
    <t xml:space="preserve">Score</t>
  </si>
  <si>
    <t xml:space="preserve">Severity</t>
  </si>
  <si>
    <t xml:space="preserve">Owner</t>
  </si>
  <si>
    <t xml:space="preserve">Mitigation / Action</t>
  </si>
  <si>
    <t xml:space="preserve">Raised</t>
  </si>
  <si>
    <t xml:space="preserve">Target Close</t>
  </si>
  <si>
    <t xml:space="preserve">Open Risks -&gt; copy to log</t>
  </si>
  <si>
    <t xml:space="preserve">High Risks -&gt; copy to log</t>
  </si>
  <si>
    <t xml:space="preserve">R-001</t>
  </si>
  <si>
    <t xml:space="preserve">Risk</t>
  </si>
  <si>
    <t xml:space="preserve">Auth vendor cannot meet the agreed cutover window</t>
  </si>
  <si>
    <t xml:space="preserve">Parallel-run window booked; fallback to extended legacy support</t>
  </si>
  <si>
    <t xml:space="preserve">Mitigating</t>
  </si>
  <si>
    <t xml:space="preserve">R-002</t>
  </si>
  <si>
    <t xml:space="preserve">Issue</t>
  </si>
  <si>
    <t xml:space="preserve">Design sign-off slipped two weeks against the TOR schedule</t>
  </si>
  <si>
    <t xml:space="preserve">Recovery plan agreed with sponsor; two milestones re-sequenced</t>
  </si>
  <si>
    <t xml:space="preserve">Open</t>
  </si>
  <si>
    <t xml:space="preserve">R-003</t>
  </si>
  <si>
    <t xml:space="preserve">Billing scope creep beyond TOR 4.3 without an approved CR</t>
  </si>
  <si>
    <t xml:space="preserve">CR-02 tabled at SteerCo for decision</t>
  </si>
  <si>
    <t xml:space="preserve">R-004</t>
  </si>
  <si>
    <t xml:space="preserve">Cutover exceeds the agreed maintenance window</t>
  </si>
  <si>
    <t xml:space="preserve">Capacity test passed; rehearsal booked for October</t>
  </si>
  <si>
    <t xml:space="preserve">R-005</t>
  </si>
  <si>
    <t xml:space="preserve">Legacy warehouse licence renews before decommission</t>
  </si>
  <si>
    <t xml:space="preserve">Decommission CR approved; renewal deferred to monthly terms</t>
  </si>
  <si>
    <t xml:space="preserve">Closed</t>
  </si>
  <si>
    <t xml:space="preserve">R-006</t>
  </si>
  <si>
    <t xml:space="preserve">Forecast spend exceeds the TOR-approved budget</t>
  </si>
  <si>
    <t xml:space="preserve">Re-baseline paper going to SteerCo; scope freeze in force</t>
  </si>
  <si>
    <t xml:space="preserve">R-007</t>
  </si>
  <si>
    <t xml:space="preserve">Four deliverables have no accountable owner</t>
  </si>
  <si>
    <t xml:space="preserve">Accountability workshop scheduled with the sponsor</t>
  </si>
  <si>
    <t xml:space="preserve">R-008</t>
  </si>
  <si>
    <t xml:space="preserve">Regulator clarification may reopen the control design</t>
  </si>
  <si>
    <t xml:space="preserve">Formal query submitted; contingency in the plan</t>
  </si>
  <si>
    <t xml:space="preserve">R-009</t>
  </si>
  <si>
    <t xml:space="preserve">Scope added by CR-03/CR-04 not funded in the TOR</t>
  </si>
  <si>
    <t xml:space="preserve">Funding request bundled with the re-baseline paper</t>
  </si>
  <si>
    <t xml:space="preserve">R-010</t>
  </si>
  <si>
    <t xml:space="preserve">Local hiring lead times slip in the second market</t>
  </si>
  <si>
    <t xml:space="preserve">Agency retained; pipeline running two candidates deep</t>
  </si>
  <si>
    <t xml:space="preserve">R-011</t>
  </si>
  <si>
    <t xml:space="preserve">Currency movement erodes the localised pricing margin</t>
  </si>
  <si>
    <t xml:space="preserve">Quarterly price review clause added to contracts</t>
  </si>
  <si>
    <t xml:space="preserve">R-012</t>
  </si>
  <si>
    <t xml:space="preserve">Automation vendor stability after the funding round</t>
  </si>
  <si>
    <t xml:space="preserve">Second vendor shortlisted; source code escrow agreed</t>
  </si>
  <si>
    <t xml:space="preserve">R-013</t>
  </si>
  <si>
    <t xml:space="preserve">Benefit realisation depends on a CSAT floor being held</t>
  </si>
  <si>
    <t xml:space="preserve">CSAT tracked weekly; rollback trigger defined</t>
  </si>
  <si>
    <t xml:space="preserve">R-014</t>
  </si>
  <si>
    <t xml:space="preserve">Source system owners slow to sign off data contracts</t>
  </si>
  <si>
    <t xml:space="preserve">Contract templates pre-agreed; weekly chase in the workstream call</t>
  </si>
  <si>
    <t xml:space="preserve">R-015</t>
  </si>
  <si>
    <t xml:space="preserve">BI report parity testing may run past the agreed window</t>
  </si>
  <si>
    <t xml:space="preserve">Parity suite automated; top 40 reports prioritised</t>
  </si>
  <si>
    <t xml:space="preserve">R-016</t>
  </si>
  <si>
    <t xml:space="preserve">Two ETL jobs exceed the nightly batch window</t>
  </si>
  <si>
    <t xml:space="preserve">Partitioning rework in flight; interim staggered schedule</t>
  </si>
  <si>
    <t xml:space="preserve">R-017</t>
  </si>
  <si>
    <t xml:space="preserve">Cloud run-rate tracking above the TOR estimate</t>
  </si>
  <si>
    <t xml:space="preserve">Reserved capacity purchased; monthly cost review added</t>
  </si>
  <si>
    <t xml:space="preserve">R-018</t>
  </si>
  <si>
    <t xml:space="preserve">Evidence automation depends on a single contractor</t>
  </si>
  <si>
    <t xml:space="preserve">Knowledge transfer sessions booked; handover pack required</t>
  </si>
  <si>
    <t xml:space="preserve">R-019</t>
  </si>
  <si>
    <t xml:space="preserve">Template changes require a second legal review</t>
  </si>
  <si>
    <t xml:space="preserve">Legal slot pre-booked for the October cycle</t>
  </si>
  <si>
    <t xml:space="preserve">R-020</t>
  </si>
  <si>
    <t xml:space="preserve">Control testing environment unavailable for two weeks in September</t>
  </si>
  <si>
    <t xml:space="preserve">Testing re-sequenced; shared environment booked as fallback</t>
  </si>
  <si>
    <t xml:space="preserve">R-021</t>
  </si>
  <si>
    <t xml:space="preserve">Sign-off workflow tooling licence not yet procured</t>
  </si>
  <si>
    <t xml:space="preserve">Procurement raised; manual workflow as interim</t>
  </si>
  <si>
    <t xml:space="preserve">R-022</t>
  </si>
  <si>
    <t xml:space="preserve">Reporting calendar clashes with year-end close</t>
  </si>
  <si>
    <t xml:space="preserve">Dates agreed with finance; submission moved one week earlier</t>
  </si>
  <si>
    <t xml:space="preserve">R-023</t>
  </si>
  <si>
    <t xml:space="preserve">Process redesign adoption varies by region</t>
  </si>
  <si>
    <t xml:space="preserve">Regional champions appointed; adoption tracked weekly</t>
  </si>
  <si>
    <t xml:space="preserve">R-024</t>
  </si>
  <si>
    <t xml:space="preserve">Benefit baseline disputed by finance</t>
  </si>
  <si>
    <t xml:space="preserve">Baseline restated with finance and re-signed by the sponsor</t>
  </si>
  <si>
    <t xml:space="preserve">  Monthly Dashboard - delivery against TOR</t>
  </si>
  <si>
    <t xml:space="preserve">  Set the reporting month in C4. Everything below recalculates. Red and Amber rows are the meeting agenda.</t>
  </si>
  <si>
    <t xml:space="preserve">Reporting month:</t>
  </si>
  <si>
    <t xml:space="preserve">&lt;- type the FIRST DAY of the month, e.g. 2026-09-01</t>
  </si>
  <si>
    <t xml:space="preserve">RAG thresholds (edit to match the team's tolerance)</t>
  </si>
  <si>
    <t xml:space="preserve">Portfolio this month</t>
  </si>
  <si>
    <t xml:space="preserve">Milestone hit rate - Amber below</t>
  </si>
  <si>
    <t xml:space="preserve">Below this, schedule is off the TOR baseline enough to flag.</t>
  </si>
  <si>
    <t xml:space="preserve">Projects reporting</t>
  </si>
  <si>
    <t xml:space="preserve">TOR budget ($)</t>
  </si>
  <si>
    <t xml:space="preserve">Spent to date ($)</t>
  </si>
  <si>
    <t xml:space="preserve">Milestone hit rate - Red below</t>
  </si>
  <si>
    <t xml:space="preserve">Below this, the TOR schedule is not credible without a re-baseline.</t>
  </si>
  <si>
    <t xml:space="preserve">Budget used - Amber above</t>
  </si>
  <si>
    <t xml:space="preserve">Approaching the TOR-authorised budget.</t>
  </si>
  <si>
    <t xml:space="preserve">Budget used - Red above</t>
  </si>
  <si>
    <t xml:space="preserve">Spent past what the TOR authorised.</t>
  </si>
  <si>
    <t xml:space="preserve">Open risks</t>
  </si>
  <si>
    <t xml:space="preserve">High risks</t>
  </si>
  <si>
    <t xml:space="preserve">Projects Red</t>
  </si>
  <si>
    <t xml:space="preserve">Projects Amber</t>
  </si>
  <si>
    <t xml:space="preserve">Projects Green</t>
  </si>
  <si>
    <t xml:space="preserve">High risks - Red at or above</t>
  </si>
  <si>
    <t xml:space="preserve">This many unclosed high-severity risks forces a Red.</t>
  </si>
  <si>
    <t xml:space="preserve">Project detail for the reporting month</t>
  </si>
  <si>
    <t xml:space="preserve">PM</t>
  </si>
  <si>
    <t xml:space="preserve">TOR Budget ($)</t>
  </si>
  <si>
    <t xml:space="preserve">Spent to Date ($)</t>
  </si>
  <si>
    <t xml:space="preserve">Budget Used %</t>
  </si>
  <si>
    <t xml:space="preserve">Budget Variance ($)</t>
  </si>
  <si>
    <t xml:space="preserve">Milestones Planned</t>
  </si>
  <si>
    <t xml:space="preserve">Milestones Achieved</t>
  </si>
  <si>
    <t xml:space="preserve">Milestone Hit Rate %</t>
  </si>
  <si>
    <t xml:space="preserve">Deliverables Due</t>
  </si>
  <si>
    <t xml:space="preserve">Deliverables Accepted</t>
  </si>
  <si>
    <t xml:space="preserve">Scope Adherence %</t>
  </si>
  <si>
    <t xml:space="preserve">Approved Scope Changes</t>
  </si>
  <si>
    <t xml:space="preserve">Open Risks</t>
  </si>
  <si>
    <t xml:space="preserve">High Risks</t>
  </si>
  <si>
    <t xml:space="preserve">RACI Gaps</t>
  </si>
  <si>
    <t xml:space="preserve">PM Commentary</t>
  </si>
  <si>
    <t xml:space="preserve">Notes and assumptions</t>
  </si>
  <si>
    <t xml:space="preserve">- All Monthly Log figures are cumulative to date, so every metric here is 'position at the end of the reporting month', not in-month activity.</t>
  </si>
  <si>
    <t xml:space="preserve">- Scope adherence = deliverables accepted / deliverables due to date. Approved scope changes are shown separately: a rising CR count against a flat TOR budget is scope drift, even when the adherence percentage looks healthy.</t>
  </si>
  <si>
    <t xml:space="preserve">- Calculated RAG is derived only from the thresholds in C7:C11 and the raw counts, so it is reproducible. Where it disagrees with the PM RAG, the difference is the discussion.</t>
  </si>
  <si>
    <t xml:space="preserve">- 'Not started' appears when a project has no milestones due, no deliverables due and no spend in the reporting month.</t>
  </si>
  <si>
    <t xml:space="preserve">- Rows are driven by the TOR Register: add a project there and it appears here automatically, up to the register's capacity.</t>
  </si>
  <si>
    <t xml:space="preserve">- Open risks counts anything not Closed (Open + Mitigating) on the Risks &amp; Issues register at the point the month's snapshot was taken.</t>
  </si>
  <si>
    <t xml:space="preserve">  Trend and comparison charts</t>
  </si>
  <si>
    <t xml:space="preserve">  The trend block is driven by the Monthly Log across all projects. Add a month to column A and the charts extend.</t>
  </si>
  <si>
    <t xml:space="preserve">Month</t>
  </si>
  <si>
    <t xml:space="preserve">Per-project comparison - reporting month set on the Dashboard</t>
  </si>
  <si>
    <t xml:space="preserve">  Dropdown lists</t>
  </si>
  <si>
    <t xml:space="preserve">  Extend a column and the matching dropdown picks it up. Keep RAG wording as Green / Amber / Red - the Dashboard formulas match on it.</t>
  </si>
  <si>
    <t xml:space="preserve">RAG</t>
  </si>
  <si>
    <t xml:space="preserve">Deliverable Status</t>
  </si>
  <si>
    <t xml:space="preserve">Risk/Issue Status</t>
  </si>
  <si>
    <t xml:space="preserve">Score 1-5</t>
  </si>
  <si>
    <t xml:space="preserve">Descoped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</si>
</sst>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\$#,##0;&quot;($&quot;#,##0\);\-"/>
    <numFmt numFmtId="167" formatCode="#,##0;\(#,##0\);\-"/>
    <numFmt numFmtId="168" formatCode="yyyy\-mm"/>
    <numFmt numFmtId="169" formatCode="0.0%;\(0.0%\);\-"/>
    <numFmt numFmtId="170" formatCode="0%"/>
  </numFmts>
  <fonts count="2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44546A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44546A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808080"/>
      <name val="Arial"/>
      <family val="0"/>
      <charset val="1"/>
    </font>
    <font>
      <b val="true"/>
      <i val="true"/>
      <sz val="9"/>
      <color rgb="FF1F3864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9"/>
      <color rgb="FF44546A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44546A"/>
        <bgColor rgb="FF1F3864"/>
      </patternFill>
    </fill>
    <fill>
      <patternFill patternType="solid">
        <fgColor rgb="FFF2F5FB"/>
        <bgColor rgb="FFFFFFFF"/>
      </patternFill>
    </fill>
    <fill>
      <patternFill patternType="solid">
        <fgColor rgb="FFFCE4E4"/>
        <bgColor rgb="FFF2F5FB"/>
      </patternFill>
    </fill>
    <fill>
      <patternFill patternType="solid">
        <fgColor rgb="FFD9E2F3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D9E2F3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44546A"/>
          <bgColor rgb="FF000000"/>
        </patternFill>
      </fill>
    </dxf>
    <dxf>
      <fill>
        <patternFill patternType="solid">
          <fgColor rgb="FFF2F5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2E0C2"/>
          <bgColor rgb="FF000000"/>
        </patternFill>
      </fill>
    </dxf>
    <dxf>
      <fill>
        <patternFill patternType="solid">
          <fgColor rgb="FFF4B7B7"/>
          <bgColor rgb="FF000000"/>
        </patternFill>
      </fill>
    </dxf>
    <dxf>
      <fill>
        <patternFill patternType="solid">
          <fgColor rgb="FFFFE39A"/>
          <bgColor rgb="FF000000"/>
        </patternFill>
      </fill>
    </dxf>
    <dxf>
      <fill>
        <patternFill>
          <bgColor rgb="FFF4B7B7"/>
        </patternFill>
      </fill>
    </dxf>
    <dxf>
      <fill>
        <patternFill>
          <bgColor rgb="FFFFE39A"/>
        </patternFill>
      </fill>
    </dxf>
    <dxf>
      <fill>
        <patternFill>
          <bgColor rgb="FFC2E0C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2F5FB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E0C2"/>
      <rgbColor rgb="FFFCE4E4"/>
      <rgbColor rgb="FF99CCFF"/>
      <rgbColor rgb="FFF4B7B7"/>
      <rgbColor rgb="FFCC99FF"/>
      <rgbColor rgb="FFFFE39A"/>
      <rgbColor rgb="FF2E75B6"/>
      <rgbColor rgb="FF33CCCC"/>
      <rgbColor rgb="FF98B855"/>
      <rgbColor rgb="FFFFCC00"/>
      <rgbColor rgb="FFFF9900"/>
      <rgbColor rgb="FFFF6600"/>
      <rgbColor rgb="FF4A7EBB"/>
      <rgbColor rgb="FF878787"/>
      <rgbColor rgb="FF1F3864"/>
      <rgbColor rgb="FF4F81BD"/>
      <rgbColor rgb="FF003300"/>
      <rgbColor rgb="FF333300"/>
      <rgbColor rgb="FF993300"/>
      <rgbColor rgb="FFC0504D"/>
      <rgbColor rgb="FF44546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Portfolio delivery against 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Charts!D4</c:f>
              <c:strCache>
                <c:ptCount val="1"/>
                <c:pt idx="0">
                  <c:v>Milestone Hit Rate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Charts!$A$5:$A$10</c:f>
              <c:strCache>
                <c:ptCount val="6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</c:strCache>
            </c:strRef>
          </c:cat>
          <c:val>
            <c:numRef>
              <c:f>Charts!$D$5:$D$10</c:f>
              <c:numCache>
                <c:formatCode>0.0%;\(0.0%\);\-</c:formatCode>
                <c:ptCount val="6"/>
                <c:pt idx="0">
                  <c:v>1</c:v>
                </c:pt>
                <c:pt idx="1">
                  <c:v>1</c:v>
                </c:pt>
                <c:pt idx="2">
                  <c:v>0.894736842105263</c:v>
                </c:pt>
                <c:pt idx="3">
                  <c:v>0.884615384615385</c:v>
                </c:pt>
                <c:pt idx="4">
                  <c:v>0.828571428571429</c:v>
                </c:pt>
                <c:pt idx="5">
                  <c:v>0.833333333333333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Charts!G4</c:f>
              <c:strCache>
                <c:ptCount val="1"/>
                <c:pt idx="0">
                  <c:v>Scope Adherence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Charts!$A$5:$A$10</c:f>
              <c:strCache>
                <c:ptCount val="6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</c:strCache>
            </c:strRef>
          </c:cat>
          <c:val>
            <c:numRef>
              <c:f>Charts!$G$5:$G$10</c:f>
              <c:numCache>
                <c:formatCode>0.0%;\(0.0%\);\-</c:formatCode>
                <c:ptCount val="6"/>
                <c:pt idx="0">
                  <c:v>1</c:v>
                </c:pt>
                <c:pt idx="1">
                  <c:v>1</c:v>
                </c:pt>
                <c:pt idx="2">
                  <c:v>0.894736842105263</c:v>
                </c:pt>
                <c:pt idx="3">
                  <c:v>0.821428571428571</c:v>
                </c:pt>
                <c:pt idx="4">
                  <c:v>0.842105263157895</c:v>
                </c:pt>
                <c:pt idx="5">
                  <c:v>0.8125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225405"/>
        <c:axId val="88874121"/>
      </c:lineChart>
      <c:catAx>
        <c:axId val="74225405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874121"/>
        <c:crosses val="autoZero"/>
        <c:auto val="1"/>
        <c:lblAlgn val="ctr"/>
        <c:lblOffset val="100"/>
        <c:noMultiLvlLbl val="0"/>
      </c:catAx>
      <c:valAx>
        <c:axId val="888741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Percent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2254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Portfolio spend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Charts!H4</c:f>
              <c:strCache>
                <c:ptCount val="1"/>
                <c:pt idx="0">
                  <c:v>Budget Spent to Date ($)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Charts!$A$5:$A$10</c:f>
              <c:strCache>
                <c:ptCount val="6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</c:strCache>
            </c:strRef>
          </c:cat>
          <c:val>
            <c:numRef>
              <c:f>Charts!$H$5:$H$10</c:f>
              <c:numCache>
                <c:formatCode>\$#,##0;"($"#,##0\);\-</c:formatCode>
                <c:ptCount val="6"/>
                <c:pt idx="0">
                  <c:v>315000</c:v>
                </c:pt>
                <c:pt idx="1">
                  <c:v>629000</c:v>
                </c:pt>
                <c:pt idx="2">
                  <c:v>958000</c:v>
                </c:pt>
                <c:pt idx="3">
                  <c:v>1354000</c:v>
                </c:pt>
                <c:pt idx="4">
                  <c:v>1728000</c:v>
                </c:pt>
                <c:pt idx="5">
                  <c:v>2092000</c:v>
                </c:pt>
              </c:numCache>
            </c:numRef>
          </c:val>
        </c:ser>
        <c:gapWidth val="150"/>
        <c:overlap val="0"/>
        <c:axId val="75630963"/>
        <c:axId val="41330004"/>
      </c:barChart>
      <c:catAx>
        <c:axId val="75630963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30004"/>
        <c:crosses val="autoZero"/>
        <c:auto val="1"/>
        <c:lblAlgn val="ctr"/>
        <c:lblOffset val="100"/>
        <c:noMultiLvlLbl val="0"/>
      </c:catAx>
      <c:valAx>
        <c:axId val="413300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309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Risk and governance posture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Charts!I4</c:f>
              <c:strCache>
                <c:ptCount val="1"/>
                <c:pt idx="0">
                  <c:v>Open Risks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Charts!$A$5:$A$10</c:f>
              <c:strCache>
                <c:ptCount val="6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</c:strCache>
            </c:strRef>
          </c:cat>
          <c:val>
            <c:numRef>
              <c:f>Charts!$I$5:$I$10</c:f>
              <c:numCache>
                <c:formatCode>#,##0;\(#,##0\);\-</c:formatCode>
                <c:ptCount val="6"/>
                <c:pt idx="0">
                  <c:v>17</c:v>
                </c:pt>
                <c:pt idx="1">
                  <c:v>19</c:v>
                </c:pt>
                <c:pt idx="2">
                  <c:v>23</c:v>
                </c:pt>
                <c:pt idx="3">
                  <c:v>26</c:v>
                </c:pt>
                <c:pt idx="4">
                  <c:v>24</c:v>
                </c:pt>
                <c:pt idx="5">
                  <c:v>22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Charts!J4</c:f>
              <c:strCache>
                <c:ptCount val="1"/>
                <c:pt idx="0">
                  <c:v>High Risks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Charts!$A$5:$A$10</c:f>
              <c:strCache>
                <c:ptCount val="6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</c:strCache>
            </c:strRef>
          </c:cat>
          <c:val>
            <c:numRef>
              <c:f>Charts!$J$5:$J$10</c:f>
              <c:numCache>
                <c:formatCode>#,##0;\(#,##0\);\-</c:formatCode>
                <c:ptCount val="6"/>
                <c:pt idx="0">
                  <c:v>2</c:v>
                </c:pt>
                <c:pt idx="1">
                  <c:v>3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Charts!K4</c:f>
              <c:strCache>
                <c:ptCount val="1"/>
                <c:pt idx="0">
                  <c:v>RACI Gaps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Charts!$A$5:$A$10</c:f>
              <c:strCache>
                <c:ptCount val="6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</c:strCache>
            </c:strRef>
          </c:cat>
          <c:val>
            <c:numRef>
              <c:f>Charts!$K$5:$K$10</c:f>
              <c:numCache>
                <c:formatCode>#,##0;\(#,##0\);\-</c:formatCode>
                <c:ptCount val="6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919176"/>
        <c:axId val="45376076"/>
      </c:lineChart>
      <c:catAx>
        <c:axId val="98919176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76076"/>
        <c:crosses val="autoZero"/>
        <c:auto val="1"/>
        <c:lblAlgn val="ctr"/>
        <c:lblOffset val="100"/>
        <c:noMultiLvlLbl val="0"/>
      </c:catAx>
      <c:valAx>
        <c:axId val="453760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191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TOR budget vs spend to date, by project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Charts!B31</c:f>
              <c:strCache>
                <c:ptCount val="1"/>
                <c:pt idx="0">
                  <c:v>TOR Budget ($)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Charts!$A$32:$A$36</c:f>
              <c:strCache>
                <c:ptCount val="5"/>
                <c:pt idx="0">
                  <c:v>Client Portal Rebuild</c:v>
                </c:pt>
                <c:pt idx="1">
                  <c:v>Data Platform Migration</c:v>
                </c:pt>
                <c:pt idx="2">
                  <c:v>Regulatory Reporting Uplift</c:v>
                </c:pt>
                <c:pt idx="3">
                  <c:v>Market Expansion - APAC</c:v>
                </c:pt>
                <c:pt idx="4">
                  <c:v>Cost-to-Serve Optimisation</c:v>
                </c:pt>
              </c:strCache>
            </c:strRef>
          </c:cat>
          <c:val>
            <c:numRef>
              <c:f>Charts!$B$32:$B$36</c:f>
              <c:numCache>
                <c:formatCode>\$#,##0;"($"#,##0\);\-</c:formatCode>
                <c:ptCount val="5"/>
                <c:pt idx="0">
                  <c:v>500000</c:v>
                </c:pt>
                <c:pt idx="1">
                  <c:v>820000</c:v>
                </c:pt>
                <c:pt idx="2">
                  <c:v>340000</c:v>
                </c:pt>
                <c:pt idx="3">
                  <c:v>610000</c:v>
                </c:pt>
                <c:pt idx="4">
                  <c:v>275000</c:v>
                </c:pt>
              </c:numCache>
            </c:numRef>
          </c:val>
        </c:ser>
        <c:ser>
          <c:idx val="1"/>
          <c:order val="1"/>
          <c:tx>
            <c:strRef>
              <c:f>Charts!C31</c:f>
              <c:strCache>
                <c:ptCount val="1"/>
                <c:pt idx="0">
                  <c:v>Spent to Date ($)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Charts!$A$32:$A$36</c:f>
              <c:strCache>
                <c:ptCount val="5"/>
                <c:pt idx="0">
                  <c:v>Client Portal Rebuild</c:v>
                </c:pt>
                <c:pt idx="1">
                  <c:v>Data Platform Migration</c:v>
                </c:pt>
                <c:pt idx="2">
                  <c:v>Regulatory Reporting Uplift</c:v>
                </c:pt>
                <c:pt idx="3">
                  <c:v>Market Expansion - APAC</c:v>
                </c:pt>
                <c:pt idx="4">
                  <c:v>Cost-to-Serve Optimisation</c:v>
                </c:pt>
              </c:strCache>
            </c:strRef>
          </c:cat>
          <c:val>
            <c:numRef>
              <c:f>Charts!$C$32:$C$36</c:f>
              <c:numCache>
                <c:formatCode>\$#,##0;"($"#,##0\);\-</c:formatCode>
                <c:ptCount val="5"/>
                <c:pt idx="0">
                  <c:v>412000</c:v>
                </c:pt>
                <c:pt idx="1">
                  <c:v>690000</c:v>
                </c:pt>
                <c:pt idx="2">
                  <c:v>351000</c:v>
                </c:pt>
                <c:pt idx="3">
                  <c:v>415000</c:v>
                </c:pt>
                <c:pt idx="4">
                  <c:v>224000</c:v>
                </c:pt>
              </c:numCache>
            </c:numRef>
          </c:val>
        </c:ser>
        <c:gapWidth val="150"/>
        <c:overlap val="0"/>
        <c:axId val="40213779"/>
        <c:axId val="74764429"/>
      </c:barChart>
      <c:catAx>
        <c:axId val="40213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764429"/>
        <c:crosses val="autoZero"/>
        <c:auto val="1"/>
        <c:lblAlgn val="ctr"/>
        <c:lblOffset val="100"/>
        <c:noMultiLvlLbl val="0"/>
      </c:catAx>
      <c:valAx>
        <c:axId val="747644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2137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Milestone hit rate and scope adherence, by project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Charts!D31</c:f>
              <c:strCache>
                <c:ptCount val="1"/>
                <c:pt idx="0">
                  <c:v>Milestone Hit Rate %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Charts!$A$32:$A$36</c:f>
              <c:strCache>
                <c:ptCount val="5"/>
                <c:pt idx="0">
                  <c:v>Client Portal Rebuild</c:v>
                </c:pt>
                <c:pt idx="1">
                  <c:v>Data Platform Migration</c:v>
                </c:pt>
                <c:pt idx="2">
                  <c:v>Regulatory Reporting Uplift</c:v>
                </c:pt>
                <c:pt idx="3">
                  <c:v>Market Expansion - APAC</c:v>
                </c:pt>
                <c:pt idx="4">
                  <c:v>Cost-to-Serve Optimisation</c:v>
                </c:pt>
              </c:strCache>
            </c:strRef>
          </c:cat>
          <c:val>
            <c:numRef>
              <c:f>Charts!$D$32:$D$36</c:f>
              <c:numCache>
                <c:formatCode>0.0%;\(0.0%\);\-</c:formatCode>
                <c:ptCount val="5"/>
                <c:pt idx="0">
                  <c:v>0.777777777777778</c:v>
                </c:pt>
                <c:pt idx="1">
                  <c:v>0.9</c:v>
                </c:pt>
                <c:pt idx="2">
                  <c:v>0.625</c:v>
                </c:pt>
                <c:pt idx="3">
                  <c:v>1</c:v>
                </c:pt>
                <c:pt idx="4">
                  <c:v>0.857142857142857</c:v>
                </c:pt>
              </c:numCache>
            </c:numRef>
          </c:val>
        </c:ser>
        <c:ser>
          <c:idx val="1"/>
          <c:order val="1"/>
          <c:tx>
            <c:strRef>
              <c:f>Charts!E31</c:f>
              <c:strCache>
                <c:ptCount val="1"/>
                <c:pt idx="0">
                  <c:v>Scope Adherence %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Charts!$A$32:$A$36</c:f>
              <c:strCache>
                <c:ptCount val="5"/>
                <c:pt idx="0">
                  <c:v>Client Portal Rebuild</c:v>
                </c:pt>
                <c:pt idx="1">
                  <c:v>Data Platform Migration</c:v>
                </c:pt>
                <c:pt idx="2">
                  <c:v>Regulatory Reporting Uplift</c:v>
                </c:pt>
                <c:pt idx="3">
                  <c:v>Market Expansion - APAC</c:v>
                </c:pt>
                <c:pt idx="4">
                  <c:v>Cost-to-Serve Optimisation</c:v>
                </c:pt>
              </c:strCache>
            </c:strRef>
          </c:cat>
          <c:val>
            <c:numRef>
              <c:f>Charts!$E$32:$E$36</c:f>
              <c:numCache>
                <c:formatCode>0.0%;\(0.0%\);\-</c:formatCode>
                <c:ptCount val="5"/>
                <c:pt idx="0">
                  <c:v>0.818181818181818</c:v>
                </c:pt>
                <c:pt idx="1">
                  <c:v>0.9</c:v>
                </c:pt>
                <c:pt idx="2">
                  <c:v>0.6</c:v>
                </c:pt>
                <c:pt idx="3">
                  <c:v>1</c:v>
                </c:pt>
                <c:pt idx="4">
                  <c:v>0.777777777777778</c:v>
                </c:pt>
              </c:numCache>
            </c:numRef>
          </c:val>
        </c:ser>
        <c:gapWidth val="150"/>
        <c:overlap val="0"/>
        <c:axId val="61332434"/>
        <c:axId val="77692542"/>
      </c:barChart>
      <c:catAx>
        <c:axId val="613324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92542"/>
        <c:crosses val="autoZero"/>
        <c:auto val="1"/>
        <c:lblAlgn val="ctr"/>
        <c:lblOffset val="100"/>
        <c:noMultiLvlLbl val="0"/>
      </c:catAx>
      <c:valAx>
        <c:axId val="776925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Percent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3324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22</xdr:col>
      <xdr:colOff>4680</xdr:colOff>
      <xdr:row>17</xdr:row>
      <xdr:rowOff>183240</xdr:rowOff>
    </xdr:to>
    <xdr:graphicFrame>
      <xdr:nvGraphicFramePr>
        <xdr:cNvPr id="0" name="Chart 1"/>
        <xdr:cNvGraphicFramePr/>
      </xdr:nvGraphicFramePr>
      <xdr:xfrm>
        <a:off x="9915480" y="704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21</xdr:row>
      <xdr:rowOff>0</xdr:rowOff>
    </xdr:from>
    <xdr:to>
      <xdr:col>22</xdr:col>
      <xdr:colOff>4680</xdr:colOff>
      <xdr:row>35</xdr:row>
      <xdr:rowOff>183240</xdr:rowOff>
    </xdr:to>
    <xdr:graphicFrame>
      <xdr:nvGraphicFramePr>
        <xdr:cNvPr id="1" name="Chart 2"/>
        <xdr:cNvGraphicFramePr/>
      </xdr:nvGraphicFramePr>
      <xdr:xfrm>
        <a:off x="9915480" y="434340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39</xdr:row>
      <xdr:rowOff>0</xdr:rowOff>
    </xdr:from>
    <xdr:to>
      <xdr:col>22</xdr:col>
      <xdr:colOff>4680</xdr:colOff>
      <xdr:row>55</xdr:row>
      <xdr:rowOff>11520</xdr:rowOff>
    </xdr:to>
    <xdr:graphicFrame>
      <xdr:nvGraphicFramePr>
        <xdr:cNvPr id="2" name="Chart 3"/>
        <xdr:cNvGraphicFramePr/>
      </xdr:nvGraphicFramePr>
      <xdr:xfrm>
        <a:off x="9915480" y="79819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0</xdr:colOff>
      <xdr:row>57</xdr:row>
      <xdr:rowOff>0</xdr:rowOff>
    </xdr:from>
    <xdr:to>
      <xdr:col>22</xdr:col>
      <xdr:colOff>4680</xdr:colOff>
      <xdr:row>73</xdr:row>
      <xdr:rowOff>11520</xdr:rowOff>
    </xdr:to>
    <xdr:graphicFrame>
      <xdr:nvGraphicFramePr>
        <xdr:cNvPr id="3" name="Chart 4"/>
        <xdr:cNvGraphicFramePr/>
      </xdr:nvGraphicFramePr>
      <xdr:xfrm>
        <a:off x="9915480" y="114109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0</xdr:colOff>
      <xdr:row>75</xdr:row>
      <xdr:rowOff>0</xdr:rowOff>
    </xdr:from>
    <xdr:to>
      <xdr:col>22</xdr:col>
      <xdr:colOff>4680</xdr:colOff>
      <xdr:row>91</xdr:row>
      <xdr:rowOff>11520</xdr:rowOff>
    </xdr:to>
    <xdr:graphicFrame>
      <xdr:nvGraphicFramePr>
        <xdr:cNvPr id="4" name="Chart 5"/>
        <xdr:cNvGraphicFramePr/>
      </xdr:nvGraphicFramePr>
      <xdr:xfrm>
        <a:off x="9915480" y="1483992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6"/>
  </cols>
  <sheetData>
    <row r="1" customFormat="false" ht="25.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3" customFormat="false" ht="15" hidden="false" customHeight="false" outlineLevel="0" collapsed="false">
      <c r="A3" s="3"/>
      <c r="B3" s="3"/>
      <c r="C3" s="3"/>
      <c r="D3" s="3"/>
    </row>
    <row r="4" customFormat="false" ht="15" hidden="false" customHeight="true" outlineLevel="0" collapsed="false">
      <c r="A4" s="3"/>
      <c r="B4" s="4" t="s">
        <v>2</v>
      </c>
      <c r="C4" s="4"/>
      <c r="D4" s="3"/>
    </row>
    <row r="5" customFormat="false" ht="22.35" hidden="false" customHeight="false" outlineLevel="0" collapsed="false">
      <c r="A5" s="3"/>
      <c r="B5" s="5"/>
      <c r="C5" s="6" t="s">
        <v>3</v>
      </c>
      <c r="D5" s="3"/>
    </row>
    <row r="6" customFormat="false" ht="15" hidden="false" customHeight="false" outlineLevel="0" collapsed="false">
      <c r="A6" s="3"/>
      <c r="B6" s="7"/>
      <c r="C6" s="7"/>
      <c r="D6" s="3"/>
    </row>
    <row r="7" customFormat="false" ht="15" hidden="false" customHeight="true" outlineLevel="0" collapsed="false">
      <c r="A7" s="3"/>
      <c r="B7" s="4" t="s">
        <v>4</v>
      </c>
      <c r="C7" s="4"/>
      <c r="D7" s="3"/>
    </row>
    <row r="8" customFormat="false" ht="15" hidden="false" customHeight="false" outlineLevel="0" collapsed="false">
      <c r="A8" s="3"/>
      <c r="B8" s="5" t="s">
        <v>5</v>
      </c>
      <c r="C8" s="6" t="s">
        <v>6</v>
      </c>
      <c r="D8" s="3"/>
    </row>
    <row r="9" customFormat="false" ht="22.35" hidden="false" customHeight="false" outlineLevel="0" collapsed="false">
      <c r="A9" s="3"/>
      <c r="B9" s="5" t="s">
        <v>7</v>
      </c>
      <c r="C9" s="6" t="s">
        <v>8</v>
      </c>
      <c r="D9" s="3"/>
    </row>
    <row r="10" customFormat="false" ht="32.8" hidden="false" customHeight="false" outlineLevel="0" collapsed="false">
      <c r="A10" s="3"/>
      <c r="B10" s="5" t="s">
        <v>9</v>
      </c>
      <c r="C10" s="6" t="s">
        <v>10</v>
      </c>
      <c r="D10" s="3"/>
    </row>
    <row r="11" customFormat="false" ht="15" hidden="false" customHeight="false" outlineLevel="0" collapsed="false">
      <c r="A11" s="3"/>
      <c r="B11" s="5" t="s">
        <v>11</v>
      </c>
      <c r="C11" s="6" t="s">
        <v>12</v>
      </c>
      <c r="D11" s="3"/>
    </row>
    <row r="12" customFormat="false" ht="15" hidden="false" customHeight="false" outlineLevel="0" collapsed="false">
      <c r="A12" s="3"/>
      <c r="B12" s="5" t="s">
        <v>13</v>
      </c>
      <c r="C12" s="6" t="s">
        <v>14</v>
      </c>
      <c r="D12" s="3"/>
    </row>
    <row r="13" customFormat="false" ht="15" hidden="false" customHeight="false" outlineLevel="0" collapsed="false">
      <c r="A13" s="3"/>
      <c r="B13" s="7"/>
      <c r="C13" s="7"/>
      <c r="D13" s="3"/>
    </row>
    <row r="14" customFormat="false" ht="15" hidden="false" customHeight="true" outlineLevel="0" collapsed="false">
      <c r="A14" s="3"/>
      <c r="B14" s="4" t="s">
        <v>15</v>
      </c>
      <c r="C14" s="4"/>
      <c r="D14" s="3"/>
    </row>
    <row r="15" customFormat="false" ht="15" hidden="false" customHeight="false" outlineLevel="0" collapsed="false">
      <c r="A15" s="3"/>
      <c r="B15" s="5" t="s">
        <v>16</v>
      </c>
      <c r="C15" s="6" t="s">
        <v>17</v>
      </c>
      <c r="D15" s="3"/>
    </row>
    <row r="16" customFormat="false" ht="22.35" hidden="false" customHeight="false" outlineLevel="0" collapsed="false">
      <c r="A16" s="3"/>
      <c r="B16" s="5" t="s">
        <v>18</v>
      </c>
      <c r="C16" s="6" t="s">
        <v>19</v>
      </c>
      <c r="D16" s="3"/>
    </row>
    <row r="17" customFormat="false" ht="22.35" hidden="false" customHeight="false" outlineLevel="0" collapsed="false">
      <c r="A17" s="3"/>
      <c r="B17" s="5" t="s">
        <v>20</v>
      </c>
      <c r="C17" s="6" t="s">
        <v>21</v>
      </c>
      <c r="D17" s="3"/>
    </row>
    <row r="18" customFormat="false" ht="22.35" hidden="false" customHeight="false" outlineLevel="0" collapsed="false">
      <c r="A18" s="3"/>
      <c r="B18" s="5" t="s">
        <v>22</v>
      </c>
      <c r="C18" s="6" t="s">
        <v>23</v>
      </c>
      <c r="D18" s="3"/>
    </row>
    <row r="19" customFormat="false" ht="15" hidden="false" customHeight="false" outlineLevel="0" collapsed="false">
      <c r="A19" s="3"/>
      <c r="B19" s="5" t="s">
        <v>24</v>
      </c>
      <c r="C19" s="6" t="s">
        <v>25</v>
      </c>
      <c r="D19" s="3"/>
    </row>
    <row r="20" customFormat="false" ht="15" hidden="false" customHeight="false" outlineLevel="0" collapsed="false">
      <c r="A20" s="3"/>
      <c r="B20" s="5" t="s">
        <v>26</v>
      </c>
      <c r="C20" s="6" t="s">
        <v>27</v>
      </c>
      <c r="D20" s="3"/>
    </row>
    <row r="21" customFormat="false" ht="15" hidden="false" customHeight="false" outlineLevel="0" collapsed="false">
      <c r="A21" s="3"/>
      <c r="B21" s="5" t="s">
        <v>28</v>
      </c>
      <c r="C21" s="6" t="s">
        <v>29</v>
      </c>
      <c r="D21" s="3"/>
    </row>
    <row r="22" customFormat="false" ht="15" hidden="false" customHeight="false" outlineLevel="0" collapsed="false">
      <c r="A22" s="3"/>
      <c r="B22" s="5" t="s">
        <v>30</v>
      </c>
      <c r="C22" s="6" t="s">
        <v>31</v>
      </c>
      <c r="D22" s="3"/>
    </row>
    <row r="23" customFormat="false" ht="15" hidden="false" customHeight="false" outlineLevel="0" collapsed="false">
      <c r="A23" s="3"/>
      <c r="B23" s="7"/>
      <c r="C23" s="7"/>
      <c r="D23" s="3"/>
    </row>
    <row r="24" customFormat="false" ht="15" hidden="false" customHeight="true" outlineLevel="0" collapsed="false">
      <c r="A24" s="3"/>
      <c r="B24" s="4" t="s">
        <v>32</v>
      </c>
      <c r="C24" s="4"/>
      <c r="D24" s="3"/>
    </row>
    <row r="25" customFormat="false" ht="22.35" hidden="false" customHeight="false" outlineLevel="0" collapsed="false">
      <c r="A25" s="3"/>
      <c r="B25" s="5" t="s">
        <v>33</v>
      </c>
      <c r="C25" s="6" t="s">
        <v>34</v>
      </c>
      <c r="D25" s="3"/>
    </row>
    <row r="26" customFormat="false" ht="15" hidden="false" customHeight="false" outlineLevel="0" collapsed="false">
      <c r="A26" s="3"/>
      <c r="B26" s="5" t="s">
        <v>35</v>
      </c>
      <c r="C26" s="6" t="s">
        <v>36</v>
      </c>
      <c r="D26" s="3"/>
    </row>
    <row r="27" customFormat="false" ht="22.35" hidden="false" customHeight="false" outlineLevel="0" collapsed="false">
      <c r="A27" s="3"/>
      <c r="B27" s="5" t="s">
        <v>37</v>
      </c>
      <c r="C27" s="6" t="s">
        <v>38</v>
      </c>
      <c r="D27" s="3"/>
    </row>
    <row r="28" customFormat="false" ht="15" hidden="false" customHeight="false" outlineLevel="0" collapsed="false">
      <c r="A28" s="3"/>
      <c r="B28" s="5" t="s">
        <v>39</v>
      </c>
      <c r="C28" s="6" t="s">
        <v>40</v>
      </c>
      <c r="D28" s="3"/>
    </row>
    <row r="29" customFormat="false" ht="22.35" hidden="false" customHeight="false" outlineLevel="0" collapsed="false">
      <c r="A29" s="3"/>
      <c r="B29" s="5" t="s">
        <v>41</v>
      </c>
      <c r="C29" s="6" t="s">
        <v>42</v>
      </c>
      <c r="D29" s="3"/>
    </row>
    <row r="30" customFormat="false" ht="15" hidden="false" customHeight="false" outlineLevel="0" collapsed="false">
      <c r="A30" s="3"/>
      <c r="B30" s="5" t="s">
        <v>43</v>
      </c>
      <c r="C30" s="6" t="s">
        <v>44</v>
      </c>
      <c r="D30" s="3"/>
    </row>
    <row r="31" customFormat="false" ht="22.35" hidden="false" customHeight="false" outlineLevel="0" collapsed="false">
      <c r="A31" s="3"/>
      <c r="B31" s="5" t="s">
        <v>45</v>
      </c>
      <c r="C31" s="6" t="s">
        <v>46</v>
      </c>
      <c r="D31" s="3"/>
    </row>
    <row r="32" customFormat="false" ht="15" hidden="false" customHeight="false" outlineLevel="0" collapsed="false">
      <c r="A32" s="3"/>
      <c r="B32" s="7"/>
      <c r="C32" s="7"/>
      <c r="D32" s="3"/>
    </row>
    <row r="33" customFormat="false" ht="15" hidden="false" customHeight="true" outlineLevel="0" collapsed="false">
      <c r="A33" s="3"/>
      <c r="B33" s="4" t="s">
        <v>47</v>
      </c>
      <c r="C33" s="4"/>
      <c r="D33" s="3"/>
    </row>
    <row r="34" customFormat="false" ht="15" hidden="false" customHeight="false" outlineLevel="0" collapsed="false">
      <c r="A34" s="3"/>
      <c r="B34" s="8" t="s">
        <v>48</v>
      </c>
      <c r="C34" s="6" t="s">
        <v>49</v>
      </c>
      <c r="D34" s="3"/>
    </row>
    <row r="35" customFormat="false" ht="15" hidden="false" customHeight="false" outlineLevel="0" collapsed="false">
      <c r="A35" s="3"/>
      <c r="B35" s="9" t="s">
        <v>50</v>
      </c>
      <c r="C35" s="6" t="s">
        <v>51</v>
      </c>
      <c r="D35" s="3"/>
    </row>
    <row r="36" customFormat="false" ht="15" hidden="false" customHeight="false" outlineLevel="0" collapsed="false">
      <c r="A36" s="3"/>
      <c r="B36" s="10" t="s">
        <v>52</v>
      </c>
      <c r="C36" s="6" t="s">
        <v>53</v>
      </c>
      <c r="D36" s="3"/>
    </row>
    <row r="37" customFormat="false" ht="15" hidden="false" customHeight="false" outlineLevel="0" collapsed="false">
      <c r="A37" s="3"/>
      <c r="B37" s="11" t="s">
        <v>54</v>
      </c>
      <c r="C37" s="6" t="s">
        <v>55</v>
      </c>
      <c r="D37" s="3"/>
    </row>
    <row r="38" customFormat="false" ht="15" hidden="false" customHeight="false" outlineLevel="0" collapsed="false">
      <c r="A38" s="3"/>
      <c r="B38" s="7"/>
      <c r="C38" s="7"/>
      <c r="D38" s="3"/>
    </row>
    <row r="39" customFormat="false" ht="15" hidden="false" customHeight="true" outlineLevel="0" collapsed="false">
      <c r="A39" s="3"/>
      <c r="B39" s="4" t="s">
        <v>56</v>
      </c>
      <c r="C39" s="4"/>
      <c r="D39" s="3"/>
    </row>
    <row r="40" customFormat="false" ht="22.35" hidden="false" customHeight="false" outlineLevel="0" collapsed="false">
      <c r="A40" s="3"/>
      <c r="B40" s="5" t="s">
        <v>57</v>
      </c>
      <c r="C40" s="6" t="s">
        <v>58</v>
      </c>
      <c r="D40" s="3"/>
    </row>
    <row r="41" customFormat="false" ht="22.35" hidden="false" customHeight="false" outlineLevel="0" collapsed="false">
      <c r="A41" s="3"/>
      <c r="B41" s="5" t="s">
        <v>59</v>
      </c>
      <c r="C41" s="6" t="s">
        <v>60</v>
      </c>
      <c r="D41" s="3"/>
    </row>
    <row r="42" customFormat="false" ht="32.8" hidden="false" customHeight="false" outlineLevel="0" collapsed="false">
      <c r="A42" s="3"/>
      <c r="B42" s="5" t="s">
        <v>61</v>
      </c>
      <c r="C42" s="6" t="s">
        <v>62</v>
      </c>
      <c r="D42" s="3"/>
    </row>
    <row r="43" customFormat="false" ht="15" hidden="false" customHeight="false" outlineLevel="0" collapsed="false">
      <c r="A43" s="3"/>
      <c r="B43" s="5" t="s">
        <v>63</v>
      </c>
      <c r="C43" s="6" t="s">
        <v>64</v>
      </c>
      <c r="D43" s="3"/>
    </row>
    <row r="44" customFormat="false" ht="15" hidden="false" customHeight="false" outlineLevel="0" collapsed="false">
      <c r="A44" s="3"/>
      <c r="B44" s="5" t="s">
        <v>65</v>
      </c>
      <c r="C44" s="6" t="s">
        <v>66</v>
      </c>
      <c r="D44" s="3"/>
    </row>
    <row r="45" customFormat="false" ht="15" hidden="false" customHeight="false" outlineLevel="0" collapsed="false">
      <c r="A45" s="3"/>
      <c r="B45" s="7"/>
      <c r="C45" s="7"/>
      <c r="D45" s="3"/>
    </row>
  </sheetData>
  <mergeCells count="8">
    <mergeCell ref="A1:D1"/>
    <mergeCell ref="A2:D2"/>
    <mergeCell ref="B4:C4"/>
    <mergeCell ref="B7:C7"/>
    <mergeCell ref="B14:C14"/>
    <mergeCell ref="B24:C24"/>
    <mergeCell ref="B33:C33"/>
    <mergeCell ref="B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8" min="6" style="0" width="13"/>
    <col collapsed="false" customWidth="true" hidden="false" outlineLevel="0" max="9" min="9" style="0" width="18"/>
    <col collapsed="false" customWidth="true" hidden="false" outlineLevel="0" max="11" min="10" style="0" width="13"/>
    <col collapsed="false" customWidth="true" hidden="false" outlineLevel="0" max="12" min="12" style="0" width="46"/>
    <col collapsed="false" customWidth="true" hidden="false" outlineLevel="0" max="13" min="13" style="0" width="42"/>
    <col collapsed="false" customWidth="true" hidden="false" outlineLevel="0" max="14" min="14" style="0" width="38"/>
  </cols>
  <sheetData>
    <row r="1" customFormat="false" ht="25.5" hidden="false" customHeight="true" outlineLevel="0" collapsed="false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1.5" hidden="false" customHeight="true" outlineLevel="0" collapsed="false">
      <c r="A3" s="12" t="s">
        <v>69</v>
      </c>
      <c r="B3" s="12" t="s">
        <v>70</v>
      </c>
      <c r="C3" s="12" t="s">
        <v>71</v>
      </c>
      <c r="D3" s="12" t="s">
        <v>72</v>
      </c>
      <c r="E3" s="12" t="s">
        <v>73</v>
      </c>
      <c r="F3" s="12" t="s">
        <v>74</v>
      </c>
      <c r="G3" s="12" t="s">
        <v>75</v>
      </c>
      <c r="H3" s="12" t="s">
        <v>76</v>
      </c>
      <c r="I3" s="12" t="s">
        <v>77</v>
      </c>
      <c r="J3" s="12" t="s">
        <v>78</v>
      </c>
      <c r="K3" s="12" t="s">
        <v>79</v>
      </c>
      <c r="L3" s="12" t="s">
        <v>80</v>
      </c>
      <c r="M3" s="12" t="s">
        <v>81</v>
      </c>
      <c r="N3" s="12" t="s">
        <v>82</v>
      </c>
    </row>
    <row r="4" customFormat="false" ht="30" hidden="false" customHeight="true" outlineLevel="0" collapsed="false">
      <c r="A4" s="13" t="s">
        <v>83</v>
      </c>
      <c r="B4" s="14" t="s">
        <v>84</v>
      </c>
      <c r="C4" s="14" t="s">
        <v>85</v>
      </c>
      <c r="D4" s="14" t="s">
        <v>86</v>
      </c>
      <c r="E4" s="14" t="s">
        <v>87</v>
      </c>
      <c r="F4" s="15" t="n">
        <v>46063</v>
      </c>
      <c r="G4" s="15" t="n">
        <v>46082</v>
      </c>
      <c r="H4" s="15" t="n">
        <v>46356</v>
      </c>
      <c r="I4" s="16" t="n">
        <v>500000</v>
      </c>
      <c r="J4" s="17" t="n">
        <v>9</v>
      </c>
      <c r="K4" s="17" t="n">
        <v>12</v>
      </c>
      <c r="L4" s="18" t="s">
        <v>88</v>
      </c>
      <c r="M4" s="18" t="s">
        <v>89</v>
      </c>
      <c r="N4" s="18" t="s">
        <v>90</v>
      </c>
    </row>
    <row r="5" customFormat="false" ht="30" hidden="false" customHeight="true" outlineLevel="0" collapsed="false">
      <c r="A5" s="19" t="s">
        <v>91</v>
      </c>
      <c r="B5" s="20" t="s">
        <v>92</v>
      </c>
      <c r="C5" s="20" t="s">
        <v>93</v>
      </c>
      <c r="D5" s="20" t="s">
        <v>94</v>
      </c>
      <c r="E5" s="20" t="s">
        <v>95</v>
      </c>
      <c r="F5" s="21" t="n">
        <v>46056</v>
      </c>
      <c r="G5" s="21" t="n">
        <v>46082</v>
      </c>
      <c r="H5" s="21" t="n">
        <v>46416</v>
      </c>
      <c r="I5" s="22" t="n">
        <v>820000</v>
      </c>
      <c r="J5" s="23" t="n">
        <v>12</v>
      </c>
      <c r="K5" s="23" t="n">
        <v>15</v>
      </c>
      <c r="L5" s="24" t="s">
        <v>96</v>
      </c>
      <c r="M5" s="24" t="s">
        <v>97</v>
      </c>
      <c r="N5" s="24" t="s">
        <v>98</v>
      </c>
    </row>
    <row r="6" customFormat="false" ht="30" hidden="false" customHeight="true" outlineLevel="0" collapsed="false">
      <c r="A6" s="13" t="s">
        <v>99</v>
      </c>
      <c r="B6" s="14" t="s">
        <v>100</v>
      </c>
      <c r="C6" s="14" t="s">
        <v>101</v>
      </c>
      <c r="D6" s="14" t="s">
        <v>102</v>
      </c>
      <c r="E6" s="14" t="s">
        <v>103</v>
      </c>
      <c r="F6" s="15" t="n">
        <v>46070</v>
      </c>
      <c r="G6" s="15" t="n">
        <v>46082</v>
      </c>
      <c r="H6" s="15" t="n">
        <v>46325</v>
      </c>
      <c r="I6" s="16" t="n">
        <v>340000</v>
      </c>
      <c r="J6" s="17" t="n">
        <v>8</v>
      </c>
      <c r="K6" s="17" t="n">
        <v>10</v>
      </c>
      <c r="L6" s="18" t="s">
        <v>104</v>
      </c>
      <c r="M6" s="18" t="s">
        <v>105</v>
      </c>
      <c r="N6" s="18" t="s">
        <v>106</v>
      </c>
    </row>
    <row r="7" customFormat="false" ht="30" hidden="false" customHeight="true" outlineLevel="0" collapsed="false">
      <c r="A7" s="19" t="s">
        <v>107</v>
      </c>
      <c r="B7" s="20" t="s">
        <v>108</v>
      </c>
      <c r="C7" s="20" t="s">
        <v>109</v>
      </c>
      <c r="D7" s="20" t="s">
        <v>86</v>
      </c>
      <c r="E7" s="20" t="s">
        <v>110</v>
      </c>
      <c r="F7" s="21" t="n">
        <v>46077</v>
      </c>
      <c r="G7" s="21" t="n">
        <v>46082</v>
      </c>
      <c r="H7" s="21" t="n">
        <v>46444</v>
      </c>
      <c r="I7" s="22" t="n">
        <v>610000</v>
      </c>
      <c r="J7" s="23" t="n">
        <v>10</v>
      </c>
      <c r="K7" s="23" t="n">
        <v>11</v>
      </c>
      <c r="L7" s="24" t="s">
        <v>111</v>
      </c>
      <c r="M7" s="24" t="s">
        <v>112</v>
      </c>
      <c r="N7" s="24" t="s">
        <v>113</v>
      </c>
    </row>
    <row r="8" customFormat="false" ht="30" hidden="false" customHeight="true" outlineLevel="0" collapsed="false">
      <c r="A8" s="13" t="s">
        <v>114</v>
      </c>
      <c r="B8" s="14" t="s">
        <v>115</v>
      </c>
      <c r="C8" s="14" t="s">
        <v>116</v>
      </c>
      <c r="D8" s="14" t="s">
        <v>94</v>
      </c>
      <c r="E8" s="14" t="s">
        <v>117</v>
      </c>
      <c r="F8" s="15" t="n">
        <v>46059</v>
      </c>
      <c r="G8" s="15" t="n">
        <v>46082</v>
      </c>
      <c r="H8" s="15" t="n">
        <v>46295</v>
      </c>
      <c r="I8" s="16" t="n">
        <v>275000</v>
      </c>
      <c r="J8" s="17" t="n">
        <v>7</v>
      </c>
      <c r="K8" s="17" t="n">
        <v>9</v>
      </c>
      <c r="L8" s="18" t="s">
        <v>118</v>
      </c>
      <c r="M8" s="18" t="s">
        <v>119</v>
      </c>
      <c r="N8" s="18" t="s">
        <v>120</v>
      </c>
    </row>
    <row r="9" customFormat="false" ht="15" hidden="false" customHeight="false" outlineLevel="0" collapsed="false">
      <c r="A9" s="20"/>
      <c r="B9" s="20"/>
      <c r="C9" s="20"/>
      <c r="D9" s="20"/>
      <c r="E9" s="20"/>
      <c r="F9" s="25"/>
      <c r="G9" s="25"/>
      <c r="H9" s="25"/>
      <c r="I9" s="22"/>
      <c r="J9" s="23"/>
      <c r="K9" s="23"/>
      <c r="L9" s="20"/>
      <c r="M9" s="20"/>
      <c r="N9" s="20"/>
    </row>
    <row r="10" customFormat="false" ht="15" hidden="false" customHeight="false" outlineLevel="0" collapsed="false">
      <c r="A10" s="14"/>
      <c r="B10" s="14"/>
      <c r="C10" s="14"/>
      <c r="D10" s="14"/>
      <c r="E10" s="14"/>
      <c r="F10" s="26"/>
      <c r="G10" s="26"/>
      <c r="H10" s="26"/>
      <c r="I10" s="16"/>
      <c r="J10" s="17"/>
      <c r="K10" s="17"/>
      <c r="L10" s="14"/>
      <c r="M10" s="14"/>
      <c r="N10" s="14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5"/>
      <c r="G11" s="25"/>
      <c r="H11" s="25"/>
      <c r="I11" s="22"/>
      <c r="J11" s="23"/>
      <c r="K11" s="23"/>
      <c r="L11" s="20"/>
      <c r="M11" s="20"/>
      <c r="N11" s="20"/>
    </row>
    <row r="12" customFormat="false" ht="15" hidden="false" customHeight="false" outlineLevel="0" collapsed="false">
      <c r="A12" s="14"/>
      <c r="B12" s="14"/>
      <c r="C12" s="14"/>
      <c r="D12" s="14"/>
      <c r="E12" s="14"/>
      <c r="F12" s="26"/>
      <c r="G12" s="26"/>
      <c r="H12" s="26"/>
      <c r="I12" s="16"/>
      <c r="J12" s="17"/>
      <c r="K12" s="17"/>
      <c r="L12" s="14"/>
      <c r="M12" s="14"/>
      <c r="N12" s="14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5"/>
      <c r="G13" s="25"/>
      <c r="H13" s="25"/>
      <c r="I13" s="22"/>
      <c r="J13" s="23"/>
      <c r="K13" s="23"/>
      <c r="L13" s="20"/>
      <c r="M13" s="20"/>
      <c r="N13" s="20"/>
    </row>
    <row r="14" customFormat="false" ht="15" hidden="false" customHeight="false" outlineLevel="0" collapsed="false">
      <c r="A14" s="14"/>
      <c r="B14" s="14"/>
      <c r="C14" s="14"/>
      <c r="D14" s="14"/>
      <c r="E14" s="14"/>
      <c r="F14" s="26"/>
      <c r="G14" s="26"/>
      <c r="H14" s="26"/>
      <c r="I14" s="16"/>
      <c r="J14" s="17"/>
      <c r="K14" s="17"/>
      <c r="L14" s="14"/>
      <c r="M14" s="14"/>
      <c r="N14" s="14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5"/>
      <c r="G15" s="25"/>
      <c r="H15" s="25"/>
      <c r="I15" s="22"/>
      <c r="J15" s="23"/>
      <c r="K15" s="23"/>
      <c r="L15" s="20"/>
      <c r="M15" s="20"/>
      <c r="N15" s="20"/>
    </row>
    <row r="16" customFormat="false" ht="15" hidden="false" customHeight="false" outlineLevel="0" collapsed="false">
      <c r="A16" s="14"/>
      <c r="B16" s="14"/>
      <c r="C16" s="14"/>
      <c r="D16" s="14"/>
      <c r="E16" s="14"/>
      <c r="F16" s="26"/>
      <c r="G16" s="26"/>
      <c r="H16" s="26"/>
      <c r="I16" s="16"/>
      <c r="J16" s="17"/>
      <c r="K16" s="17"/>
      <c r="L16" s="14"/>
      <c r="M16" s="14"/>
      <c r="N16" s="14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5"/>
      <c r="G17" s="25"/>
      <c r="H17" s="25"/>
      <c r="I17" s="22"/>
      <c r="J17" s="23"/>
      <c r="K17" s="23"/>
      <c r="L17" s="20"/>
      <c r="M17" s="20"/>
      <c r="N17" s="20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26"/>
      <c r="G18" s="26"/>
      <c r="H18" s="26"/>
      <c r="I18" s="16"/>
      <c r="J18" s="17"/>
      <c r="K18" s="17"/>
      <c r="L18" s="14"/>
      <c r="M18" s="14"/>
      <c r="N18" s="14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5"/>
      <c r="G19" s="25"/>
      <c r="H19" s="25"/>
      <c r="I19" s="22"/>
      <c r="J19" s="23"/>
      <c r="K19" s="23"/>
      <c r="L19" s="20"/>
      <c r="M19" s="20"/>
      <c r="N19" s="20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26"/>
      <c r="G20" s="26"/>
      <c r="H20" s="26"/>
      <c r="I20" s="16"/>
      <c r="J20" s="17"/>
      <c r="K20" s="17"/>
      <c r="L20" s="14"/>
      <c r="M20" s="14"/>
      <c r="N20" s="14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5"/>
      <c r="G21" s="25"/>
      <c r="H21" s="25"/>
      <c r="I21" s="22"/>
      <c r="J21" s="23"/>
      <c r="K21" s="23"/>
      <c r="L21" s="20"/>
      <c r="M21" s="20"/>
      <c r="N21" s="20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26"/>
      <c r="G22" s="26"/>
      <c r="H22" s="26"/>
      <c r="I22" s="16"/>
      <c r="J22" s="17"/>
      <c r="K22" s="17"/>
      <c r="L22" s="14"/>
      <c r="M22" s="14"/>
      <c r="N22" s="14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5"/>
      <c r="G23" s="25"/>
      <c r="H23" s="25"/>
      <c r="I23" s="22"/>
      <c r="J23" s="23"/>
      <c r="K23" s="23"/>
      <c r="L23" s="20"/>
      <c r="M23" s="20"/>
      <c r="N23" s="20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26"/>
      <c r="G24" s="26"/>
      <c r="H24" s="26"/>
      <c r="I24" s="16"/>
      <c r="J24" s="17"/>
      <c r="K24" s="17"/>
      <c r="L24" s="14"/>
      <c r="M24" s="14"/>
      <c r="N24" s="14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5"/>
      <c r="G25" s="25"/>
      <c r="H25" s="25"/>
      <c r="I25" s="22"/>
      <c r="J25" s="23"/>
      <c r="K25" s="23"/>
      <c r="L25" s="20"/>
      <c r="M25" s="20"/>
      <c r="N25" s="20"/>
    </row>
    <row r="26" customFormat="false" ht="15" hidden="false" customHeight="false" outlineLevel="0" collapsed="false">
      <c r="A26" s="14"/>
      <c r="B26" s="14"/>
      <c r="C26" s="14"/>
      <c r="D26" s="14"/>
      <c r="E26" s="14"/>
      <c r="F26" s="26"/>
      <c r="G26" s="26"/>
      <c r="H26" s="26"/>
      <c r="I26" s="16"/>
      <c r="J26" s="17"/>
      <c r="K26" s="17"/>
      <c r="L26" s="14"/>
      <c r="M26" s="14"/>
      <c r="N26" s="14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5"/>
      <c r="G27" s="25"/>
      <c r="H27" s="25"/>
      <c r="I27" s="22"/>
      <c r="J27" s="23"/>
      <c r="K27" s="23"/>
      <c r="L27" s="20"/>
      <c r="M27" s="20"/>
      <c r="N27" s="20"/>
    </row>
    <row r="28" customFormat="false" ht="15" hidden="false" customHeight="false" outlineLevel="0" collapsed="false">
      <c r="A28" s="14"/>
      <c r="B28" s="14"/>
      <c r="C28" s="14"/>
      <c r="D28" s="14"/>
      <c r="E28" s="14"/>
      <c r="F28" s="26"/>
      <c r="G28" s="26"/>
      <c r="H28" s="26"/>
      <c r="I28" s="16"/>
      <c r="J28" s="17"/>
      <c r="K28" s="17"/>
      <c r="L28" s="14"/>
      <c r="M28" s="14"/>
      <c r="N28" s="14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5"/>
      <c r="G29" s="25"/>
      <c r="H29" s="25"/>
      <c r="I29" s="22"/>
      <c r="J29" s="23"/>
      <c r="K29" s="23"/>
      <c r="L29" s="20"/>
      <c r="M29" s="20"/>
      <c r="N29" s="20"/>
    </row>
    <row r="30" customFormat="false" ht="15" hidden="false" customHeight="false" outlineLevel="0" collapsed="false">
      <c r="A30" s="14"/>
      <c r="B30" s="14"/>
      <c r="C30" s="14"/>
      <c r="D30" s="14"/>
      <c r="E30" s="14"/>
      <c r="F30" s="26"/>
      <c r="G30" s="26"/>
      <c r="H30" s="26"/>
      <c r="I30" s="16"/>
      <c r="J30" s="17"/>
      <c r="K30" s="17"/>
      <c r="L30" s="14"/>
      <c r="M30" s="14"/>
      <c r="N30" s="14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5"/>
      <c r="G31" s="25"/>
      <c r="H31" s="25"/>
      <c r="I31" s="22"/>
      <c r="J31" s="23"/>
      <c r="K31" s="23"/>
      <c r="L31" s="20"/>
      <c r="M31" s="20"/>
      <c r="N31" s="20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26"/>
      <c r="G32" s="26"/>
      <c r="H32" s="26"/>
      <c r="I32" s="16"/>
      <c r="J32" s="17"/>
      <c r="K32" s="17"/>
      <c r="L32" s="14"/>
      <c r="M32" s="14"/>
      <c r="N32" s="14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5"/>
      <c r="G33" s="25"/>
      <c r="H33" s="25"/>
      <c r="I33" s="22"/>
      <c r="J33" s="23"/>
      <c r="K33" s="23"/>
      <c r="L33" s="20"/>
      <c r="M33" s="20"/>
      <c r="N33" s="20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26"/>
      <c r="G34" s="26"/>
      <c r="H34" s="26"/>
      <c r="I34" s="16"/>
      <c r="J34" s="17"/>
      <c r="K34" s="17"/>
      <c r="L34" s="14"/>
      <c r="M34" s="14"/>
      <c r="N34" s="14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5"/>
      <c r="G35" s="25"/>
      <c r="H35" s="25"/>
      <c r="I35" s="22"/>
      <c r="J35" s="23"/>
      <c r="K35" s="23"/>
      <c r="L35" s="20"/>
      <c r="M35" s="20"/>
      <c r="N35" s="20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26"/>
      <c r="G36" s="26"/>
      <c r="H36" s="26"/>
      <c r="I36" s="16"/>
      <c r="J36" s="17"/>
      <c r="K36" s="17"/>
      <c r="L36" s="14"/>
      <c r="M36" s="14"/>
      <c r="N36" s="14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5"/>
      <c r="G37" s="25"/>
      <c r="H37" s="25"/>
      <c r="I37" s="22"/>
      <c r="J37" s="23"/>
      <c r="K37" s="23"/>
      <c r="L37" s="20"/>
      <c r="M37" s="20"/>
      <c r="N37" s="20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26"/>
      <c r="G38" s="26"/>
      <c r="H38" s="26"/>
      <c r="I38" s="16"/>
      <c r="J38" s="17"/>
      <c r="K38" s="17"/>
      <c r="L38" s="14"/>
      <c r="M38" s="14"/>
      <c r="N38" s="14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5"/>
      <c r="G39" s="25"/>
      <c r="H39" s="25"/>
      <c r="I39" s="22"/>
      <c r="J39" s="23"/>
      <c r="K39" s="23"/>
      <c r="L39" s="20"/>
      <c r="M39" s="20"/>
      <c r="N39" s="20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26"/>
      <c r="G40" s="26"/>
      <c r="H40" s="26"/>
      <c r="I40" s="16"/>
      <c r="J40" s="17"/>
      <c r="K40" s="17"/>
      <c r="L40" s="14"/>
      <c r="M40" s="14"/>
      <c r="N40" s="14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5"/>
      <c r="G41" s="25"/>
      <c r="H41" s="25"/>
      <c r="I41" s="22"/>
      <c r="J41" s="23"/>
      <c r="K41" s="23"/>
      <c r="L41" s="20"/>
      <c r="M41" s="20"/>
      <c r="N41" s="20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26"/>
      <c r="G42" s="26"/>
      <c r="H42" s="26"/>
      <c r="I42" s="16"/>
      <c r="J42" s="17"/>
      <c r="K42" s="17"/>
      <c r="L42" s="14"/>
      <c r="M42" s="14"/>
      <c r="N42" s="14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5"/>
      <c r="G43" s="25"/>
      <c r="H43" s="25"/>
      <c r="I43" s="22"/>
      <c r="J43" s="23"/>
      <c r="K43" s="23"/>
      <c r="L43" s="20"/>
      <c r="M43" s="20"/>
      <c r="N43" s="20"/>
    </row>
  </sheetData>
  <autoFilter ref="A3:N43"/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:O3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0"/>
    <col collapsed="false" customWidth="true" hidden="false" outlineLevel="0" max="6" min="3" style="0" width="12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52"/>
    <col collapsed="false" customWidth="true" hidden="false" outlineLevel="0" max="15" min="15" style="0" width="18"/>
  </cols>
  <sheetData>
    <row r="1" customFormat="false" ht="25.5" hidden="false" customHeight="true" outlineLevel="0" collapsed="false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122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31.5" hidden="false" customHeight="true" outlineLevel="0" collapsed="false">
      <c r="A3" s="12" t="s">
        <v>123</v>
      </c>
      <c r="B3" s="12" t="s">
        <v>69</v>
      </c>
      <c r="C3" s="12" t="s">
        <v>124</v>
      </c>
      <c r="D3" s="12" t="s">
        <v>125</v>
      </c>
      <c r="E3" s="12" t="s">
        <v>126</v>
      </c>
      <c r="F3" s="12" t="s">
        <v>127</v>
      </c>
      <c r="G3" s="12" t="s">
        <v>128</v>
      </c>
      <c r="H3" s="12" t="s">
        <v>129</v>
      </c>
      <c r="I3" s="12" t="s">
        <v>130</v>
      </c>
      <c r="J3" s="12" t="s">
        <v>131</v>
      </c>
      <c r="K3" s="12" t="s">
        <v>132</v>
      </c>
      <c r="L3" s="12" t="s">
        <v>133</v>
      </c>
      <c r="M3" s="12" t="s">
        <v>134</v>
      </c>
      <c r="N3" s="12" t="s">
        <v>135</v>
      </c>
      <c r="O3" s="12" t="s">
        <v>136</v>
      </c>
    </row>
    <row r="4" customFormat="false" ht="15" hidden="false" customHeight="false" outlineLevel="0" collapsed="false">
      <c r="A4" s="27" t="n">
        <v>46082</v>
      </c>
      <c r="B4" s="13" t="s">
        <v>83</v>
      </c>
      <c r="C4" s="17" t="n">
        <v>2</v>
      </c>
      <c r="D4" s="17" t="n">
        <v>2</v>
      </c>
      <c r="E4" s="17" t="n">
        <v>2</v>
      </c>
      <c r="F4" s="17" t="n">
        <v>2</v>
      </c>
      <c r="G4" s="16" t="n">
        <v>72000</v>
      </c>
      <c r="H4" s="17" t="n">
        <v>0</v>
      </c>
      <c r="I4" s="17" t="n">
        <v>0</v>
      </c>
      <c r="J4" s="17" t="n">
        <v>3</v>
      </c>
      <c r="K4" s="17" t="n">
        <v>0</v>
      </c>
      <c r="L4" s="17" t="n">
        <v>1</v>
      </c>
      <c r="M4" s="13" t="s">
        <v>137</v>
      </c>
      <c r="N4" s="18" t="s">
        <v>138</v>
      </c>
      <c r="O4" s="28" t="str">
        <f aca="false">IF($B4="","",TEXT($A4,"YYYY-MM")&amp;"|"&amp;$B4)</f>
        <v>2026-03|P-001</v>
      </c>
    </row>
    <row r="5" customFormat="false" ht="15" hidden="false" customHeight="false" outlineLevel="0" collapsed="false">
      <c r="A5" s="29" t="n">
        <v>46082</v>
      </c>
      <c r="B5" s="19" t="s">
        <v>91</v>
      </c>
      <c r="C5" s="23" t="n">
        <v>1</v>
      </c>
      <c r="D5" s="23" t="n">
        <v>1</v>
      </c>
      <c r="E5" s="23" t="n">
        <v>1</v>
      </c>
      <c r="F5" s="23" t="n">
        <v>1</v>
      </c>
      <c r="G5" s="22" t="n">
        <v>95000</v>
      </c>
      <c r="H5" s="23" t="n">
        <v>1</v>
      </c>
      <c r="I5" s="23" t="n">
        <v>0</v>
      </c>
      <c r="J5" s="23" t="n">
        <v>5</v>
      </c>
      <c r="K5" s="23" t="n">
        <v>1</v>
      </c>
      <c r="L5" s="23" t="n">
        <v>2</v>
      </c>
      <c r="M5" s="19" t="s">
        <v>139</v>
      </c>
      <c r="N5" s="24" t="s">
        <v>140</v>
      </c>
      <c r="O5" s="30" t="str">
        <f aca="false">IF($B5="","",TEXT($A5,"YYYY-MM")&amp;"|"&amp;$B5)</f>
        <v>2026-03|P-002</v>
      </c>
    </row>
    <row r="6" customFormat="false" ht="15" hidden="false" customHeight="false" outlineLevel="0" collapsed="false">
      <c r="A6" s="27" t="n">
        <v>46082</v>
      </c>
      <c r="B6" s="13" t="s">
        <v>99</v>
      </c>
      <c r="C6" s="17" t="n">
        <v>2</v>
      </c>
      <c r="D6" s="17" t="n">
        <v>2</v>
      </c>
      <c r="E6" s="17" t="n">
        <v>2</v>
      </c>
      <c r="F6" s="17" t="n">
        <v>2</v>
      </c>
      <c r="G6" s="16" t="n">
        <v>58000</v>
      </c>
      <c r="H6" s="17" t="n">
        <v>0</v>
      </c>
      <c r="I6" s="17" t="n">
        <v>0</v>
      </c>
      <c r="J6" s="17" t="n">
        <v>4</v>
      </c>
      <c r="K6" s="17" t="n">
        <v>1</v>
      </c>
      <c r="L6" s="17" t="n">
        <v>0</v>
      </c>
      <c r="M6" s="13" t="s">
        <v>137</v>
      </c>
      <c r="N6" s="18" t="s">
        <v>141</v>
      </c>
      <c r="O6" s="28" t="str">
        <f aca="false">IF($B6="","",TEXT($A6,"YYYY-MM")&amp;"|"&amp;$B6)</f>
        <v>2026-03|P-003</v>
      </c>
    </row>
    <row r="7" customFormat="false" ht="15" hidden="false" customHeight="false" outlineLevel="0" collapsed="false">
      <c r="A7" s="29" t="n">
        <v>46082</v>
      </c>
      <c r="B7" s="19" t="s">
        <v>107</v>
      </c>
      <c r="C7" s="23" t="n">
        <v>1</v>
      </c>
      <c r="D7" s="23" t="n">
        <v>1</v>
      </c>
      <c r="E7" s="23" t="n">
        <v>1</v>
      </c>
      <c r="F7" s="23" t="n">
        <v>1</v>
      </c>
      <c r="G7" s="22" t="n">
        <v>60000</v>
      </c>
      <c r="H7" s="23" t="n">
        <v>0</v>
      </c>
      <c r="I7" s="23" t="n">
        <v>0</v>
      </c>
      <c r="J7" s="23" t="n">
        <v>2</v>
      </c>
      <c r="K7" s="23" t="n">
        <v>0</v>
      </c>
      <c r="L7" s="23" t="n">
        <v>0</v>
      </c>
      <c r="M7" s="19" t="s">
        <v>137</v>
      </c>
      <c r="N7" s="24" t="s">
        <v>142</v>
      </c>
      <c r="O7" s="30" t="str">
        <f aca="false">IF($B7="","",TEXT($A7,"YYYY-MM")&amp;"|"&amp;$B7)</f>
        <v>2026-03|P-004</v>
      </c>
    </row>
    <row r="8" customFormat="false" ht="15" hidden="false" customHeight="false" outlineLevel="0" collapsed="false">
      <c r="A8" s="27" t="n">
        <v>46082</v>
      </c>
      <c r="B8" s="13" t="s">
        <v>114</v>
      </c>
      <c r="C8" s="17" t="n">
        <v>1</v>
      </c>
      <c r="D8" s="17" t="n">
        <v>1</v>
      </c>
      <c r="E8" s="17" t="n">
        <v>1</v>
      </c>
      <c r="F8" s="17" t="n">
        <v>1</v>
      </c>
      <c r="G8" s="16" t="n">
        <v>30000</v>
      </c>
      <c r="H8" s="17" t="n">
        <v>0</v>
      </c>
      <c r="I8" s="17" t="n">
        <v>0</v>
      </c>
      <c r="J8" s="17" t="n">
        <v>3</v>
      </c>
      <c r="K8" s="17" t="n">
        <v>0</v>
      </c>
      <c r="L8" s="17" t="n">
        <v>1</v>
      </c>
      <c r="M8" s="13" t="s">
        <v>137</v>
      </c>
      <c r="N8" s="18" t="s">
        <v>143</v>
      </c>
      <c r="O8" s="28" t="str">
        <f aca="false">IF($B8="","",TEXT($A8,"YYYY-MM")&amp;"|"&amp;$B8)</f>
        <v>2026-03|P-005</v>
      </c>
    </row>
    <row r="9" customFormat="false" ht="15" hidden="false" customHeight="false" outlineLevel="0" collapsed="false">
      <c r="A9" s="29" t="n">
        <v>46113</v>
      </c>
      <c r="B9" s="19" t="s">
        <v>83</v>
      </c>
      <c r="C9" s="23" t="n">
        <v>3</v>
      </c>
      <c r="D9" s="23" t="n">
        <v>3</v>
      </c>
      <c r="E9" s="23" t="n">
        <v>4</v>
      </c>
      <c r="F9" s="23" t="n">
        <v>4</v>
      </c>
      <c r="G9" s="22" t="n">
        <v>140000</v>
      </c>
      <c r="H9" s="23" t="n">
        <v>1</v>
      </c>
      <c r="I9" s="23" t="n">
        <v>1</v>
      </c>
      <c r="J9" s="23" t="n">
        <v>4</v>
      </c>
      <c r="K9" s="23" t="n">
        <v>1</v>
      </c>
      <c r="L9" s="23" t="n">
        <v>1</v>
      </c>
      <c r="M9" s="19" t="s">
        <v>137</v>
      </c>
      <c r="N9" s="24" t="s">
        <v>144</v>
      </c>
      <c r="O9" s="30" t="str">
        <f aca="false">IF($B9="","",TEXT($A9,"YYYY-MM")&amp;"|"&amp;$B9)</f>
        <v>2026-04|P-001</v>
      </c>
    </row>
    <row r="10" customFormat="false" ht="15" hidden="false" customHeight="false" outlineLevel="0" collapsed="false">
      <c r="A10" s="27" t="n">
        <v>46113</v>
      </c>
      <c r="B10" s="13" t="s">
        <v>91</v>
      </c>
      <c r="C10" s="17" t="n">
        <v>2</v>
      </c>
      <c r="D10" s="17" t="n">
        <v>2</v>
      </c>
      <c r="E10" s="17" t="n">
        <v>3</v>
      </c>
      <c r="F10" s="17" t="n">
        <v>3</v>
      </c>
      <c r="G10" s="16" t="n">
        <v>190000</v>
      </c>
      <c r="H10" s="17" t="n">
        <v>1</v>
      </c>
      <c r="I10" s="17" t="n">
        <v>1</v>
      </c>
      <c r="J10" s="17" t="n">
        <v>5</v>
      </c>
      <c r="K10" s="17" t="n">
        <v>1</v>
      </c>
      <c r="L10" s="17" t="n">
        <v>1</v>
      </c>
      <c r="M10" s="13" t="s">
        <v>139</v>
      </c>
      <c r="N10" s="18" t="s">
        <v>145</v>
      </c>
      <c r="O10" s="28" t="str">
        <f aca="false">IF($B10="","",TEXT($A10,"YYYY-MM")&amp;"|"&amp;$B10)</f>
        <v>2026-04|P-002</v>
      </c>
    </row>
    <row r="11" customFormat="false" ht="15" hidden="false" customHeight="false" outlineLevel="0" collapsed="false">
      <c r="A11" s="29" t="n">
        <v>46113</v>
      </c>
      <c r="B11" s="19" t="s">
        <v>99</v>
      </c>
      <c r="C11" s="23" t="n">
        <v>3</v>
      </c>
      <c r="D11" s="23" t="n">
        <v>3</v>
      </c>
      <c r="E11" s="23" t="n">
        <v>3</v>
      </c>
      <c r="F11" s="23" t="n">
        <v>3</v>
      </c>
      <c r="G11" s="22" t="n">
        <v>112000</v>
      </c>
      <c r="H11" s="23" t="n">
        <v>0</v>
      </c>
      <c r="I11" s="23" t="n">
        <v>0</v>
      </c>
      <c r="J11" s="23" t="n">
        <v>5</v>
      </c>
      <c r="K11" s="23" t="n">
        <v>1</v>
      </c>
      <c r="L11" s="23" t="n">
        <v>1</v>
      </c>
      <c r="M11" s="19" t="s">
        <v>139</v>
      </c>
      <c r="N11" s="24" t="s">
        <v>146</v>
      </c>
      <c r="O11" s="30" t="str">
        <f aca="false">IF($B11="","",TEXT($A11,"YYYY-MM")&amp;"|"&amp;$B11)</f>
        <v>2026-04|P-003</v>
      </c>
    </row>
    <row r="12" customFormat="false" ht="15" hidden="false" customHeight="false" outlineLevel="0" collapsed="false">
      <c r="A12" s="27" t="n">
        <v>46113</v>
      </c>
      <c r="B12" s="13" t="s">
        <v>107</v>
      </c>
      <c r="C12" s="17" t="n">
        <v>2</v>
      </c>
      <c r="D12" s="17" t="n">
        <v>2</v>
      </c>
      <c r="E12" s="17" t="n">
        <v>2</v>
      </c>
      <c r="F12" s="17" t="n">
        <v>2</v>
      </c>
      <c r="G12" s="16" t="n">
        <v>125000</v>
      </c>
      <c r="H12" s="17" t="n">
        <v>0</v>
      </c>
      <c r="I12" s="17" t="n">
        <v>0</v>
      </c>
      <c r="J12" s="17" t="n">
        <v>2</v>
      </c>
      <c r="K12" s="17" t="n">
        <v>0</v>
      </c>
      <c r="L12" s="17" t="n">
        <v>0</v>
      </c>
      <c r="M12" s="13" t="s">
        <v>137</v>
      </c>
      <c r="N12" s="18" t="s">
        <v>147</v>
      </c>
      <c r="O12" s="28" t="str">
        <f aca="false">IF($B12="","",TEXT($A12,"YYYY-MM")&amp;"|"&amp;$B12)</f>
        <v>2026-04|P-004</v>
      </c>
    </row>
    <row r="13" customFormat="false" ht="15" hidden="false" customHeight="false" outlineLevel="0" collapsed="false">
      <c r="A13" s="29" t="n">
        <v>46113</v>
      </c>
      <c r="B13" s="19" t="s">
        <v>114</v>
      </c>
      <c r="C13" s="23" t="n">
        <v>2</v>
      </c>
      <c r="D13" s="23" t="n">
        <v>2</v>
      </c>
      <c r="E13" s="23" t="n">
        <v>2</v>
      </c>
      <c r="F13" s="23" t="n">
        <v>2</v>
      </c>
      <c r="G13" s="22" t="n">
        <v>62000</v>
      </c>
      <c r="H13" s="23" t="n">
        <v>1</v>
      </c>
      <c r="I13" s="23" t="n">
        <v>0</v>
      </c>
      <c r="J13" s="23" t="n">
        <v>3</v>
      </c>
      <c r="K13" s="23" t="n">
        <v>0</v>
      </c>
      <c r="L13" s="23" t="n">
        <v>1</v>
      </c>
      <c r="M13" s="19" t="s">
        <v>137</v>
      </c>
      <c r="N13" s="24" t="s">
        <v>148</v>
      </c>
      <c r="O13" s="30" t="str">
        <f aca="false">IF($B13="","",TEXT($A13,"YYYY-MM")&amp;"|"&amp;$B13)</f>
        <v>2026-04|P-005</v>
      </c>
    </row>
    <row r="14" customFormat="false" ht="15" hidden="false" customHeight="false" outlineLevel="0" collapsed="false">
      <c r="A14" s="27" t="n">
        <v>46143</v>
      </c>
      <c r="B14" s="13" t="s">
        <v>83</v>
      </c>
      <c r="C14" s="17" t="n">
        <v>5</v>
      </c>
      <c r="D14" s="17" t="n">
        <v>4</v>
      </c>
      <c r="E14" s="17" t="n">
        <v>5</v>
      </c>
      <c r="F14" s="17" t="n">
        <v>4</v>
      </c>
      <c r="G14" s="16" t="n">
        <v>205000</v>
      </c>
      <c r="H14" s="17" t="n">
        <v>1</v>
      </c>
      <c r="I14" s="17" t="n">
        <v>1</v>
      </c>
      <c r="J14" s="17" t="n">
        <v>4</v>
      </c>
      <c r="K14" s="17" t="n">
        <v>1</v>
      </c>
      <c r="L14" s="17" t="n">
        <v>0</v>
      </c>
      <c r="M14" s="13" t="s">
        <v>139</v>
      </c>
      <c r="N14" s="18" t="s">
        <v>149</v>
      </c>
      <c r="O14" s="28" t="str">
        <f aca="false">IF($B14="","",TEXT($A14,"YYYY-MM")&amp;"|"&amp;$B14)</f>
        <v>2026-05|P-001</v>
      </c>
    </row>
    <row r="15" customFormat="false" ht="15" hidden="false" customHeight="false" outlineLevel="0" collapsed="false">
      <c r="A15" s="29" t="n">
        <v>46143</v>
      </c>
      <c r="B15" s="19" t="s">
        <v>91</v>
      </c>
      <c r="C15" s="23" t="n">
        <v>4</v>
      </c>
      <c r="D15" s="23" t="n">
        <v>4</v>
      </c>
      <c r="E15" s="23" t="n">
        <v>4</v>
      </c>
      <c r="F15" s="23" t="n">
        <v>4</v>
      </c>
      <c r="G15" s="22" t="n">
        <v>300000</v>
      </c>
      <c r="H15" s="23" t="n">
        <v>2</v>
      </c>
      <c r="I15" s="23" t="n">
        <v>1</v>
      </c>
      <c r="J15" s="23" t="n">
        <v>6</v>
      </c>
      <c r="K15" s="23" t="n">
        <v>2</v>
      </c>
      <c r="L15" s="23" t="n">
        <v>1</v>
      </c>
      <c r="M15" s="19" t="s">
        <v>139</v>
      </c>
      <c r="N15" s="24" t="s">
        <v>150</v>
      </c>
      <c r="O15" s="30" t="str">
        <f aca="false">IF($B15="","",TEXT($A15,"YYYY-MM")&amp;"|"&amp;$B15)</f>
        <v>2026-05|P-002</v>
      </c>
    </row>
    <row r="16" customFormat="false" ht="15" hidden="false" customHeight="false" outlineLevel="0" collapsed="false">
      <c r="A16" s="27" t="n">
        <v>46143</v>
      </c>
      <c r="B16" s="13" t="s">
        <v>99</v>
      </c>
      <c r="C16" s="17" t="n">
        <v>4</v>
      </c>
      <c r="D16" s="17" t="n">
        <v>3</v>
      </c>
      <c r="E16" s="17" t="n">
        <v>4</v>
      </c>
      <c r="F16" s="17" t="n">
        <v>3</v>
      </c>
      <c r="G16" s="16" t="n">
        <v>168000</v>
      </c>
      <c r="H16" s="17" t="n">
        <v>1</v>
      </c>
      <c r="I16" s="17" t="n">
        <v>1</v>
      </c>
      <c r="J16" s="17" t="n">
        <v>7</v>
      </c>
      <c r="K16" s="17" t="n">
        <v>2</v>
      </c>
      <c r="L16" s="17" t="n">
        <v>2</v>
      </c>
      <c r="M16" s="13" t="s">
        <v>139</v>
      </c>
      <c r="N16" s="18" t="s">
        <v>151</v>
      </c>
      <c r="O16" s="28" t="str">
        <f aca="false">IF($B16="","",TEXT($A16,"YYYY-MM")&amp;"|"&amp;$B16)</f>
        <v>2026-05|P-003</v>
      </c>
    </row>
    <row r="17" customFormat="false" ht="15" hidden="false" customHeight="false" outlineLevel="0" collapsed="false">
      <c r="A17" s="29" t="n">
        <v>46143</v>
      </c>
      <c r="B17" s="19" t="s">
        <v>107</v>
      </c>
      <c r="C17" s="23" t="n">
        <v>3</v>
      </c>
      <c r="D17" s="23" t="n">
        <v>3</v>
      </c>
      <c r="E17" s="23" t="n">
        <v>3</v>
      </c>
      <c r="F17" s="23" t="n">
        <v>3</v>
      </c>
      <c r="G17" s="22" t="n">
        <v>190000</v>
      </c>
      <c r="H17" s="23" t="n">
        <v>0</v>
      </c>
      <c r="I17" s="23" t="n">
        <v>0</v>
      </c>
      <c r="J17" s="23" t="n">
        <v>3</v>
      </c>
      <c r="K17" s="23" t="n">
        <v>0</v>
      </c>
      <c r="L17" s="23" t="n">
        <v>0</v>
      </c>
      <c r="M17" s="19" t="s">
        <v>137</v>
      </c>
      <c r="N17" s="24" t="s">
        <v>152</v>
      </c>
      <c r="O17" s="30" t="str">
        <f aca="false">IF($B17="","",TEXT($A17,"YYYY-MM")&amp;"|"&amp;$B17)</f>
        <v>2026-05|P-004</v>
      </c>
    </row>
    <row r="18" customFormat="false" ht="15" hidden="false" customHeight="false" outlineLevel="0" collapsed="false">
      <c r="A18" s="27" t="n">
        <v>46143</v>
      </c>
      <c r="B18" s="13" t="s">
        <v>114</v>
      </c>
      <c r="C18" s="17" t="n">
        <v>3</v>
      </c>
      <c r="D18" s="17" t="n">
        <v>3</v>
      </c>
      <c r="E18" s="17" t="n">
        <v>3</v>
      </c>
      <c r="F18" s="17" t="n">
        <v>3</v>
      </c>
      <c r="G18" s="16" t="n">
        <v>95000</v>
      </c>
      <c r="H18" s="17" t="n">
        <v>1</v>
      </c>
      <c r="I18" s="17" t="n">
        <v>0</v>
      </c>
      <c r="J18" s="17" t="n">
        <v>3</v>
      </c>
      <c r="K18" s="17" t="n">
        <v>1</v>
      </c>
      <c r="L18" s="17" t="n">
        <v>1</v>
      </c>
      <c r="M18" s="13" t="s">
        <v>139</v>
      </c>
      <c r="N18" s="18" t="s">
        <v>153</v>
      </c>
      <c r="O18" s="28" t="str">
        <f aca="false">IF($B18="","",TEXT($A18,"YYYY-MM")&amp;"|"&amp;$B18)</f>
        <v>2026-05|P-005</v>
      </c>
    </row>
    <row r="19" customFormat="false" ht="15" hidden="false" customHeight="false" outlineLevel="0" collapsed="false">
      <c r="A19" s="29" t="n">
        <v>46174</v>
      </c>
      <c r="B19" s="19" t="s">
        <v>83</v>
      </c>
      <c r="C19" s="23" t="n">
        <v>6</v>
      </c>
      <c r="D19" s="23" t="n">
        <v>5</v>
      </c>
      <c r="E19" s="23" t="n">
        <v>7</v>
      </c>
      <c r="F19" s="23" t="n">
        <v>6</v>
      </c>
      <c r="G19" s="22" t="n">
        <v>286000</v>
      </c>
      <c r="H19" s="23" t="n">
        <v>2</v>
      </c>
      <c r="I19" s="23" t="n">
        <v>1</v>
      </c>
      <c r="J19" s="23" t="n">
        <v>5</v>
      </c>
      <c r="K19" s="23" t="n">
        <v>1</v>
      </c>
      <c r="L19" s="23" t="n">
        <v>0</v>
      </c>
      <c r="M19" s="19" t="s">
        <v>139</v>
      </c>
      <c r="N19" s="24" t="s">
        <v>154</v>
      </c>
      <c r="O19" s="30" t="str">
        <f aca="false">IF($B19="","",TEXT($A19,"YYYY-MM")&amp;"|"&amp;$B19)</f>
        <v>2026-06|P-001</v>
      </c>
    </row>
    <row r="20" customFormat="false" ht="15" hidden="false" customHeight="false" outlineLevel="0" collapsed="false">
      <c r="A20" s="27" t="n">
        <v>46174</v>
      </c>
      <c r="B20" s="13" t="s">
        <v>91</v>
      </c>
      <c r="C20" s="17" t="n">
        <v>6</v>
      </c>
      <c r="D20" s="17" t="n">
        <v>6</v>
      </c>
      <c r="E20" s="17" t="n">
        <v>6</v>
      </c>
      <c r="F20" s="17" t="n">
        <v>5</v>
      </c>
      <c r="G20" s="16" t="n">
        <v>430000</v>
      </c>
      <c r="H20" s="17" t="n">
        <v>2</v>
      </c>
      <c r="I20" s="17" t="n">
        <v>1</v>
      </c>
      <c r="J20" s="17" t="n">
        <v>6</v>
      </c>
      <c r="K20" s="17" t="n">
        <v>1</v>
      </c>
      <c r="L20" s="17" t="n">
        <v>0</v>
      </c>
      <c r="M20" s="13" t="s">
        <v>137</v>
      </c>
      <c r="N20" s="18" t="s">
        <v>155</v>
      </c>
      <c r="O20" s="28" t="str">
        <f aca="false">IF($B20="","",TEXT($A20,"YYYY-MM")&amp;"|"&amp;$B20)</f>
        <v>2026-06|P-002</v>
      </c>
    </row>
    <row r="21" customFormat="false" ht="15" hidden="false" customHeight="false" outlineLevel="0" collapsed="false">
      <c r="A21" s="29" t="n">
        <v>46174</v>
      </c>
      <c r="B21" s="19" t="s">
        <v>99</v>
      </c>
      <c r="C21" s="23" t="n">
        <v>5</v>
      </c>
      <c r="D21" s="23" t="n">
        <v>3</v>
      </c>
      <c r="E21" s="23" t="n">
        <v>6</v>
      </c>
      <c r="F21" s="23" t="n">
        <v>4</v>
      </c>
      <c r="G21" s="22" t="n">
        <v>232000</v>
      </c>
      <c r="H21" s="23" t="n">
        <v>3</v>
      </c>
      <c r="I21" s="23" t="n">
        <v>2</v>
      </c>
      <c r="J21" s="23" t="n">
        <v>8</v>
      </c>
      <c r="K21" s="23" t="n">
        <v>3</v>
      </c>
      <c r="L21" s="23" t="n">
        <v>3</v>
      </c>
      <c r="M21" s="19" t="s">
        <v>156</v>
      </c>
      <c r="N21" s="24" t="s">
        <v>157</v>
      </c>
      <c r="O21" s="30" t="str">
        <f aca="false">IF($B21="","",TEXT($A21,"YYYY-MM")&amp;"|"&amp;$B21)</f>
        <v>2026-06|P-003</v>
      </c>
    </row>
    <row r="22" customFormat="false" ht="15" hidden="false" customHeight="false" outlineLevel="0" collapsed="false">
      <c r="A22" s="27" t="n">
        <v>46174</v>
      </c>
      <c r="B22" s="13" t="s">
        <v>107</v>
      </c>
      <c r="C22" s="17" t="n">
        <v>5</v>
      </c>
      <c r="D22" s="17" t="n">
        <v>5</v>
      </c>
      <c r="E22" s="17" t="n">
        <v>4</v>
      </c>
      <c r="F22" s="17" t="n">
        <v>4</v>
      </c>
      <c r="G22" s="16" t="n">
        <v>268000</v>
      </c>
      <c r="H22" s="17" t="n">
        <v>1</v>
      </c>
      <c r="I22" s="17" t="n">
        <v>1</v>
      </c>
      <c r="J22" s="17" t="n">
        <v>3</v>
      </c>
      <c r="K22" s="17" t="n">
        <v>0</v>
      </c>
      <c r="L22" s="17" t="n">
        <v>0</v>
      </c>
      <c r="M22" s="13" t="s">
        <v>137</v>
      </c>
      <c r="N22" s="18" t="s">
        <v>158</v>
      </c>
      <c r="O22" s="28" t="str">
        <f aca="false">IF($B22="","",TEXT($A22,"YYYY-MM")&amp;"|"&amp;$B22)</f>
        <v>2026-06|P-004</v>
      </c>
    </row>
    <row r="23" customFormat="false" ht="15" hidden="false" customHeight="false" outlineLevel="0" collapsed="false">
      <c r="A23" s="29" t="n">
        <v>46174</v>
      </c>
      <c r="B23" s="19" t="s">
        <v>114</v>
      </c>
      <c r="C23" s="23" t="n">
        <v>4</v>
      </c>
      <c r="D23" s="23" t="n">
        <v>4</v>
      </c>
      <c r="E23" s="23" t="n">
        <v>5</v>
      </c>
      <c r="F23" s="23" t="n">
        <v>4</v>
      </c>
      <c r="G23" s="22" t="n">
        <v>138000</v>
      </c>
      <c r="H23" s="23" t="n">
        <v>1</v>
      </c>
      <c r="I23" s="23" t="n">
        <v>0</v>
      </c>
      <c r="J23" s="23" t="n">
        <v>4</v>
      </c>
      <c r="K23" s="23" t="n">
        <v>1</v>
      </c>
      <c r="L23" s="23" t="n">
        <v>0</v>
      </c>
      <c r="M23" s="19" t="s">
        <v>139</v>
      </c>
      <c r="N23" s="24" t="s">
        <v>159</v>
      </c>
      <c r="O23" s="30" t="str">
        <f aca="false">IF($B23="","",TEXT($A23,"YYYY-MM")&amp;"|"&amp;$B23)</f>
        <v>2026-06|P-005</v>
      </c>
    </row>
    <row r="24" customFormat="false" ht="15" hidden="false" customHeight="false" outlineLevel="0" collapsed="false">
      <c r="A24" s="27" t="n">
        <v>46204</v>
      </c>
      <c r="B24" s="13" t="s">
        <v>83</v>
      </c>
      <c r="C24" s="17" t="n">
        <v>8</v>
      </c>
      <c r="D24" s="17" t="n">
        <v>7</v>
      </c>
      <c r="E24" s="17" t="n">
        <v>9</v>
      </c>
      <c r="F24" s="17" t="n">
        <v>8</v>
      </c>
      <c r="G24" s="16" t="n">
        <v>352000</v>
      </c>
      <c r="H24" s="17" t="n">
        <v>3</v>
      </c>
      <c r="I24" s="17" t="n">
        <v>2</v>
      </c>
      <c r="J24" s="17" t="n">
        <v>4</v>
      </c>
      <c r="K24" s="17" t="n">
        <v>1</v>
      </c>
      <c r="L24" s="17" t="n">
        <v>2</v>
      </c>
      <c r="M24" s="13" t="s">
        <v>139</v>
      </c>
      <c r="N24" s="18" t="s">
        <v>160</v>
      </c>
      <c r="O24" s="28" t="str">
        <f aca="false">IF($B24="","",TEXT($A24,"YYYY-MM")&amp;"|"&amp;$B24)</f>
        <v>2026-07|P-001</v>
      </c>
    </row>
    <row r="25" customFormat="false" ht="15" hidden="false" customHeight="false" outlineLevel="0" collapsed="false">
      <c r="A25" s="29" t="n">
        <v>46204</v>
      </c>
      <c r="B25" s="19" t="s">
        <v>91</v>
      </c>
      <c r="C25" s="23" t="n">
        <v>8</v>
      </c>
      <c r="D25" s="23" t="n">
        <v>7</v>
      </c>
      <c r="E25" s="23" t="n">
        <v>8</v>
      </c>
      <c r="F25" s="23" t="n">
        <v>7</v>
      </c>
      <c r="G25" s="22" t="n">
        <v>560000</v>
      </c>
      <c r="H25" s="23" t="n">
        <v>2</v>
      </c>
      <c r="I25" s="23" t="n">
        <v>1</v>
      </c>
      <c r="J25" s="23" t="n">
        <v>5</v>
      </c>
      <c r="K25" s="23" t="n">
        <v>1</v>
      </c>
      <c r="L25" s="23" t="n">
        <v>0</v>
      </c>
      <c r="M25" s="19" t="s">
        <v>137</v>
      </c>
      <c r="N25" s="24" t="s">
        <v>161</v>
      </c>
      <c r="O25" s="30" t="str">
        <f aca="false">IF($B25="","",TEXT($A25,"YYYY-MM")&amp;"|"&amp;$B25)</f>
        <v>2026-07|P-002</v>
      </c>
    </row>
    <row r="26" customFormat="false" ht="15" hidden="false" customHeight="false" outlineLevel="0" collapsed="false">
      <c r="A26" s="27" t="n">
        <v>46204</v>
      </c>
      <c r="B26" s="13" t="s">
        <v>99</v>
      </c>
      <c r="C26" s="17" t="n">
        <v>7</v>
      </c>
      <c r="D26" s="17" t="n">
        <v>4</v>
      </c>
      <c r="E26" s="17" t="n">
        <v>8</v>
      </c>
      <c r="F26" s="17" t="n">
        <v>5</v>
      </c>
      <c r="G26" s="16" t="n">
        <v>296000</v>
      </c>
      <c r="H26" s="17" t="n">
        <v>4</v>
      </c>
      <c r="I26" s="17" t="n">
        <v>3</v>
      </c>
      <c r="J26" s="17" t="n">
        <v>9</v>
      </c>
      <c r="K26" s="17" t="n">
        <v>3</v>
      </c>
      <c r="L26" s="17" t="n">
        <v>3</v>
      </c>
      <c r="M26" s="13" t="s">
        <v>156</v>
      </c>
      <c r="N26" s="18" t="s">
        <v>162</v>
      </c>
      <c r="O26" s="28" t="str">
        <f aca="false">IF($B26="","",TEXT($A26,"YYYY-MM")&amp;"|"&amp;$B26)</f>
        <v>2026-07|P-003</v>
      </c>
    </row>
    <row r="27" customFormat="false" ht="15" hidden="false" customHeight="false" outlineLevel="0" collapsed="false">
      <c r="A27" s="29" t="n">
        <v>46204</v>
      </c>
      <c r="B27" s="19" t="s">
        <v>107</v>
      </c>
      <c r="C27" s="23" t="n">
        <v>6</v>
      </c>
      <c r="D27" s="23" t="n">
        <v>6</v>
      </c>
      <c r="E27" s="23" t="n">
        <v>6</v>
      </c>
      <c r="F27" s="23" t="n">
        <v>6</v>
      </c>
      <c r="G27" s="22" t="n">
        <v>340000</v>
      </c>
      <c r="H27" s="23" t="n">
        <v>1</v>
      </c>
      <c r="I27" s="23" t="n">
        <v>1</v>
      </c>
      <c r="J27" s="23" t="n">
        <v>2</v>
      </c>
      <c r="K27" s="23" t="n">
        <v>0</v>
      </c>
      <c r="L27" s="23" t="n">
        <v>0</v>
      </c>
      <c r="M27" s="19" t="s">
        <v>137</v>
      </c>
      <c r="N27" s="24" t="s">
        <v>163</v>
      </c>
      <c r="O27" s="30" t="str">
        <f aca="false">IF($B27="","",TEXT($A27,"YYYY-MM")&amp;"|"&amp;$B27)</f>
        <v>2026-07|P-004</v>
      </c>
    </row>
    <row r="28" customFormat="false" ht="15" hidden="false" customHeight="false" outlineLevel="0" collapsed="false">
      <c r="A28" s="27" t="n">
        <v>46204</v>
      </c>
      <c r="B28" s="13" t="s">
        <v>114</v>
      </c>
      <c r="C28" s="17" t="n">
        <v>6</v>
      </c>
      <c r="D28" s="17" t="n">
        <v>5</v>
      </c>
      <c r="E28" s="17" t="n">
        <v>7</v>
      </c>
      <c r="F28" s="17" t="n">
        <v>6</v>
      </c>
      <c r="G28" s="16" t="n">
        <v>180000</v>
      </c>
      <c r="H28" s="17" t="n">
        <v>2</v>
      </c>
      <c r="I28" s="17" t="n">
        <v>1</v>
      </c>
      <c r="J28" s="17" t="n">
        <v>4</v>
      </c>
      <c r="K28" s="17" t="n">
        <v>1</v>
      </c>
      <c r="L28" s="17" t="n">
        <v>0</v>
      </c>
      <c r="M28" s="13" t="s">
        <v>137</v>
      </c>
      <c r="N28" s="18" t="s">
        <v>164</v>
      </c>
      <c r="O28" s="28" t="str">
        <f aca="false">IF($B28="","",TEXT($A28,"YYYY-MM")&amp;"|"&amp;$B28)</f>
        <v>2026-07|P-005</v>
      </c>
    </row>
    <row r="29" customFormat="false" ht="15" hidden="false" customHeight="false" outlineLevel="0" collapsed="false">
      <c r="A29" s="29" t="n">
        <v>46235</v>
      </c>
      <c r="B29" s="19" t="s">
        <v>83</v>
      </c>
      <c r="C29" s="23" t="n">
        <v>9</v>
      </c>
      <c r="D29" s="23" t="n">
        <v>7</v>
      </c>
      <c r="E29" s="23" t="n">
        <v>11</v>
      </c>
      <c r="F29" s="23" t="n">
        <v>9</v>
      </c>
      <c r="G29" s="22" t="n">
        <v>412000</v>
      </c>
      <c r="H29" s="23" t="n">
        <v>3</v>
      </c>
      <c r="I29" s="23" t="n">
        <v>2</v>
      </c>
      <c r="J29" s="23" t="n">
        <v>3</v>
      </c>
      <c r="K29" s="23" t="n">
        <v>1</v>
      </c>
      <c r="L29" s="23" t="n">
        <v>2</v>
      </c>
      <c r="M29" s="19" t="s">
        <v>139</v>
      </c>
      <c r="N29" s="24" t="s">
        <v>165</v>
      </c>
      <c r="O29" s="30" t="str">
        <f aca="false">IF($B29="","",TEXT($A29,"YYYY-MM")&amp;"|"&amp;$B29)</f>
        <v>2026-08|P-001</v>
      </c>
    </row>
    <row r="30" customFormat="false" ht="15" hidden="false" customHeight="false" outlineLevel="0" collapsed="false">
      <c r="A30" s="27" t="n">
        <v>46235</v>
      </c>
      <c r="B30" s="13" t="s">
        <v>91</v>
      </c>
      <c r="C30" s="17" t="n">
        <v>10</v>
      </c>
      <c r="D30" s="17" t="n">
        <v>9</v>
      </c>
      <c r="E30" s="17" t="n">
        <v>10</v>
      </c>
      <c r="F30" s="17" t="n">
        <v>9</v>
      </c>
      <c r="G30" s="16" t="n">
        <v>690000</v>
      </c>
      <c r="H30" s="17" t="n">
        <v>3</v>
      </c>
      <c r="I30" s="17" t="n">
        <v>2</v>
      </c>
      <c r="J30" s="17" t="n">
        <v>5</v>
      </c>
      <c r="K30" s="17" t="n">
        <v>0</v>
      </c>
      <c r="L30" s="17" t="n">
        <v>0</v>
      </c>
      <c r="M30" s="13" t="s">
        <v>137</v>
      </c>
      <c r="N30" s="18" t="s">
        <v>166</v>
      </c>
      <c r="O30" s="28" t="str">
        <f aca="false">IF($B30="","",TEXT($A30,"YYYY-MM")&amp;"|"&amp;$B30)</f>
        <v>2026-08|P-002</v>
      </c>
    </row>
    <row r="31" customFormat="false" ht="15" hidden="false" customHeight="false" outlineLevel="0" collapsed="false">
      <c r="A31" s="29" t="n">
        <v>46235</v>
      </c>
      <c r="B31" s="19" t="s">
        <v>99</v>
      </c>
      <c r="C31" s="23" t="n">
        <v>8</v>
      </c>
      <c r="D31" s="23" t="n">
        <v>5</v>
      </c>
      <c r="E31" s="23" t="n">
        <v>10</v>
      </c>
      <c r="F31" s="23" t="n">
        <v>6</v>
      </c>
      <c r="G31" s="22" t="n">
        <v>351000</v>
      </c>
      <c r="H31" s="23" t="n">
        <v>5</v>
      </c>
      <c r="I31" s="23" t="n">
        <v>4</v>
      </c>
      <c r="J31" s="23" t="n">
        <v>9</v>
      </c>
      <c r="K31" s="23" t="n">
        <v>3</v>
      </c>
      <c r="L31" s="23" t="n">
        <v>4</v>
      </c>
      <c r="M31" s="19" t="s">
        <v>156</v>
      </c>
      <c r="N31" s="24" t="s">
        <v>167</v>
      </c>
      <c r="O31" s="30" t="str">
        <f aca="false">IF($B31="","",TEXT($A31,"YYYY-MM")&amp;"|"&amp;$B31)</f>
        <v>2026-08|P-003</v>
      </c>
    </row>
    <row r="32" customFormat="false" ht="15" hidden="false" customHeight="false" outlineLevel="0" collapsed="false">
      <c r="A32" s="27" t="n">
        <v>46235</v>
      </c>
      <c r="B32" s="13" t="s">
        <v>107</v>
      </c>
      <c r="C32" s="17" t="n">
        <v>8</v>
      </c>
      <c r="D32" s="17" t="n">
        <v>8</v>
      </c>
      <c r="E32" s="17" t="n">
        <v>8</v>
      </c>
      <c r="F32" s="17" t="n">
        <v>8</v>
      </c>
      <c r="G32" s="16" t="n">
        <v>415000</v>
      </c>
      <c r="H32" s="17" t="n">
        <v>1</v>
      </c>
      <c r="I32" s="17" t="n">
        <v>1</v>
      </c>
      <c r="J32" s="17" t="n">
        <v>2</v>
      </c>
      <c r="K32" s="17" t="n">
        <v>0</v>
      </c>
      <c r="L32" s="17" t="n">
        <v>0</v>
      </c>
      <c r="M32" s="13" t="s">
        <v>137</v>
      </c>
      <c r="N32" s="18" t="s">
        <v>168</v>
      </c>
      <c r="O32" s="28" t="str">
        <f aca="false">IF($B32="","",TEXT($A32,"YYYY-MM")&amp;"|"&amp;$B32)</f>
        <v>2026-08|P-004</v>
      </c>
    </row>
    <row r="33" customFormat="false" ht="15" hidden="false" customHeight="false" outlineLevel="0" collapsed="false">
      <c r="A33" s="29" t="n">
        <v>46235</v>
      </c>
      <c r="B33" s="19" t="s">
        <v>114</v>
      </c>
      <c r="C33" s="23" t="n">
        <v>7</v>
      </c>
      <c r="D33" s="23" t="n">
        <v>6</v>
      </c>
      <c r="E33" s="23" t="n">
        <v>9</v>
      </c>
      <c r="F33" s="23" t="n">
        <v>7</v>
      </c>
      <c r="G33" s="22" t="n">
        <v>224000</v>
      </c>
      <c r="H33" s="23" t="n">
        <v>2</v>
      </c>
      <c r="I33" s="23" t="n">
        <v>1</v>
      </c>
      <c r="J33" s="23" t="n">
        <v>3</v>
      </c>
      <c r="K33" s="23" t="n">
        <v>0</v>
      </c>
      <c r="L33" s="23" t="n">
        <v>1</v>
      </c>
      <c r="M33" s="19" t="s">
        <v>137</v>
      </c>
      <c r="N33" s="24" t="s">
        <v>169</v>
      </c>
      <c r="O33" s="30" t="str">
        <f aca="false">IF($B33="","",TEXT($A33,"YYYY-MM")&amp;"|"&amp;$B33)</f>
        <v>2026-08|P-005</v>
      </c>
    </row>
    <row r="34" customFormat="false" ht="15" hidden="false" customHeight="false" outlineLevel="0" collapsed="false">
      <c r="A34" s="27"/>
      <c r="B34" s="13"/>
      <c r="C34" s="17"/>
      <c r="D34" s="17"/>
      <c r="E34" s="17"/>
      <c r="F34" s="17"/>
      <c r="G34" s="16"/>
      <c r="H34" s="17"/>
      <c r="I34" s="17"/>
      <c r="J34" s="17"/>
      <c r="K34" s="17"/>
      <c r="L34" s="17"/>
      <c r="M34" s="13"/>
      <c r="N34" s="14"/>
      <c r="O34" s="28" t="str">
        <f aca="false">IF($B34="","",TEXT($A34,"YYYY-MM")&amp;"|"&amp;$B34)</f>
        <v/>
      </c>
    </row>
    <row r="35" customFormat="false" ht="15" hidden="false" customHeight="false" outlineLevel="0" collapsed="false">
      <c r="A35" s="29"/>
      <c r="B35" s="19"/>
      <c r="C35" s="23"/>
      <c r="D35" s="23"/>
      <c r="E35" s="23"/>
      <c r="F35" s="23"/>
      <c r="G35" s="22"/>
      <c r="H35" s="23"/>
      <c r="I35" s="23"/>
      <c r="J35" s="23"/>
      <c r="K35" s="23"/>
      <c r="L35" s="23"/>
      <c r="M35" s="19"/>
      <c r="N35" s="20"/>
      <c r="O35" s="30" t="str">
        <f aca="false">IF($B35="","",TEXT($A35,"YYYY-MM")&amp;"|"&amp;$B35)</f>
        <v/>
      </c>
    </row>
    <row r="36" customFormat="false" ht="15" hidden="false" customHeight="false" outlineLevel="0" collapsed="false">
      <c r="A36" s="27"/>
      <c r="B36" s="13"/>
      <c r="C36" s="17"/>
      <c r="D36" s="17"/>
      <c r="E36" s="17"/>
      <c r="F36" s="17"/>
      <c r="G36" s="16"/>
      <c r="H36" s="17"/>
      <c r="I36" s="17"/>
      <c r="J36" s="17"/>
      <c r="K36" s="17"/>
      <c r="L36" s="17"/>
      <c r="M36" s="13"/>
      <c r="N36" s="14"/>
      <c r="O36" s="28" t="str">
        <f aca="false">IF($B36="","",TEXT($A36,"YYYY-MM")&amp;"|"&amp;$B36)</f>
        <v/>
      </c>
    </row>
    <row r="37" customFormat="false" ht="15" hidden="false" customHeight="false" outlineLevel="0" collapsed="false">
      <c r="A37" s="29"/>
      <c r="B37" s="19"/>
      <c r="C37" s="23"/>
      <c r="D37" s="23"/>
      <c r="E37" s="23"/>
      <c r="F37" s="23"/>
      <c r="G37" s="22"/>
      <c r="H37" s="23"/>
      <c r="I37" s="23"/>
      <c r="J37" s="23"/>
      <c r="K37" s="23"/>
      <c r="L37" s="23"/>
      <c r="M37" s="19"/>
      <c r="N37" s="20"/>
      <c r="O37" s="30" t="str">
        <f aca="false">IF($B37="","",TEXT($A37,"YYYY-MM")&amp;"|"&amp;$B37)</f>
        <v/>
      </c>
    </row>
    <row r="38" customFormat="false" ht="15" hidden="false" customHeight="false" outlineLevel="0" collapsed="false">
      <c r="A38" s="27"/>
      <c r="B38" s="13"/>
      <c r="C38" s="17"/>
      <c r="D38" s="17"/>
      <c r="E38" s="17"/>
      <c r="F38" s="17"/>
      <c r="G38" s="16"/>
      <c r="H38" s="17"/>
      <c r="I38" s="17"/>
      <c r="J38" s="17"/>
      <c r="K38" s="17"/>
      <c r="L38" s="17"/>
      <c r="M38" s="13"/>
      <c r="N38" s="14"/>
      <c r="O38" s="28" t="str">
        <f aca="false">IF($B38="","",TEXT($A38,"YYYY-MM")&amp;"|"&amp;$B38)</f>
        <v/>
      </c>
    </row>
    <row r="39" customFormat="false" ht="15" hidden="false" customHeight="false" outlineLevel="0" collapsed="false">
      <c r="A39" s="29"/>
      <c r="B39" s="19"/>
      <c r="C39" s="23"/>
      <c r="D39" s="23"/>
      <c r="E39" s="23"/>
      <c r="F39" s="23"/>
      <c r="G39" s="22"/>
      <c r="H39" s="23"/>
      <c r="I39" s="23"/>
      <c r="J39" s="23"/>
      <c r="K39" s="23"/>
      <c r="L39" s="23"/>
      <c r="M39" s="19"/>
      <c r="N39" s="20"/>
      <c r="O39" s="30" t="str">
        <f aca="false">IF($B39="","",TEXT($A39,"YYYY-MM")&amp;"|"&amp;$B39)</f>
        <v/>
      </c>
    </row>
    <row r="40" customFormat="false" ht="15" hidden="false" customHeight="false" outlineLevel="0" collapsed="false">
      <c r="A40" s="27"/>
      <c r="B40" s="13"/>
      <c r="C40" s="17"/>
      <c r="D40" s="17"/>
      <c r="E40" s="17"/>
      <c r="F40" s="17"/>
      <c r="G40" s="16"/>
      <c r="H40" s="17"/>
      <c r="I40" s="17"/>
      <c r="J40" s="17"/>
      <c r="K40" s="17"/>
      <c r="L40" s="17"/>
      <c r="M40" s="13"/>
      <c r="N40" s="14"/>
      <c r="O40" s="28" t="str">
        <f aca="false">IF($B40="","",TEXT($A40,"YYYY-MM")&amp;"|"&amp;$B40)</f>
        <v/>
      </c>
    </row>
    <row r="41" customFormat="false" ht="15" hidden="false" customHeight="false" outlineLevel="0" collapsed="false">
      <c r="A41" s="29"/>
      <c r="B41" s="19"/>
      <c r="C41" s="23"/>
      <c r="D41" s="23"/>
      <c r="E41" s="23"/>
      <c r="F41" s="23"/>
      <c r="G41" s="22"/>
      <c r="H41" s="23"/>
      <c r="I41" s="23"/>
      <c r="J41" s="23"/>
      <c r="K41" s="23"/>
      <c r="L41" s="23"/>
      <c r="M41" s="19"/>
      <c r="N41" s="20"/>
      <c r="O41" s="30" t="str">
        <f aca="false">IF($B41="","",TEXT($A41,"YYYY-MM")&amp;"|"&amp;$B41)</f>
        <v/>
      </c>
    </row>
    <row r="42" customFormat="false" ht="15" hidden="false" customHeight="false" outlineLevel="0" collapsed="false">
      <c r="A42" s="27"/>
      <c r="B42" s="13"/>
      <c r="C42" s="17"/>
      <c r="D42" s="17"/>
      <c r="E42" s="17"/>
      <c r="F42" s="17"/>
      <c r="G42" s="16"/>
      <c r="H42" s="17"/>
      <c r="I42" s="17"/>
      <c r="J42" s="17"/>
      <c r="K42" s="17"/>
      <c r="L42" s="17"/>
      <c r="M42" s="13"/>
      <c r="N42" s="14"/>
      <c r="O42" s="28" t="str">
        <f aca="false">IF($B42="","",TEXT($A42,"YYYY-MM")&amp;"|"&amp;$B42)</f>
        <v/>
      </c>
    </row>
    <row r="43" customFormat="false" ht="15" hidden="false" customHeight="false" outlineLevel="0" collapsed="false">
      <c r="A43" s="29"/>
      <c r="B43" s="19"/>
      <c r="C43" s="23"/>
      <c r="D43" s="23"/>
      <c r="E43" s="23"/>
      <c r="F43" s="23"/>
      <c r="G43" s="22"/>
      <c r="H43" s="23"/>
      <c r="I43" s="23"/>
      <c r="J43" s="23"/>
      <c r="K43" s="23"/>
      <c r="L43" s="23"/>
      <c r="M43" s="19"/>
      <c r="N43" s="20"/>
      <c r="O43" s="30" t="str">
        <f aca="false">IF($B43="","",TEXT($A43,"YYYY-MM")&amp;"|"&amp;$B43)</f>
        <v/>
      </c>
    </row>
    <row r="44" customFormat="false" ht="15" hidden="false" customHeight="false" outlineLevel="0" collapsed="false">
      <c r="A44" s="27"/>
      <c r="B44" s="13"/>
      <c r="C44" s="17"/>
      <c r="D44" s="17"/>
      <c r="E44" s="17"/>
      <c r="F44" s="17"/>
      <c r="G44" s="16"/>
      <c r="H44" s="17"/>
      <c r="I44" s="17"/>
      <c r="J44" s="17"/>
      <c r="K44" s="17"/>
      <c r="L44" s="17"/>
      <c r="M44" s="13"/>
      <c r="N44" s="14"/>
      <c r="O44" s="28" t="str">
        <f aca="false">IF($B44="","",TEXT($A44,"YYYY-MM")&amp;"|"&amp;$B44)</f>
        <v/>
      </c>
    </row>
    <row r="45" customFormat="false" ht="15" hidden="false" customHeight="false" outlineLevel="0" collapsed="false">
      <c r="A45" s="29"/>
      <c r="B45" s="19"/>
      <c r="C45" s="23"/>
      <c r="D45" s="23"/>
      <c r="E45" s="23"/>
      <c r="F45" s="23"/>
      <c r="G45" s="22"/>
      <c r="H45" s="23"/>
      <c r="I45" s="23"/>
      <c r="J45" s="23"/>
      <c r="K45" s="23"/>
      <c r="L45" s="23"/>
      <c r="M45" s="19"/>
      <c r="N45" s="20"/>
      <c r="O45" s="30" t="str">
        <f aca="false">IF($B45="","",TEXT($A45,"YYYY-MM")&amp;"|"&amp;$B45)</f>
        <v/>
      </c>
    </row>
    <row r="46" customFormat="false" ht="15" hidden="false" customHeight="false" outlineLevel="0" collapsed="false">
      <c r="A46" s="27"/>
      <c r="B46" s="13"/>
      <c r="C46" s="17"/>
      <c r="D46" s="17"/>
      <c r="E46" s="17"/>
      <c r="F46" s="17"/>
      <c r="G46" s="16"/>
      <c r="H46" s="17"/>
      <c r="I46" s="17"/>
      <c r="J46" s="17"/>
      <c r="K46" s="17"/>
      <c r="L46" s="17"/>
      <c r="M46" s="13"/>
      <c r="N46" s="14"/>
      <c r="O46" s="28" t="str">
        <f aca="false">IF($B46="","",TEXT($A46,"YYYY-MM")&amp;"|"&amp;$B46)</f>
        <v/>
      </c>
    </row>
    <row r="47" customFormat="false" ht="15" hidden="false" customHeight="false" outlineLevel="0" collapsed="false">
      <c r="A47" s="29"/>
      <c r="B47" s="19"/>
      <c r="C47" s="23"/>
      <c r="D47" s="23"/>
      <c r="E47" s="23"/>
      <c r="F47" s="23"/>
      <c r="G47" s="22"/>
      <c r="H47" s="23"/>
      <c r="I47" s="23"/>
      <c r="J47" s="23"/>
      <c r="K47" s="23"/>
      <c r="L47" s="23"/>
      <c r="M47" s="19"/>
      <c r="N47" s="20"/>
      <c r="O47" s="30" t="str">
        <f aca="false">IF($B47="","",TEXT($A47,"YYYY-MM")&amp;"|"&amp;$B47)</f>
        <v/>
      </c>
    </row>
    <row r="48" customFormat="false" ht="15" hidden="false" customHeight="false" outlineLevel="0" collapsed="false">
      <c r="A48" s="27"/>
      <c r="B48" s="13"/>
      <c r="C48" s="17"/>
      <c r="D48" s="17"/>
      <c r="E48" s="17"/>
      <c r="F48" s="17"/>
      <c r="G48" s="16"/>
      <c r="H48" s="17"/>
      <c r="I48" s="17"/>
      <c r="J48" s="17"/>
      <c r="K48" s="17"/>
      <c r="L48" s="17"/>
      <c r="M48" s="13"/>
      <c r="N48" s="14"/>
      <c r="O48" s="28" t="str">
        <f aca="false">IF($B48="","",TEXT($A48,"YYYY-MM")&amp;"|"&amp;$B48)</f>
        <v/>
      </c>
    </row>
    <row r="49" customFormat="false" ht="15" hidden="false" customHeight="false" outlineLevel="0" collapsed="false">
      <c r="A49" s="29"/>
      <c r="B49" s="19"/>
      <c r="C49" s="23"/>
      <c r="D49" s="23"/>
      <c r="E49" s="23"/>
      <c r="F49" s="23"/>
      <c r="G49" s="22"/>
      <c r="H49" s="23"/>
      <c r="I49" s="23"/>
      <c r="J49" s="23"/>
      <c r="K49" s="23"/>
      <c r="L49" s="23"/>
      <c r="M49" s="19"/>
      <c r="N49" s="20"/>
      <c r="O49" s="30" t="str">
        <f aca="false">IF($B49="","",TEXT($A49,"YYYY-MM")&amp;"|"&amp;$B49)</f>
        <v/>
      </c>
    </row>
    <row r="50" customFormat="false" ht="15" hidden="false" customHeight="false" outlineLevel="0" collapsed="false">
      <c r="A50" s="27"/>
      <c r="B50" s="13"/>
      <c r="C50" s="17"/>
      <c r="D50" s="17"/>
      <c r="E50" s="17"/>
      <c r="F50" s="17"/>
      <c r="G50" s="16"/>
      <c r="H50" s="17"/>
      <c r="I50" s="17"/>
      <c r="J50" s="17"/>
      <c r="K50" s="17"/>
      <c r="L50" s="17"/>
      <c r="M50" s="13"/>
      <c r="N50" s="14"/>
      <c r="O50" s="28" t="str">
        <f aca="false">IF($B50="","",TEXT($A50,"YYYY-MM")&amp;"|"&amp;$B50)</f>
        <v/>
      </c>
    </row>
    <row r="51" customFormat="false" ht="15" hidden="false" customHeight="false" outlineLevel="0" collapsed="false">
      <c r="A51" s="29"/>
      <c r="B51" s="19"/>
      <c r="C51" s="23"/>
      <c r="D51" s="23"/>
      <c r="E51" s="23"/>
      <c r="F51" s="23"/>
      <c r="G51" s="22"/>
      <c r="H51" s="23"/>
      <c r="I51" s="23"/>
      <c r="J51" s="23"/>
      <c r="K51" s="23"/>
      <c r="L51" s="23"/>
      <c r="M51" s="19"/>
      <c r="N51" s="20"/>
      <c r="O51" s="30" t="str">
        <f aca="false">IF($B51="","",TEXT($A51,"YYYY-MM")&amp;"|"&amp;$B51)</f>
        <v/>
      </c>
    </row>
    <row r="52" customFormat="false" ht="15" hidden="false" customHeight="false" outlineLevel="0" collapsed="false">
      <c r="A52" s="27"/>
      <c r="B52" s="13"/>
      <c r="C52" s="17"/>
      <c r="D52" s="17"/>
      <c r="E52" s="17"/>
      <c r="F52" s="17"/>
      <c r="G52" s="16"/>
      <c r="H52" s="17"/>
      <c r="I52" s="17"/>
      <c r="J52" s="17"/>
      <c r="K52" s="17"/>
      <c r="L52" s="17"/>
      <c r="M52" s="13"/>
      <c r="N52" s="14"/>
      <c r="O52" s="28" t="str">
        <f aca="false">IF($B52="","",TEXT($A52,"YYYY-MM")&amp;"|"&amp;$B52)</f>
        <v/>
      </c>
    </row>
    <row r="53" customFormat="false" ht="15" hidden="false" customHeight="false" outlineLevel="0" collapsed="false">
      <c r="A53" s="29"/>
      <c r="B53" s="19"/>
      <c r="C53" s="23"/>
      <c r="D53" s="23"/>
      <c r="E53" s="23"/>
      <c r="F53" s="23"/>
      <c r="G53" s="22"/>
      <c r="H53" s="23"/>
      <c r="I53" s="23"/>
      <c r="J53" s="23"/>
      <c r="K53" s="23"/>
      <c r="L53" s="23"/>
      <c r="M53" s="19"/>
      <c r="N53" s="20"/>
      <c r="O53" s="30" t="str">
        <f aca="false">IF($B53="","",TEXT($A53,"YYYY-MM")&amp;"|"&amp;$B53)</f>
        <v/>
      </c>
    </row>
    <row r="54" customFormat="false" ht="15" hidden="false" customHeight="false" outlineLevel="0" collapsed="false">
      <c r="A54" s="27"/>
      <c r="B54" s="13"/>
      <c r="C54" s="17"/>
      <c r="D54" s="17"/>
      <c r="E54" s="17"/>
      <c r="F54" s="17"/>
      <c r="G54" s="16"/>
      <c r="H54" s="17"/>
      <c r="I54" s="17"/>
      <c r="J54" s="17"/>
      <c r="K54" s="17"/>
      <c r="L54" s="17"/>
      <c r="M54" s="13"/>
      <c r="N54" s="14"/>
      <c r="O54" s="28" t="str">
        <f aca="false">IF($B54="","",TEXT($A54,"YYYY-MM")&amp;"|"&amp;$B54)</f>
        <v/>
      </c>
    </row>
    <row r="55" customFormat="false" ht="15" hidden="false" customHeight="false" outlineLevel="0" collapsed="false">
      <c r="A55" s="29"/>
      <c r="B55" s="19"/>
      <c r="C55" s="23"/>
      <c r="D55" s="23"/>
      <c r="E55" s="23"/>
      <c r="F55" s="23"/>
      <c r="G55" s="22"/>
      <c r="H55" s="23"/>
      <c r="I55" s="23"/>
      <c r="J55" s="23"/>
      <c r="K55" s="23"/>
      <c r="L55" s="23"/>
      <c r="M55" s="19"/>
      <c r="N55" s="20"/>
      <c r="O55" s="30" t="str">
        <f aca="false">IF($B55="","",TEXT($A55,"YYYY-MM")&amp;"|"&amp;$B55)</f>
        <v/>
      </c>
    </row>
    <row r="56" customFormat="false" ht="15" hidden="false" customHeight="false" outlineLevel="0" collapsed="false">
      <c r="A56" s="27"/>
      <c r="B56" s="13"/>
      <c r="C56" s="17"/>
      <c r="D56" s="17"/>
      <c r="E56" s="17"/>
      <c r="F56" s="17"/>
      <c r="G56" s="16"/>
      <c r="H56" s="17"/>
      <c r="I56" s="17"/>
      <c r="J56" s="17"/>
      <c r="K56" s="17"/>
      <c r="L56" s="17"/>
      <c r="M56" s="13"/>
      <c r="N56" s="14"/>
      <c r="O56" s="28" t="str">
        <f aca="false">IF($B56="","",TEXT($A56,"YYYY-MM")&amp;"|"&amp;$B56)</f>
        <v/>
      </c>
    </row>
    <row r="57" customFormat="false" ht="15" hidden="false" customHeight="false" outlineLevel="0" collapsed="false">
      <c r="A57" s="29"/>
      <c r="B57" s="19"/>
      <c r="C57" s="23"/>
      <c r="D57" s="23"/>
      <c r="E57" s="23"/>
      <c r="F57" s="23"/>
      <c r="G57" s="22"/>
      <c r="H57" s="23"/>
      <c r="I57" s="23"/>
      <c r="J57" s="23"/>
      <c r="K57" s="23"/>
      <c r="L57" s="23"/>
      <c r="M57" s="19"/>
      <c r="N57" s="20"/>
      <c r="O57" s="30" t="str">
        <f aca="false">IF($B57="","",TEXT($A57,"YYYY-MM")&amp;"|"&amp;$B57)</f>
        <v/>
      </c>
    </row>
    <row r="58" customFormat="false" ht="15" hidden="false" customHeight="false" outlineLevel="0" collapsed="false">
      <c r="A58" s="27"/>
      <c r="B58" s="13"/>
      <c r="C58" s="17"/>
      <c r="D58" s="17"/>
      <c r="E58" s="17"/>
      <c r="F58" s="17"/>
      <c r="G58" s="16"/>
      <c r="H58" s="17"/>
      <c r="I58" s="17"/>
      <c r="J58" s="17"/>
      <c r="K58" s="17"/>
      <c r="L58" s="17"/>
      <c r="M58" s="13"/>
      <c r="N58" s="14"/>
      <c r="O58" s="28" t="str">
        <f aca="false">IF($B58="","",TEXT($A58,"YYYY-MM")&amp;"|"&amp;$B58)</f>
        <v/>
      </c>
    </row>
    <row r="59" customFormat="false" ht="15" hidden="false" customHeight="false" outlineLevel="0" collapsed="false">
      <c r="A59" s="29"/>
      <c r="B59" s="19"/>
      <c r="C59" s="23"/>
      <c r="D59" s="23"/>
      <c r="E59" s="23"/>
      <c r="F59" s="23"/>
      <c r="G59" s="22"/>
      <c r="H59" s="23"/>
      <c r="I59" s="23"/>
      <c r="J59" s="23"/>
      <c r="K59" s="23"/>
      <c r="L59" s="23"/>
      <c r="M59" s="19"/>
      <c r="N59" s="20"/>
      <c r="O59" s="30" t="str">
        <f aca="false">IF($B59="","",TEXT($A59,"YYYY-MM")&amp;"|"&amp;$B59)</f>
        <v/>
      </c>
    </row>
    <row r="60" customFormat="false" ht="15" hidden="false" customHeight="false" outlineLevel="0" collapsed="false">
      <c r="A60" s="27"/>
      <c r="B60" s="13"/>
      <c r="C60" s="17"/>
      <c r="D60" s="17"/>
      <c r="E60" s="17"/>
      <c r="F60" s="17"/>
      <c r="G60" s="16"/>
      <c r="H60" s="17"/>
      <c r="I60" s="17"/>
      <c r="J60" s="17"/>
      <c r="K60" s="17"/>
      <c r="L60" s="17"/>
      <c r="M60" s="13"/>
      <c r="N60" s="14"/>
      <c r="O60" s="28" t="str">
        <f aca="false">IF($B60="","",TEXT($A60,"YYYY-MM")&amp;"|"&amp;$B60)</f>
        <v/>
      </c>
    </row>
    <row r="61" customFormat="false" ht="15" hidden="false" customHeight="false" outlineLevel="0" collapsed="false">
      <c r="A61" s="29"/>
      <c r="B61" s="19"/>
      <c r="C61" s="23"/>
      <c r="D61" s="23"/>
      <c r="E61" s="23"/>
      <c r="F61" s="23"/>
      <c r="G61" s="22"/>
      <c r="H61" s="23"/>
      <c r="I61" s="23"/>
      <c r="J61" s="23"/>
      <c r="K61" s="23"/>
      <c r="L61" s="23"/>
      <c r="M61" s="19"/>
      <c r="N61" s="20"/>
      <c r="O61" s="30" t="str">
        <f aca="false">IF($B61="","",TEXT($A61,"YYYY-MM")&amp;"|"&amp;$B61)</f>
        <v/>
      </c>
    </row>
    <row r="62" customFormat="false" ht="15" hidden="false" customHeight="false" outlineLevel="0" collapsed="false">
      <c r="A62" s="27"/>
      <c r="B62" s="13"/>
      <c r="C62" s="17"/>
      <c r="D62" s="17"/>
      <c r="E62" s="17"/>
      <c r="F62" s="17"/>
      <c r="G62" s="16"/>
      <c r="H62" s="17"/>
      <c r="I62" s="17"/>
      <c r="J62" s="17"/>
      <c r="K62" s="17"/>
      <c r="L62" s="17"/>
      <c r="M62" s="13"/>
      <c r="N62" s="14"/>
      <c r="O62" s="28" t="str">
        <f aca="false">IF($B62="","",TEXT($A62,"YYYY-MM")&amp;"|"&amp;$B62)</f>
        <v/>
      </c>
    </row>
    <row r="63" customFormat="false" ht="15" hidden="false" customHeight="false" outlineLevel="0" collapsed="false">
      <c r="A63" s="29"/>
      <c r="B63" s="19"/>
      <c r="C63" s="23"/>
      <c r="D63" s="23"/>
      <c r="E63" s="23"/>
      <c r="F63" s="23"/>
      <c r="G63" s="22"/>
      <c r="H63" s="23"/>
      <c r="I63" s="23"/>
      <c r="J63" s="23"/>
      <c r="K63" s="23"/>
      <c r="L63" s="23"/>
      <c r="M63" s="19"/>
      <c r="N63" s="20"/>
      <c r="O63" s="30" t="str">
        <f aca="false">IF($B63="","",TEXT($A63,"YYYY-MM")&amp;"|"&amp;$B63)</f>
        <v/>
      </c>
    </row>
    <row r="64" customFormat="false" ht="15" hidden="false" customHeight="false" outlineLevel="0" collapsed="false">
      <c r="A64" s="27"/>
      <c r="B64" s="13"/>
      <c r="C64" s="17"/>
      <c r="D64" s="17"/>
      <c r="E64" s="17"/>
      <c r="F64" s="17"/>
      <c r="G64" s="16"/>
      <c r="H64" s="17"/>
      <c r="I64" s="17"/>
      <c r="J64" s="17"/>
      <c r="K64" s="17"/>
      <c r="L64" s="17"/>
      <c r="M64" s="13"/>
      <c r="N64" s="14"/>
      <c r="O64" s="28" t="str">
        <f aca="false">IF($B64="","",TEXT($A64,"YYYY-MM")&amp;"|"&amp;$B64)</f>
        <v/>
      </c>
    </row>
    <row r="65" customFormat="false" ht="15" hidden="false" customHeight="false" outlineLevel="0" collapsed="false">
      <c r="A65" s="29"/>
      <c r="B65" s="19"/>
      <c r="C65" s="23"/>
      <c r="D65" s="23"/>
      <c r="E65" s="23"/>
      <c r="F65" s="23"/>
      <c r="G65" s="22"/>
      <c r="H65" s="23"/>
      <c r="I65" s="23"/>
      <c r="J65" s="23"/>
      <c r="K65" s="23"/>
      <c r="L65" s="23"/>
      <c r="M65" s="19"/>
      <c r="N65" s="20"/>
      <c r="O65" s="30" t="str">
        <f aca="false">IF($B65="","",TEXT($A65,"YYYY-MM")&amp;"|"&amp;$B65)</f>
        <v/>
      </c>
    </row>
    <row r="66" customFormat="false" ht="15" hidden="false" customHeight="false" outlineLevel="0" collapsed="false">
      <c r="A66" s="27"/>
      <c r="B66" s="13"/>
      <c r="C66" s="17"/>
      <c r="D66" s="17"/>
      <c r="E66" s="17"/>
      <c r="F66" s="17"/>
      <c r="G66" s="16"/>
      <c r="H66" s="17"/>
      <c r="I66" s="17"/>
      <c r="J66" s="17"/>
      <c r="K66" s="17"/>
      <c r="L66" s="17"/>
      <c r="M66" s="13"/>
      <c r="N66" s="14"/>
      <c r="O66" s="28" t="str">
        <f aca="false">IF($B66="","",TEXT($A66,"YYYY-MM")&amp;"|"&amp;$B66)</f>
        <v/>
      </c>
    </row>
    <row r="67" customFormat="false" ht="15" hidden="false" customHeight="false" outlineLevel="0" collapsed="false">
      <c r="A67" s="29"/>
      <c r="B67" s="19"/>
      <c r="C67" s="23"/>
      <c r="D67" s="23"/>
      <c r="E67" s="23"/>
      <c r="F67" s="23"/>
      <c r="G67" s="22"/>
      <c r="H67" s="23"/>
      <c r="I67" s="23"/>
      <c r="J67" s="23"/>
      <c r="K67" s="23"/>
      <c r="L67" s="23"/>
      <c r="M67" s="19"/>
      <c r="N67" s="20"/>
      <c r="O67" s="30" t="str">
        <f aca="false">IF($B67="","",TEXT($A67,"YYYY-MM")&amp;"|"&amp;$B67)</f>
        <v/>
      </c>
    </row>
    <row r="68" customFormat="false" ht="15" hidden="false" customHeight="false" outlineLevel="0" collapsed="false">
      <c r="A68" s="27"/>
      <c r="B68" s="13"/>
      <c r="C68" s="17"/>
      <c r="D68" s="17"/>
      <c r="E68" s="17"/>
      <c r="F68" s="17"/>
      <c r="G68" s="16"/>
      <c r="H68" s="17"/>
      <c r="I68" s="17"/>
      <c r="J68" s="17"/>
      <c r="K68" s="17"/>
      <c r="L68" s="17"/>
      <c r="M68" s="13"/>
      <c r="N68" s="14"/>
      <c r="O68" s="28" t="str">
        <f aca="false">IF($B68="","",TEXT($A68,"YYYY-MM")&amp;"|"&amp;$B68)</f>
        <v/>
      </c>
    </row>
    <row r="69" customFormat="false" ht="15" hidden="false" customHeight="false" outlineLevel="0" collapsed="false">
      <c r="A69" s="29"/>
      <c r="B69" s="19"/>
      <c r="C69" s="23"/>
      <c r="D69" s="23"/>
      <c r="E69" s="23"/>
      <c r="F69" s="23"/>
      <c r="G69" s="22"/>
      <c r="H69" s="23"/>
      <c r="I69" s="23"/>
      <c r="J69" s="23"/>
      <c r="K69" s="23"/>
      <c r="L69" s="23"/>
      <c r="M69" s="19"/>
      <c r="N69" s="20"/>
      <c r="O69" s="30" t="str">
        <f aca="false">IF($B69="","",TEXT($A69,"YYYY-MM")&amp;"|"&amp;$B69)</f>
        <v/>
      </c>
    </row>
    <row r="70" customFormat="false" ht="15" hidden="false" customHeight="false" outlineLevel="0" collapsed="false">
      <c r="A70" s="27"/>
      <c r="B70" s="13"/>
      <c r="C70" s="17"/>
      <c r="D70" s="17"/>
      <c r="E70" s="17"/>
      <c r="F70" s="17"/>
      <c r="G70" s="16"/>
      <c r="H70" s="17"/>
      <c r="I70" s="17"/>
      <c r="J70" s="17"/>
      <c r="K70" s="17"/>
      <c r="L70" s="17"/>
      <c r="M70" s="13"/>
      <c r="N70" s="14"/>
      <c r="O70" s="28" t="str">
        <f aca="false">IF($B70="","",TEXT($A70,"YYYY-MM")&amp;"|"&amp;$B70)</f>
        <v/>
      </c>
    </row>
    <row r="71" customFormat="false" ht="15" hidden="false" customHeight="false" outlineLevel="0" collapsed="false">
      <c r="A71" s="29"/>
      <c r="B71" s="19"/>
      <c r="C71" s="23"/>
      <c r="D71" s="23"/>
      <c r="E71" s="23"/>
      <c r="F71" s="23"/>
      <c r="G71" s="22"/>
      <c r="H71" s="23"/>
      <c r="I71" s="23"/>
      <c r="J71" s="23"/>
      <c r="K71" s="23"/>
      <c r="L71" s="23"/>
      <c r="M71" s="19"/>
      <c r="N71" s="20"/>
      <c r="O71" s="30" t="str">
        <f aca="false">IF($B71="","",TEXT($A71,"YYYY-MM")&amp;"|"&amp;$B71)</f>
        <v/>
      </c>
    </row>
    <row r="72" customFormat="false" ht="15" hidden="false" customHeight="false" outlineLevel="0" collapsed="false">
      <c r="A72" s="27"/>
      <c r="B72" s="13"/>
      <c r="C72" s="17"/>
      <c r="D72" s="17"/>
      <c r="E72" s="17"/>
      <c r="F72" s="17"/>
      <c r="G72" s="16"/>
      <c r="H72" s="17"/>
      <c r="I72" s="17"/>
      <c r="J72" s="17"/>
      <c r="K72" s="17"/>
      <c r="L72" s="17"/>
      <c r="M72" s="13"/>
      <c r="N72" s="14"/>
      <c r="O72" s="28" t="str">
        <f aca="false">IF($B72="","",TEXT($A72,"YYYY-MM")&amp;"|"&amp;$B72)</f>
        <v/>
      </c>
    </row>
    <row r="73" customFormat="false" ht="15" hidden="false" customHeight="false" outlineLevel="0" collapsed="false">
      <c r="A73" s="29"/>
      <c r="B73" s="19"/>
      <c r="C73" s="23"/>
      <c r="D73" s="23"/>
      <c r="E73" s="23"/>
      <c r="F73" s="23"/>
      <c r="G73" s="22"/>
      <c r="H73" s="23"/>
      <c r="I73" s="23"/>
      <c r="J73" s="23"/>
      <c r="K73" s="23"/>
      <c r="L73" s="23"/>
      <c r="M73" s="19"/>
      <c r="N73" s="20"/>
      <c r="O73" s="30" t="str">
        <f aca="false">IF($B73="","",TEXT($A73,"YYYY-MM")&amp;"|"&amp;$B73)</f>
        <v/>
      </c>
    </row>
    <row r="74" customFormat="false" ht="15" hidden="false" customHeight="false" outlineLevel="0" collapsed="false">
      <c r="A74" s="27"/>
      <c r="B74" s="13"/>
      <c r="C74" s="17"/>
      <c r="D74" s="17"/>
      <c r="E74" s="17"/>
      <c r="F74" s="17"/>
      <c r="G74" s="16"/>
      <c r="H74" s="17"/>
      <c r="I74" s="17"/>
      <c r="J74" s="17"/>
      <c r="K74" s="17"/>
      <c r="L74" s="17"/>
      <c r="M74" s="13"/>
      <c r="N74" s="14"/>
      <c r="O74" s="28" t="str">
        <f aca="false">IF($B74="","",TEXT($A74,"YYYY-MM")&amp;"|"&amp;$B74)</f>
        <v/>
      </c>
    </row>
    <row r="75" customFormat="false" ht="15" hidden="false" customHeight="false" outlineLevel="0" collapsed="false">
      <c r="A75" s="29"/>
      <c r="B75" s="19"/>
      <c r="C75" s="23"/>
      <c r="D75" s="23"/>
      <c r="E75" s="23"/>
      <c r="F75" s="23"/>
      <c r="G75" s="22"/>
      <c r="H75" s="23"/>
      <c r="I75" s="23"/>
      <c r="J75" s="23"/>
      <c r="K75" s="23"/>
      <c r="L75" s="23"/>
      <c r="M75" s="19"/>
      <c r="N75" s="20"/>
      <c r="O75" s="30" t="str">
        <f aca="false">IF($B75="","",TEXT($A75,"YYYY-MM")&amp;"|"&amp;$B75)</f>
        <v/>
      </c>
    </row>
    <row r="76" customFormat="false" ht="15" hidden="false" customHeight="false" outlineLevel="0" collapsed="false">
      <c r="A76" s="27"/>
      <c r="B76" s="13"/>
      <c r="C76" s="17"/>
      <c r="D76" s="17"/>
      <c r="E76" s="17"/>
      <c r="F76" s="17"/>
      <c r="G76" s="16"/>
      <c r="H76" s="17"/>
      <c r="I76" s="17"/>
      <c r="J76" s="17"/>
      <c r="K76" s="17"/>
      <c r="L76" s="17"/>
      <c r="M76" s="13"/>
      <c r="N76" s="14"/>
      <c r="O76" s="28" t="str">
        <f aca="false">IF($B76="","",TEXT($A76,"YYYY-MM")&amp;"|"&amp;$B76)</f>
        <v/>
      </c>
    </row>
    <row r="77" customFormat="false" ht="15" hidden="false" customHeight="false" outlineLevel="0" collapsed="false">
      <c r="A77" s="29"/>
      <c r="B77" s="19"/>
      <c r="C77" s="23"/>
      <c r="D77" s="23"/>
      <c r="E77" s="23"/>
      <c r="F77" s="23"/>
      <c r="G77" s="22"/>
      <c r="H77" s="23"/>
      <c r="I77" s="23"/>
      <c r="J77" s="23"/>
      <c r="K77" s="23"/>
      <c r="L77" s="23"/>
      <c r="M77" s="19"/>
      <c r="N77" s="20"/>
      <c r="O77" s="30" t="str">
        <f aca="false">IF($B77="","",TEXT($A77,"YYYY-MM")&amp;"|"&amp;$B77)</f>
        <v/>
      </c>
    </row>
    <row r="78" customFormat="false" ht="15" hidden="false" customHeight="false" outlineLevel="0" collapsed="false">
      <c r="A78" s="27"/>
      <c r="B78" s="13"/>
      <c r="C78" s="17"/>
      <c r="D78" s="17"/>
      <c r="E78" s="17"/>
      <c r="F78" s="17"/>
      <c r="G78" s="16"/>
      <c r="H78" s="17"/>
      <c r="I78" s="17"/>
      <c r="J78" s="17"/>
      <c r="K78" s="17"/>
      <c r="L78" s="17"/>
      <c r="M78" s="13"/>
      <c r="N78" s="14"/>
      <c r="O78" s="28" t="str">
        <f aca="false">IF($B78="","",TEXT($A78,"YYYY-MM")&amp;"|"&amp;$B78)</f>
        <v/>
      </c>
    </row>
    <row r="79" customFormat="false" ht="15" hidden="false" customHeight="false" outlineLevel="0" collapsed="false">
      <c r="A79" s="29"/>
      <c r="B79" s="19"/>
      <c r="C79" s="23"/>
      <c r="D79" s="23"/>
      <c r="E79" s="23"/>
      <c r="F79" s="23"/>
      <c r="G79" s="22"/>
      <c r="H79" s="23"/>
      <c r="I79" s="23"/>
      <c r="J79" s="23"/>
      <c r="K79" s="23"/>
      <c r="L79" s="23"/>
      <c r="M79" s="19"/>
      <c r="N79" s="20"/>
      <c r="O79" s="30" t="str">
        <f aca="false">IF($B79="","",TEXT($A79,"YYYY-MM")&amp;"|"&amp;$B79)</f>
        <v/>
      </c>
    </row>
    <row r="80" customFormat="false" ht="15" hidden="false" customHeight="false" outlineLevel="0" collapsed="false">
      <c r="A80" s="27"/>
      <c r="B80" s="13"/>
      <c r="C80" s="17"/>
      <c r="D80" s="17"/>
      <c r="E80" s="17"/>
      <c r="F80" s="17"/>
      <c r="G80" s="16"/>
      <c r="H80" s="17"/>
      <c r="I80" s="17"/>
      <c r="J80" s="17"/>
      <c r="K80" s="17"/>
      <c r="L80" s="17"/>
      <c r="M80" s="13"/>
      <c r="N80" s="14"/>
      <c r="O80" s="28" t="str">
        <f aca="false">IF($B80="","",TEXT($A80,"YYYY-MM")&amp;"|"&amp;$B80)</f>
        <v/>
      </c>
    </row>
    <row r="81" customFormat="false" ht="15" hidden="false" customHeight="false" outlineLevel="0" collapsed="false">
      <c r="A81" s="29"/>
      <c r="B81" s="19"/>
      <c r="C81" s="23"/>
      <c r="D81" s="23"/>
      <c r="E81" s="23"/>
      <c r="F81" s="23"/>
      <c r="G81" s="22"/>
      <c r="H81" s="23"/>
      <c r="I81" s="23"/>
      <c r="J81" s="23"/>
      <c r="K81" s="23"/>
      <c r="L81" s="23"/>
      <c r="M81" s="19"/>
      <c r="N81" s="20"/>
      <c r="O81" s="30" t="str">
        <f aca="false">IF($B81="","",TEXT($A81,"YYYY-MM")&amp;"|"&amp;$B81)</f>
        <v/>
      </c>
    </row>
    <row r="82" customFormat="false" ht="15" hidden="false" customHeight="false" outlineLevel="0" collapsed="false">
      <c r="A82" s="27"/>
      <c r="B82" s="13"/>
      <c r="C82" s="17"/>
      <c r="D82" s="17"/>
      <c r="E82" s="17"/>
      <c r="F82" s="17"/>
      <c r="G82" s="16"/>
      <c r="H82" s="17"/>
      <c r="I82" s="17"/>
      <c r="J82" s="17"/>
      <c r="K82" s="17"/>
      <c r="L82" s="17"/>
      <c r="M82" s="13"/>
      <c r="N82" s="14"/>
      <c r="O82" s="28" t="str">
        <f aca="false">IF($B82="","",TEXT($A82,"YYYY-MM")&amp;"|"&amp;$B82)</f>
        <v/>
      </c>
    </row>
    <row r="83" customFormat="false" ht="15" hidden="false" customHeight="false" outlineLevel="0" collapsed="false">
      <c r="A83" s="29"/>
      <c r="B83" s="19"/>
      <c r="C83" s="23"/>
      <c r="D83" s="23"/>
      <c r="E83" s="23"/>
      <c r="F83" s="23"/>
      <c r="G83" s="22"/>
      <c r="H83" s="23"/>
      <c r="I83" s="23"/>
      <c r="J83" s="23"/>
      <c r="K83" s="23"/>
      <c r="L83" s="23"/>
      <c r="M83" s="19"/>
      <c r="N83" s="20"/>
      <c r="O83" s="30" t="str">
        <f aca="false">IF($B83="","",TEXT($A83,"YYYY-MM")&amp;"|"&amp;$B83)</f>
        <v/>
      </c>
    </row>
    <row r="84" customFormat="false" ht="15" hidden="false" customHeight="false" outlineLevel="0" collapsed="false">
      <c r="A84" s="27"/>
      <c r="B84" s="13"/>
      <c r="C84" s="17"/>
      <c r="D84" s="17"/>
      <c r="E84" s="17"/>
      <c r="F84" s="17"/>
      <c r="G84" s="16"/>
      <c r="H84" s="17"/>
      <c r="I84" s="17"/>
      <c r="J84" s="17"/>
      <c r="K84" s="17"/>
      <c r="L84" s="17"/>
      <c r="M84" s="13"/>
      <c r="N84" s="14"/>
      <c r="O84" s="28" t="str">
        <f aca="false">IF($B84="","",TEXT($A84,"YYYY-MM")&amp;"|"&amp;$B84)</f>
        <v/>
      </c>
    </row>
    <row r="85" customFormat="false" ht="15" hidden="false" customHeight="false" outlineLevel="0" collapsed="false">
      <c r="A85" s="29"/>
      <c r="B85" s="19"/>
      <c r="C85" s="23"/>
      <c r="D85" s="23"/>
      <c r="E85" s="23"/>
      <c r="F85" s="23"/>
      <c r="G85" s="22"/>
      <c r="H85" s="23"/>
      <c r="I85" s="23"/>
      <c r="J85" s="23"/>
      <c r="K85" s="23"/>
      <c r="L85" s="23"/>
      <c r="M85" s="19"/>
      <c r="N85" s="20"/>
      <c r="O85" s="30" t="str">
        <f aca="false">IF($B85="","",TEXT($A85,"YYYY-MM")&amp;"|"&amp;$B85)</f>
        <v/>
      </c>
    </row>
    <row r="86" customFormat="false" ht="15" hidden="false" customHeight="false" outlineLevel="0" collapsed="false">
      <c r="A86" s="27"/>
      <c r="B86" s="13"/>
      <c r="C86" s="17"/>
      <c r="D86" s="17"/>
      <c r="E86" s="17"/>
      <c r="F86" s="17"/>
      <c r="G86" s="16"/>
      <c r="H86" s="17"/>
      <c r="I86" s="17"/>
      <c r="J86" s="17"/>
      <c r="K86" s="17"/>
      <c r="L86" s="17"/>
      <c r="M86" s="13"/>
      <c r="N86" s="14"/>
      <c r="O86" s="28" t="str">
        <f aca="false">IF($B86="","",TEXT($A86,"YYYY-MM")&amp;"|"&amp;$B86)</f>
        <v/>
      </c>
    </row>
    <row r="87" customFormat="false" ht="15" hidden="false" customHeight="false" outlineLevel="0" collapsed="false">
      <c r="A87" s="29"/>
      <c r="B87" s="19"/>
      <c r="C87" s="23"/>
      <c r="D87" s="23"/>
      <c r="E87" s="23"/>
      <c r="F87" s="23"/>
      <c r="G87" s="22"/>
      <c r="H87" s="23"/>
      <c r="I87" s="23"/>
      <c r="J87" s="23"/>
      <c r="K87" s="23"/>
      <c r="L87" s="23"/>
      <c r="M87" s="19"/>
      <c r="N87" s="20"/>
      <c r="O87" s="30" t="str">
        <f aca="false">IF($B87="","",TEXT($A87,"YYYY-MM")&amp;"|"&amp;$B87)</f>
        <v/>
      </c>
    </row>
    <row r="88" customFormat="false" ht="15" hidden="false" customHeight="false" outlineLevel="0" collapsed="false">
      <c r="A88" s="27"/>
      <c r="B88" s="13"/>
      <c r="C88" s="17"/>
      <c r="D88" s="17"/>
      <c r="E88" s="17"/>
      <c r="F88" s="17"/>
      <c r="G88" s="16"/>
      <c r="H88" s="17"/>
      <c r="I88" s="17"/>
      <c r="J88" s="17"/>
      <c r="K88" s="17"/>
      <c r="L88" s="17"/>
      <c r="M88" s="13"/>
      <c r="N88" s="14"/>
      <c r="O88" s="28" t="str">
        <f aca="false">IF($B88="","",TEXT($A88,"YYYY-MM")&amp;"|"&amp;$B88)</f>
        <v/>
      </c>
    </row>
    <row r="89" customFormat="false" ht="15" hidden="false" customHeight="false" outlineLevel="0" collapsed="false">
      <c r="A89" s="29"/>
      <c r="B89" s="19"/>
      <c r="C89" s="23"/>
      <c r="D89" s="23"/>
      <c r="E89" s="23"/>
      <c r="F89" s="23"/>
      <c r="G89" s="22"/>
      <c r="H89" s="23"/>
      <c r="I89" s="23"/>
      <c r="J89" s="23"/>
      <c r="K89" s="23"/>
      <c r="L89" s="23"/>
      <c r="M89" s="19"/>
      <c r="N89" s="20"/>
      <c r="O89" s="30" t="str">
        <f aca="false">IF($B89="","",TEXT($A89,"YYYY-MM")&amp;"|"&amp;$B89)</f>
        <v/>
      </c>
    </row>
    <row r="90" customFormat="false" ht="15" hidden="false" customHeight="false" outlineLevel="0" collapsed="false">
      <c r="A90" s="27"/>
      <c r="B90" s="13"/>
      <c r="C90" s="17"/>
      <c r="D90" s="17"/>
      <c r="E90" s="17"/>
      <c r="F90" s="17"/>
      <c r="G90" s="16"/>
      <c r="H90" s="17"/>
      <c r="I90" s="17"/>
      <c r="J90" s="17"/>
      <c r="K90" s="17"/>
      <c r="L90" s="17"/>
      <c r="M90" s="13"/>
      <c r="N90" s="14"/>
      <c r="O90" s="28" t="str">
        <f aca="false">IF($B90="","",TEXT($A90,"YYYY-MM")&amp;"|"&amp;$B90)</f>
        <v/>
      </c>
    </row>
    <row r="91" customFormat="false" ht="15" hidden="false" customHeight="false" outlineLevel="0" collapsed="false">
      <c r="A91" s="29"/>
      <c r="B91" s="19"/>
      <c r="C91" s="23"/>
      <c r="D91" s="23"/>
      <c r="E91" s="23"/>
      <c r="F91" s="23"/>
      <c r="G91" s="22"/>
      <c r="H91" s="23"/>
      <c r="I91" s="23"/>
      <c r="J91" s="23"/>
      <c r="K91" s="23"/>
      <c r="L91" s="23"/>
      <c r="M91" s="19"/>
      <c r="N91" s="20"/>
      <c r="O91" s="30" t="str">
        <f aca="false">IF($B91="","",TEXT($A91,"YYYY-MM")&amp;"|"&amp;$B91)</f>
        <v/>
      </c>
    </row>
    <row r="92" customFormat="false" ht="15" hidden="false" customHeight="false" outlineLevel="0" collapsed="false">
      <c r="A92" s="27"/>
      <c r="B92" s="13"/>
      <c r="C92" s="17"/>
      <c r="D92" s="17"/>
      <c r="E92" s="17"/>
      <c r="F92" s="17"/>
      <c r="G92" s="16"/>
      <c r="H92" s="17"/>
      <c r="I92" s="17"/>
      <c r="J92" s="17"/>
      <c r="K92" s="17"/>
      <c r="L92" s="17"/>
      <c r="M92" s="13"/>
      <c r="N92" s="14"/>
      <c r="O92" s="28" t="str">
        <f aca="false">IF($B92="","",TEXT($A92,"YYYY-MM")&amp;"|"&amp;$B92)</f>
        <v/>
      </c>
    </row>
    <row r="93" customFormat="false" ht="15" hidden="false" customHeight="false" outlineLevel="0" collapsed="false">
      <c r="A93" s="29"/>
      <c r="B93" s="19"/>
      <c r="C93" s="23"/>
      <c r="D93" s="23"/>
      <c r="E93" s="23"/>
      <c r="F93" s="23"/>
      <c r="G93" s="22"/>
      <c r="H93" s="23"/>
      <c r="I93" s="23"/>
      <c r="J93" s="23"/>
      <c r="K93" s="23"/>
      <c r="L93" s="23"/>
      <c r="M93" s="19"/>
      <c r="N93" s="20"/>
      <c r="O93" s="30" t="str">
        <f aca="false">IF($B93="","",TEXT($A93,"YYYY-MM")&amp;"|"&amp;$B93)</f>
        <v/>
      </c>
    </row>
    <row r="94" customFormat="false" ht="15" hidden="false" customHeight="false" outlineLevel="0" collapsed="false">
      <c r="A94" s="27"/>
      <c r="B94" s="13"/>
      <c r="C94" s="17"/>
      <c r="D94" s="17"/>
      <c r="E94" s="17"/>
      <c r="F94" s="17"/>
      <c r="G94" s="16"/>
      <c r="H94" s="17"/>
      <c r="I94" s="17"/>
      <c r="J94" s="17"/>
      <c r="K94" s="17"/>
      <c r="L94" s="17"/>
      <c r="M94" s="13"/>
      <c r="N94" s="14"/>
      <c r="O94" s="28" t="str">
        <f aca="false">IF($B94="","",TEXT($A94,"YYYY-MM")&amp;"|"&amp;$B94)</f>
        <v/>
      </c>
    </row>
    <row r="95" customFormat="false" ht="15" hidden="false" customHeight="false" outlineLevel="0" collapsed="false">
      <c r="A95" s="29"/>
      <c r="B95" s="19"/>
      <c r="C95" s="23"/>
      <c r="D95" s="23"/>
      <c r="E95" s="23"/>
      <c r="F95" s="23"/>
      <c r="G95" s="22"/>
      <c r="H95" s="23"/>
      <c r="I95" s="23"/>
      <c r="J95" s="23"/>
      <c r="K95" s="23"/>
      <c r="L95" s="23"/>
      <c r="M95" s="19"/>
      <c r="N95" s="20"/>
      <c r="O95" s="30" t="str">
        <f aca="false">IF($B95="","",TEXT($A95,"YYYY-MM")&amp;"|"&amp;$B95)</f>
        <v/>
      </c>
    </row>
    <row r="96" customFormat="false" ht="15" hidden="false" customHeight="false" outlineLevel="0" collapsed="false">
      <c r="A96" s="27"/>
      <c r="B96" s="13"/>
      <c r="C96" s="17"/>
      <c r="D96" s="17"/>
      <c r="E96" s="17"/>
      <c r="F96" s="17"/>
      <c r="G96" s="16"/>
      <c r="H96" s="17"/>
      <c r="I96" s="17"/>
      <c r="J96" s="17"/>
      <c r="K96" s="17"/>
      <c r="L96" s="17"/>
      <c r="M96" s="13"/>
      <c r="N96" s="14"/>
      <c r="O96" s="28" t="str">
        <f aca="false">IF($B96="","",TEXT($A96,"YYYY-MM")&amp;"|"&amp;$B96)</f>
        <v/>
      </c>
    </row>
    <row r="97" customFormat="false" ht="15" hidden="false" customHeight="false" outlineLevel="0" collapsed="false">
      <c r="A97" s="29"/>
      <c r="B97" s="19"/>
      <c r="C97" s="23"/>
      <c r="D97" s="23"/>
      <c r="E97" s="23"/>
      <c r="F97" s="23"/>
      <c r="G97" s="22"/>
      <c r="H97" s="23"/>
      <c r="I97" s="23"/>
      <c r="J97" s="23"/>
      <c r="K97" s="23"/>
      <c r="L97" s="23"/>
      <c r="M97" s="19"/>
      <c r="N97" s="20"/>
      <c r="O97" s="30" t="str">
        <f aca="false">IF($B97="","",TEXT($A97,"YYYY-MM")&amp;"|"&amp;$B97)</f>
        <v/>
      </c>
    </row>
    <row r="98" customFormat="false" ht="15" hidden="false" customHeight="false" outlineLevel="0" collapsed="false">
      <c r="A98" s="27"/>
      <c r="B98" s="13"/>
      <c r="C98" s="17"/>
      <c r="D98" s="17"/>
      <c r="E98" s="17"/>
      <c r="F98" s="17"/>
      <c r="G98" s="16"/>
      <c r="H98" s="17"/>
      <c r="I98" s="17"/>
      <c r="J98" s="17"/>
      <c r="K98" s="17"/>
      <c r="L98" s="17"/>
      <c r="M98" s="13"/>
      <c r="N98" s="14"/>
      <c r="O98" s="28" t="str">
        <f aca="false">IF($B98="","",TEXT($A98,"YYYY-MM")&amp;"|"&amp;$B98)</f>
        <v/>
      </c>
    </row>
    <row r="99" customFormat="false" ht="15" hidden="false" customHeight="false" outlineLevel="0" collapsed="false">
      <c r="A99" s="29"/>
      <c r="B99" s="19"/>
      <c r="C99" s="23"/>
      <c r="D99" s="23"/>
      <c r="E99" s="23"/>
      <c r="F99" s="23"/>
      <c r="G99" s="22"/>
      <c r="H99" s="23"/>
      <c r="I99" s="23"/>
      <c r="J99" s="23"/>
      <c r="K99" s="23"/>
      <c r="L99" s="23"/>
      <c r="M99" s="19"/>
      <c r="N99" s="20"/>
      <c r="O99" s="30" t="str">
        <f aca="false">IF($B99="","",TEXT($A99,"YYYY-MM")&amp;"|"&amp;$B99)</f>
        <v/>
      </c>
    </row>
    <row r="100" customFormat="false" ht="15" hidden="false" customHeight="false" outlineLevel="0" collapsed="false">
      <c r="A100" s="27"/>
      <c r="B100" s="13"/>
      <c r="C100" s="17"/>
      <c r="D100" s="17"/>
      <c r="E100" s="17"/>
      <c r="F100" s="17"/>
      <c r="G100" s="16"/>
      <c r="H100" s="17"/>
      <c r="I100" s="17"/>
      <c r="J100" s="17"/>
      <c r="K100" s="17"/>
      <c r="L100" s="17"/>
      <c r="M100" s="13"/>
      <c r="N100" s="14"/>
      <c r="O100" s="28" t="str">
        <f aca="false">IF($B100="","",TEXT($A100,"YYYY-MM")&amp;"|"&amp;$B100)</f>
        <v/>
      </c>
    </row>
    <row r="101" customFormat="false" ht="15" hidden="false" customHeight="false" outlineLevel="0" collapsed="false">
      <c r="A101" s="29"/>
      <c r="B101" s="19"/>
      <c r="C101" s="23"/>
      <c r="D101" s="23"/>
      <c r="E101" s="23"/>
      <c r="F101" s="23"/>
      <c r="G101" s="22"/>
      <c r="H101" s="23"/>
      <c r="I101" s="23"/>
      <c r="J101" s="23"/>
      <c r="K101" s="23"/>
      <c r="L101" s="23"/>
      <c r="M101" s="19"/>
      <c r="N101" s="20"/>
      <c r="O101" s="30" t="str">
        <f aca="false">IF($B101="","",TEXT($A101,"YYYY-MM")&amp;"|"&amp;$B101)</f>
        <v/>
      </c>
    </row>
    <row r="102" customFormat="false" ht="15" hidden="false" customHeight="false" outlineLevel="0" collapsed="false">
      <c r="A102" s="27"/>
      <c r="B102" s="13"/>
      <c r="C102" s="17"/>
      <c r="D102" s="17"/>
      <c r="E102" s="17"/>
      <c r="F102" s="17"/>
      <c r="G102" s="16"/>
      <c r="H102" s="17"/>
      <c r="I102" s="17"/>
      <c r="J102" s="17"/>
      <c r="K102" s="17"/>
      <c r="L102" s="17"/>
      <c r="M102" s="13"/>
      <c r="N102" s="14"/>
      <c r="O102" s="28" t="str">
        <f aca="false">IF($B102="","",TEXT($A102,"YYYY-MM")&amp;"|"&amp;$B102)</f>
        <v/>
      </c>
    </row>
    <row r="103" customFormat="false" ht="15" hidden="false" customHeight="false" outlineLevel="0" collapsed="false">
      <c r="A103" s="29"/>
      <c r="B103" s="19"/>
      <c r="C103" s="23"/>
      <c r="D103" s="23"/>
      <c r="E103" s="23"/>
      <c r="F103" s="23"/>
      <c r="G103" s="22"/>
      <c r="H103" s="23"/>
      <c r="I103" s="23"/>
      <c r="J103" s="23"/>
      <c r="K103" s="23"/>
      <c r="L103" s="23"/>
      <c r="M103" s="19"/>
      <c r="N103" s="20"/>
      <c r="O103" s="30" t="str">
        <f aca="false">IF($B103="","",TEXT($A103,"YYYY-MM")&amp;"|"&amp;$B103)</f>
        <v/>
      </c>
    </row>
    <row r="104" customFormat="false" ht="15" hidden="false" customHeight="false" outlineLevel="0" collapsed="false">
      <c r="A104" s="27"/>
      <c r="B104" s="13"/>
      <c r="C104" s="17"/>
      <c r="D104" s="17"/>
      <c r="E104" s="17"/>
      <c r="F104" s="17"/>
      <c r="G104" s="16"/>
      <c r="H104" s="17"/>
      <c r="I104" s="17"/>
      <c r="J104" s="17"/>
      <c r="K104" s="17"/>
      <c r="L104" s="17"/>
      <c r="M104" s="13"/>
      <c r="N104" s="14"/>
      <c r="O104" s="28" t="str">
        <f aca="false">IF($B104="","",TEXT($A104,"YYYY-MM")&amp;"|"&amp;$B104)</f>
        <v/>
      </c>
    </row>
    <row r="105" customFormat="false" ht="15" hidden="false" customHeight="false" outlineLevel="0" collapsed="false">
      <c r="A105" s="29"/>
      <c r="B105" s="19"/>
      <c r="C105" s="23"/>
      <c r="D105" s="23"/>
      <c r="E105" s="23"/>
      <c r="F105" s="23"/>
      <c r="G105" s="22"/>
      <c r="H105" s="23"/>
      <c r="I105" s="23"/>
      <c r="J105" s="23"/>
      <c r="K105" s="23"/>
      <c r="L105" s="23"/>
      <c r="M105" s="19"/>
      <c r="N105" s="20"/>
      <c r="O105" s="30" t="str">
        <f aca="false">IF($B105="","",TEXT($A105,"YYYY-MM")&amp;"|"&amp;$B105)</f>
        <v/>
      </c>
    </row>
    <row r="106" customFormat="false" ht="15" hidden="false" customHeight="false" outlineLevel="0" collapsed="false">
      <c r="A106" s="27"/>
      <c r="B106" s="13"/>
      <c r="C106" s="17"/>
      <c r="D106" s="17"/>
      <c r="E106" s="17"/>
      <c r="F106" s="17"/>
      <c r="G106" s="16"/>
      <c r="H106" s="17"/>
      <c r="I106" s="17"/>
      <c r="J106" s="17"/>
      <c r="K106" s="17"/>
      <c r="L106" s="17"/>
      <c r="M106" s="13"/>
      <c r="N106" s="14"/>
      <c r="O106" s="28" t="str">
        <f aca="false">IF($B106="","",TEXT($A106,"YYYY-MM")&amp;"|"&amp;$B106)</f>
        <v/>
      </c>
    </row>
    <row r="107" customFormat="false" ht="15" hidden="false" customHeight="false" outlineLevel="0" collapsed="false">
      <c r="A107" s="29"/>
      <c r="B107" s="19"/>
      <c r="C107" s="23"/>
      <c r="D107" s="23"/>
      <c r="E107" s="23"/>
      <c r="F107" s="23"/>
      <c r="G107" s="22"/>
      <c r="H107" s="23"/>
      <c r="I107" s="23"/>
      <c r="J107" s="23"/>
      <c r="K107" s="23"/>
      <c r="L107" s="23"/>
      <c r="M107" s="19"/>
      <c r="N107" s="20"/>
      <c r="O107" s="30" t="str">
        <f aca="false">IF($B107="","",TEXT($A107,"YYYY-MM")&amp;"|"&amp;$B107)</f>
        <v/>
      </c>
    </row>
    <row r="108" customFormat="false" ht="15" hidden="false" customHeight="false" outlineLevel="0" collapsed="false">
      <c r="A108" s="27"/>
      <c r="B108" s="13"/>
      <c r="C108" s="17"/>
      <c r="D108" s="17"/>
      <c r="E108" s="17"/>
      <c r="F108" s="17"/>
      <c r="G108" s="16"/>
      <c r="H108" s="17"/>
      <c r="I108" s="17"/>
      <c r="J108" s="17"/>
      <c r="K108" s="17"/>
      <c r="L108" s="17"/>
      <c r="M108" s="13"/>
      <c r="N108" s="14"/>
      <c r="O108" s="28" t="str">
        <f aca="false">IF($B108="","",TEXT($A108,"YYYY-MM")&amp;"|"&amp;$B108)</f>
        <v/>
      </c>
    </row>
    <row r="109" customFormat="false" ht="15" hidden="false" customHeight="false" outlineLevel="0" collapsed="false">
      <c r="A109" s="29"/>
      <c r="B109" s="19"/>
      <c r="C109" s="23"/>
      <c r="D109" s="23"/>
      <c r="E109" s="23"/>
      <c r="F109" s="23"/>
      <c r="G109" s="22"/>
      <c r="H109" s="23"/>
      <c r="I109" s="23"/>
      <c r="J109" s="23"/>
      <c r="K109" s="23"/>
      <c r="L109" s="23"/>
      <c r="M109" s="19"/>
      <c r="N109" s="20"/>
      <c r="O109" s="30" t="str">
        <f aca="false">IF($B109="","",TEXT($A109,"YYYY-MM")&amp;"|"&amp;$B109)</f>
        <v/>
      </c>
    </row>
    <row r="110" customFormat="false" ht="15" hidden="false" customHeight="false" outlineLevel="0" collapsed="false">
      <c r="A110" s="27"/>
      <c r="B110" s="13"/>
      <c r="C110" s="17"/>
      <c r="D110" s="17"/>
      <c r="E110" s="17"/>
      <c r="F110" s="17"/>
      <c r="G110" s="16"/>
      <c r="H110" s="17"/>
      <c r="I110" s="17"/>
      <c r="J110" s="17"/>
      <c r="K110" s="17"/>
      <c r="L110" s="17"/>
      <c r="M110" s="13"/>
      <c r="N110" s="14"/>
      <c r="O110" s="28" t="str">
        <f aca="false">IF($B110="","",TEXT($A110,"YYYY-MM")&amp;"|"&amp;$B110)</f>
        <v/>
      </c>
    </row>
    <row r="111" customFormat="false" ht="15" hidden="false" customHeight="false" outlineLevel="0" collapsed="false">
      <c r="A111" s="29"/>
      <c r="B111" s="19"/>
      <c r="C111" s="23"/>
      <c r="D111" s="23"/>
      <c r="E111" s="23"/>
      <c r="F111" s="23"/>
      <c r="G111" s="22"/>
      <c r="H111" s="23"/>
      <c r="I111" s="23"/>
      <c r="J111" s="23"/>
      <c r="K111" s="23"/>
      <c r="L111" s="23"/>
      <c r="M111" s="19"/>
      <c r="N111" s="20"/>
      <c r="O111" s="30" t="str">
        <f aca="false">IF($B111="","",TEXT($A111,"YYYY-MM")&amp;"|"&amp;$B111)</f>
        <v/>
      </c>
    </row>
    <row r="112" customFormat="false" ht="15" hidden="false" customHeight="false" outlineLevel="0" collapsed="false">
      <c r="A112" s="27"/>
      <c r="B112" s="13"/>
      <c r="C112" s="17"/>
      <c r="D112" s="17"/>
      <c r="E112" s="17"/>
      <c r="F112" s="17"/>
      <c r="G112" s="16"/>
      <c r="H112" s="17"/>
      <c r="I112" s="17"/>
      <c r="J112" s="17"/>
      <c r="K112" s="17"/>
      <c r="L112" s="17"/>
      <c r="M112" s="13"/>
      <c r="N112" s="14"/>
      <c r="O112" s="28" t="str">
        <f aca="false">IF($B112="","",TEXT($A112,"YYYY-MM")&amp;"|"&amp;$B112)</f>
        <v/>
      </c>
    </row>
    <row r="113" customFormat="false" ht="15" hidden="false" customHeight="false" outlineLevel="0" collapsed="false">
      <c r="A113" s="29"/>
      <c r="B113" s="19"/>
      <c r="C113" s="23"/>
      <c r="D113" s="23"/>
      <c r="E113" s="23"/>
      <c r="F113" s="23"/>
      <c r="G113" s="22"/>
      <c r="H113" s="23"/>
      <c r="I113" s="23"/>
      <c r="J113" s="23"/>
      <c r="K113" s="23"/>
      <c r="L113" s="23"/>
      <c r="M113" s="19"/>
      <c r="N113" s="20"/>
      <c r="O113" s="30" t="str">
        <f aca="false">IF($B113="","",TEXT($A113,"YYYY-MM")&amp;"|"&amp;$B113)</f>
        <v/>
      </c>
    </row>
    <row r="114" customFormat="false" ht="15" hidden="false" customHeight="false" outlineLevel="0" collapsed="false">
      <c r="A114" s="27"/>
      <c r="B114" s="13"/>
      <c r="C114" s="17"/>
      <c r="D114" s="17"/>
      <c r="E114" s="17"/>
      <c r="F114" s="17"/>
      <c r="G114" s="16"/>
      <c r="H114" s="17"/>
      <c r="I114" s="17"/>
      <c r="J114" s="17"/>
      <c r="K114" s="17"/>
      <c r="L114" s="17"/>
      <c r="M114" s="13"/>
      <c r="N114" s="14"/>
      <c r="O114" s="28" t="str">
        <f aca="false">IF($B114="","",TEXT($A114,"YYYY-MM")&amp;"|"&amp;$B114)</f>
        <v/>
      </c>
    </row>
    <row r="115" customFormat="false" ht="15" hidden="false" customHeight="false" outlineLevel="0" collapsed="false">
      <c r="A115" s="29"/>
      <c r="B115" s="19"/>
      <c r="C115" s="23"/>
      <c r="D115" s="23"/>
      <c r="E115" s="23"/>
      <c r="F115" s="23"/>
      <c r="G115" s="22"/>
      <c r="H115" s="23"/>
      <c r="I115" s="23"/>
      <c r="J115" s="23"/>
      <c r="K115" s="23"/>
      <c r="L115" s="23"/>
      <c r="M115" s="19"/>
      <c r="N115" s="20"/>
      <c r="O115" s="30" t="str">
        <f aca="false">IF($B115="","",TEXT($A115,"YYYY-MM")&amp;"|"&amp;$B115)</f>
        <v/>
      </c>
    </row>
    <row r="116" customFormat="false" ht="15" hidden="false" customHeight="false" outlineLevel="0" collapsed="false">
      <c r="A116" s="27"/>
      <c r="B116" s="13"/>
      <c r="C116" s="17"/>
      <c r="D116" s="17"/>
      <c r="E116" s="17"/>
      <c r="F116" s="17"/>
      <c r="G116" s="16"/>
      <c r="H116" s="17"/>
      <c r="I116" s="17"/>
      <c r="J116" s="17"/>
      <c r="K116" s="17"/>
      <c r="L116" s="17"/>
      <c r="M116" s="13"/>
      <c r="N116" s="14"/>
      <c r="O116" s="28" t="str">
        <f aca="false">IF($B116="","",TEXT($A116,"YYYY-MM")&amp;"|"&amp;$B116)</f>
        <v/>
      </c>
    </row>
    <row r="117" customFormat="false" ht="15" hidden="false" customHeight="false" outlineLevel="0" collapsed="false">
      <c r="A117" s="29"/>
      <c r="B117" s="19"/>
      <c r="C117" s="23"/>
      <c r="D117" s="23"/>
      <c r="E117" s="23"/>
      <c r="F117" s="23"/>
      <c r="G117" s="22"/>
      <c r="H117" s="23"/>
      <c r="I117" s="23"/>
      <c r="J117" s="23"/>
      <c r="K117" s="23"/>
      <c r="L117" s="23"/>
      <c r="M117" s="19"/>
      <c r="N117" s="20"/>
      <c r="O117" s="30" t="str">
        <f aca="false">IF($B117="","",TEXT($A117,"YYYY-MM")&amp;"|"&amp;$B117)</f>
        <v/>
      </c>
    </row>
    <row r="118" customFormat="false" ht="15" hidden="false" customHeight="false" outlineLevel="0" collapsed="false">
      <c r="A118" s="27"/>
      <c r="B118" s="13"/>
      <c r="C118" s="17"/>
      <c r="D118" s="17"/>
      <c r="E118" s="17"/>
      <c r="F118" s="17"/>
      <c r="G118" s="16"/>
      <c r="H118" s="17"/>
      <c r="I118" s="17"/>
      <c r="J118" s="17"/>
      <c r="K118" s="17"/>
      <c r="L118" s="17"/>
      <c r="M118" s="13"/>
      <c r="N118" s="14"/>
      <c r="O118" s="28" t="str">
        <f aca="false">IF($B118="","",TEXT($A118,"YYYY-MM")&amp;"|"&amp;$B118)</f>
        <v/>
      </c>
    </row>
    <row r="119" customFormat="false" ht="15" hidden="false" customHeight="false" outlineLevel="0" collapsed="false">
      <c r="A119" s="29"/>
      <c r="B119" s="19"/>
      <c r="C119" s="23"/>
      <c r="D119" s="23"/>
      <c r="E119" s="23"/>
      <c r="F119" s="23"/>
      <c r="G119" s="22"/>
      <c r="H119" s="23"/>
      <c r="I119" s="23"/>
      <c r="J119" s="23"/>
      <c r="K119" s="23"/>
      <c r="L119" s="23"/>
      <c r="M119" s="19"/>
      <c r="N119" s="20"/>
      <c r="O119" s="30" t="str">
        <f aca="false">IF($B119="","",TEXT($A119,"YYYY-MM")&amp;"|"&amp;$B119)</f>
        <v/>
      </c>
    </row>
    <row r="120" customFormat="false" ht="15" hidden="false" customHeight="false" outlineLevel="0" collapsed="false">
      <c r="A120" s="27"/>
      <c r="B120" s="13"/>
      <c r="C120" s="17"/>
      <c r="D120" s="17"/>
      <c r="E120" s="17"/>
      <c r="F120" s="17"/>
      <c r="G120" s="16"/>
      <c r="H120" s="17"/>
      <c r="I120" s="17"/>
      <c r="J120" s="17"/>
      <c r="K120" s="17"/>
      <c r="L120" s="17"/>
      <c r="M120" s="13"/>
      <c r="N120" s="14"/>
      <c r="O120" s="28" t="str">
        <f aca="false">IF($B120="","",TEXT($A120,"YYYY-MM")&amp;"|"&amp;$B120)</f>
        <v/>
      </c>
    </row>
    <row r="121" customFormat="false" ht="15" hidden="false" customHeight="false" outlineLevel="0" collapsed="false">
      <c r="A121" s="29"/>
      <c r="B121" s="19"/>
      <c r="C121" s="23"/>
      <c r="D121" s="23"/>
      <c r="E121" s="23"/>
      <c r="F121" s="23"/>
      <c r="G121" s="22"/>
      <c r="H121" s="23"/>
      <c r="I121" s="23"/>
      <c r="J121" s="23"/>
      <c r="K121" s="23"/>
      <c r="L121" s="23"/>
      <c r="M121" s="19"/>
      <c r="N121" s="20"/>
      <c r="O121" s="30" t="str">
        <f aca="false">IF($B121="","",TEXT($A121,"YYYY-MM")&amp;"|"&amp;$B121)</f>
        <v/>
      </c>
    </row>
    <row r="122" customFormat="false" ht="15" hidden="false" customHeight="false" outlineLevel="0" collapsed="false">
      <c r="A122" s="27"/>
      <c r="B122" s="13"/>
      <c r="C122" s="17"/>
      <c r="D122" s="17"/>
      <c r="E122" s="17"/>
      <c r="F122" s="17"/>
      <c r="G122" s="16"/>
      <c r="H122" s="17"/>
      <c r="I122" s="17"/>
      <c r="J122" s="17"/>
      <c r="K122" s="17"/>
      <c r="L122" s="17"/>
      <c r="M122" s="13"/>
      <c r="N122" s="14"/>
      <c r="O122" s="28" t="str">
        <f aca="false">IF($B122="","",TEXT($A122,"YYYY-MM")&amp;"|"&amp;$B122)</f>
        <v/>
      </c>
    </row>
    <row r="123" customFormat="false" ht="15" hidden="false" customHeight="false" outlineLevel="0" collapsed="false">
      <c r="A123" s="29"/>
      <c r="B123" s="19"/>
      <c r="C123" s="23"/>
      <c r="D123" s="23"/>
      <c r="E123" s="23"/>
      <c r="F123" s="23"/>
      <c r="G123" s="22"/>
      <c r="H123" s="23"/>
      <c r="I123" s="23"/>
      <c r="J123" s="23"/>
      <c r="K123" s="23"/>
      <c r="L123" s="23"/>
      <c r="M123" s="19"/>
      <c r="N123" s="20"/>
      <c r="O123" s="30" t="str">
        <f aca="false">IF($B123="","",TEXT($A123,"YYYY-MM")&amp;"|"&amp;$B123)</f>
        <v/>
      </c>
    </row>
    <row r="124" customFormat="false" ht="15" hidden="false" customHeight="false" outlineLevel="0" collapsed="false">
      <c r="A124" s="27"/>
      <c r="B124" s="13"/>
      <c r="C124" s="17"/>
      <c r="D124" s="17"/>
      <c r="E124" s="17"/>
      <c r="F124" s="17"/>
      <c r="G124" s="16"/>
      <c r="H124" s="17"/>
      <c r="I124" s="17"/>
      <c r="J124" s="17"/>
      <c r="K124" s="17"/>
      <c r="L124" s="17"/>
      <c r="M124" s="13"/>
      <c r="N124" s="14"/>
      <c r="O124" s="28" t="str">
        <f aca="false">IF($B124="","",TEXT($A124,"YYYY-MM")&amp;"|"&amp;$B124)</f>
        <v/>
      </c>
    </row>
    <row r="125" customFormat="false" ht="15" hidden="false" customHeight="false" outlineLevel="0" collapsed="false">
      <c r="A125" s="29"/>
      <c r="B125" s="19"/>
      <c r="C125" s="23"/>
      <c r="D125" s="23"/>
      <c r="E125" s="23"/>
      <c r="F125" s="23"/>
      <c r="G125" s="22"/>
      <c r="H125" s="23"/>
      <c r="I125" s="23"/>
      <c r="J125" s="23"/>
      <c r="K125" s="23"/>
      <c r="L125" s="23"/>
      <c r="M125" s="19"/>
      <c r="N125" s="20"/>
      <c r="O125" s="30" t="str">
        <f aca="false">IF($B125="","",TEXT($A125,"YYYY-MM")&amp;"|"&amp;$B125)</f>
        <v/>
      </c>
    </row>
    <row r="126" customFormat="false" ht="15" hidden="false" customHeight="false" outlineLevel="0" collapsed="false">
      <c r="A126" s="27"/>
      <c r="B126" s="13"/>
      <c r="C126" s="17"/>
      <c r="D126" s="17"/>
      <c r="E126" s="17"/>
      <c r="F126" s="17"/>
      <c r="G126" s="16"/>
      <c r="H126" s="17"/>
      <c r="I126" s="17"/>
      <c r="J126" s="17"/>
      <c r="K126" s="17"/>
      <c r="L126" s="17"/>
      <c r="M126" s="13"/>
      <c r="N126" s="14"/>
      <c r="O126" s="28" t="str">
        <f aca="false">IF($B126="","",TEXT($A126,"YYYY-MM")&amp;"|"&amp;$B126)</f>
        <v/>
      </c>
    </row>
    <row r="127" customFormat="false" ht="15" hidden="false" customHeight="false" outlineLevel="0" collapsed="false">
      <c r="A127" s="29"/>
      <c r="B127" s="19"/>
      <c r="C127" s="23"/>
      <c r="D127" s="23"/>
      <c r="E127" s="23"/>
      <c r="F127" s="23"/>
      <c r="G127" s="22"/>
      <c r="H127" s="23"/>
      <c r="I127" s="23"/>
      <c r="J127" s="23"/>
      <c r="K127" s="23"/>
      <c r="L127" s="23"/>
      <c r="M127" s="19"/>
      <c r="N127" s="20"/>
      <c r="O127" s="30" t="str">
        <f aca="false">IF($B127="","",TEXT($A127,"YYYY-MM")&amp;"|"&amp;$B127)</f>
        <v/>
      </c>
    </row>
    <row r="128" customFormat="false" ht="15" hidden="false" customHeight="false" outlineLevel="0" collapsed="false">
      <c r="A128" s="27"/>
      <c r="B128" s="13"/>
      <c r="C128" s="17"/>
      <c r="D128" s="17"/>
      <c r="E128" s="17"/>
      <c r="F128" s="17"/>
      <c r="G128" s="16"/>
      <c r="H128" s="17"/>
      <c r="I128" s="17"/>
      <c r="J128" s="17"/>
      <c r="K128" s="17"/>
      <c r="L128" s="17"/>
      <c r="M128" s="13"/>
      <c r="N128" s="14"/>
      <c r="O128" s="28" t="str">
        <f aca="false">IF($B128="","",TEXT($A128,"YYYY-MM")&amp;"|"&amp;$B128)</f>
        <v/>
      </c>
    </row>
    <row r="129" customFormat="false" ht="15" hidden="false" customHeight="false" outlineLevel="0" collapsed="false">
      <c r="A129" s="29"/>
      <c r="B129" s="19"/>
      <c r="C129" s="23"/>
      <c r="D129" s="23"/>
      <c r="E129" s="23"/>
      <c r="F129" s="23"/>
      <c r="G129" s="22"/>
      <c r="H129" s="23"/>
      <c r="I129" s="23"/>
      <c r="J129" s="23"/>
      <c r="K129" s="23"/>
      <c r="L129" s="23"/>
      <c r="M129" s="19"/>
      <c r="N129" s="20"/>
      <c r="O129" s="30" t="str">
        <f aca="false">IF($B129="","",TEXT($A129,"YYYY-MM")&amp;"|"&amp;$B129)</f>
        <v/>
      </c>
    </row>
    <row r="130" customFormat="false" ht="15" hidden="false" customHeight="false" outlineLevel="0" collapsed="false">
      <c r="A130" s="27"/>
      <c r="B130" s="13"/>
      <c r="C130" s="17"/>
      <c r="D130" s="17"/>
      <c r="E130" s="17"/>
      <c r="F130" s="17"/>
      <c r="G130" s="16"/>
      <c r="H130" s="17"/>
      <c r="I130" s="17"/>
      <c r="J130" s="17"/>
      <c r="K130" s="17"/>
      <c r="L130" s="17"/>
      <c r="M130" s="13"/>
      <c r="N130" s="14"/>
      <c r="O130" s="28" t="str">
        <f aca="false">IF($B130="","",TEXT($A130,"YYYY-MM")&amp;"|"&amp;$B130)</f>
        <v/>
      </c>
    </row>
    <row r="131" customFormat="false" ht="15" hidden="false" customHeight="false" outlineLevel="0" collapsed="false">
      <c r="A131" s="29"/>
      <c r="B131" s="19"/>
      <c r="C131" s="23"/>
      <c r="D131" s="23"/>
      <c r="E131" s="23"/>
      <c r="F131" s="23"/>
      <c r="G131" s="22"/>
      <c r="H131" s="23"/>
      <c r="I131" s="23"/>
      <c r="J131" s="23"/>
      <c r="K131" s="23"/>
      <c r="L131" s="23"/>
      <c r="M131" s="19"/>
      <c r="N131" s="20"/>
      <c r="O131" s="30" t="str">
        <f aca="false">IF($B131="","",TEXT($A131,"YYYY-MM")&amp;"|"&amp;$B131)</f>
        <v/>
      </c>
    </row>
    <row r="132" customFormat="false" ht="15" hidden="false" customHeight="false" outlineLevel="0" collapsed="false">
      <c r="A132" s="27"/>
      <c r="B132" s="13"/>
      <c r="C132" s="17"/>
      <c r="D132" s="17"/>
      <c r="E132" s="17"/>
      <c r="F132" s="17"/>
      <c r="G132" s="16"/>
      <c r="H132" s="17"/>
      <c r="I132" s="17"/>
      <c r="J132" s="17"/>
      <c r="K132" s="17"/>
      <c r="L132" s="17"/>
      <c r="M132" s="13"/>
      <c r="N132" s="14"/>
      <c r="O132" s="28" t="str">
        <f aca="false">IF($B132="","",TEXT($A132,"YYYY-MM")&amp;"|"&amp;$B132)</f>
        <v/>
      </c>
    </row>
    <row r="133" customFormat="false" ht="15" hidden="false" customHeight="false" outlineLevel="0" collapsed="false">
      <c r="A133" s="29"/>
      <c r="B133" s="19"/>
      <c r="C133" s="23"/>
      <c r="D133" s="23"/>
      <c r="E133" s="23"/>
      <c r="F133" s="23"/>
      <c r="G133" s="22"/>
      <c r="H133" s="23"/>
      <c r="I133" s="23"/>
      <c r="J133" s="23"/>
      <c r="K133" s="23"/>
      <c r="L133" s="23"/>
      <c r="M133" s="19"/>
      <c r="N133" s="20"/>
      <c r="O133" s="30" t="str">
        <f aca="false">IF($B133="","",TEXT($A133,"YYYY-MM")&amp;"|"&amp;$B133)</f>
        <v/>
      </c>
    </row>
    <row r="134" customFormat="false" ht="15" hidden="false" customHeight="false" outlineLevel="0" collapsed="false">
      <c r="A134" s="27"/>
      <c r="B134" s="13"/>
      <c r="C134" s="17"/>
      <c r="D134" s="17"/>
      <c r="E134" s="17"/>
      <c r="F134" s="17"/>
      <c r="G134" s="16"/>
      <c r="H134" s="17"/>
      <c r="I134" s="17"/>
      <c r="J134" s="17"/>
      <c r="K134" s="17"/>
      <c r="L134" s="17"/>
      <c r="M134" s="13"/>
      <c r="N134" s="14"/>
      <c r="O134" s="28" t="str">
        <f aca="false">IF($B134="","",TEXT($A134,"YYYY-MM")&amp;"|"&amp;$B134)</f>
        <v/>
      </c>
    </row>
    <row r="135" customFormat="false" ht="15" hidden="false" customHeight="false" outlineLevel="0" collapsed="false">
      <c r="A135" s="29"/>
      <c r="B135" s="19"/>
      <c r="C135" s="23"/>
      <c r="D135" s="23"/>
      <c r="E135" s="23"/>
      <c r="F135" s="23"/>
      <c r="G135" s="22"/>
      <c r="H135" s="23"/>
      <c r="I135" s="23"/>
      <c r="J135" s="23"/>
      <c r="K135" s="23"/>
      <c r="L135" s="23"/>
      <c r="M135" s="19"/>
      <c r="N135" s="20"/>
      <c r="O135" s="30" t="str">
        <f aca="false">IF($B135="","",TEXT($A135,"YYYY-MM")&amp;"|"&amp;$B135)</f>
        <v/>
      </c>
    </row>
    <row r="136" customFormat="false" ht="15" hidden="false" customHeight="false" outlineLevel="0" collapsed="false">
      <c r="A136" s="27"/>
      <c r="B136" s="13"/>
      <c r="C136" s="17"/>
      <c r="D136" s="17"/>
      <c r="E136" s="17"/>
      <c r="F136" s="17"/>
      <c r="G136" s="16"/>
      <c r="H136" s="17"/>
      <c r="I136" s="17"/>
      <c r="J136" s="17"/>
      <c r="K136" s="17"/>
      <c r="L136" s="17"/>
      <c r="M136" s="13"/>
      <c r="N136" s="14"/>
      <c r="O136" s="28" t="str">
        <f aca="false">IF($B136="","",TEXT($A136,"YYYY-MM")&amp;"|"&amp;$B136)</f>
        <v/>
      </c>
    </row>
    <row r="137" customFormat="false" ht="15" hidden="false" customHeight="false" outlineLevel="0" collapsed="false">
      <c r="A137" s="29"/>
      <c r="B137" s="19"/>
      <c r="C137" s="23"/>
      <c r="D137" s="23"/>
      <c r="E137" s="23"/>
      <c r="F137" s="23"/>
      <c r="G137" s="22"/>
      <c r="H137" s="23"/>
      <c r="I137" s="23"/>
      <c r="J137" s="23"/>
      <c r="K137" s="23"/>
      <c r="L137" s="23"/>
      <c r="M137" s="19"/>
      <c r="N137" s="20"/>
      <c r="O137" s="30" t="str">
        <f aca="false">IF($B137="","",TEXT($A137,"YYYY-MM")&amp;"|"&amp;$B137)</f>
        <v/>
      </c>
    </row>
    <row r="138" customFormat="false" ht="15" hidden="false" customHeight="false" outlineLevel="0" collapsed="false">
      <c r="A138" s="27"/>
      <c r="B138" s="13"/>
      <c r="C138" s="17"/>
      <c r="D138" s="17"/>
      <c r="E138" s="17"/>
      <c r="F138" s="17"/>
      <c r="G138" s="16"/>
      <c r="H138" s="17"/>
      <c r="I138" s="17"/>
      <c r="J138" s="17"/>
      <c r="K138" s="17"/>
      <c r="L138" s="17"/>
      <c r="M138" s="13"/>
      <c r="N138" s="14"/>
      <c r="O138" s="28" t="str">
        <f aca="false">IF($B138="","",TEXT($A138,"YYYY-MM")&amp;"|"&amp;$B138)</f>
        <v/>
      </c>
    </row>
    <row r="139" customFormat="false" ht="15" hidden="false" customHeight="false" outlineLevel="0" collapsed="false">
      <c r="A139" s="29"/>
      <c r="B139" s="19"/>
      <c r="C139" s="23"/>
      <c r="D139" s="23"/>
      <c r="E139" s="23"/>
      <c r="F139" s="23"/>
      <c r="G139" s="22"/>
      <c r="H139" s="23"/>
      <c r="I139" s="23"/>
      <c r="J139" s="23"/>
      <c r="K139" s="23"/>
      <c r="L139" s="23"/>
      <c r="M139" s="19"/>
      <c r="N139" s="20"/>
      <c r="O139" s="30" t="str">
        <f aca="false">IF($B139="","",TEXT($A139,"YYYY-MM")&amp;"|"&amp;$B139)</f>
        <v/>
      </c>
    </row>
    <row r="140" customFormat="false" ht="15" hidden="false" customHeight="false" outlineLevel="0" collapsed="false">
      <c r="A140" s="27"/>
      <c r="B140" s="13"/>
      <c r="C140" s="17"/>
      <c r="D140" s="17"/>
      <c r="E140" s="17"/>
      <c r="F140" s="17"/>
      <c r="G140" s="16"/>
      <c r="H140" s="17"/>
      <c r="I140" s="17"/>
      <c r="J140" s="17"/>
      <c r="K140" s="17"/>
      <c r="L140" s="17"/>
      <c r="M140" s="13"/>
      <c r="N140" s="14"/>
      <c r="O140" s="28" t="str">
        <f aca="false">IF($B140="","",TEXT($A140,"YYYY-MM")&amp;"|"&amp;$B140)</f>
        <v/>
      </c>
    </row>
    <row r="141" customFormat="false" ht="15" hidden="false" customHeight="false" outlineLevel="0" collapsed="false">
      <c r="A141" s="29"/>
      <c r="B141" s="19"/>
      <c r="C141" s="23"/>
      <c r="D141" s="23"/>
      <c r="E141" s="23"/>
      <c r="F141" s="23"/>
      <c r="G141" s="22"/>
      <c r="H141" s="23"/>
      <c r="I141" s="23"/>
      <c r="J141" s="23"/>
      <c r="K141" s="23"/>
      <c r="L141" s="23"/>
      <c r="M141" s="19"/>
      <c r="N141" s="20"/>
      <c r="O141" s="30" t="str">
        <f aca="false">IF($B141="","",TEXT($A141,"YYYY-MM")&amp;"|"&amp;$B141)</f>
        <v/>
      </c>
    </row>
    <row r="142" customFormat="false" ht="15" hidden="false" customHeight="false" outlineLevel="0" collapsed="false">
      <c r="A142" s="27"/>
      <c r="B142" s="13"/>
      <c r="C142" s="17"/>
      <c r="D142" s="17"/>
      <c r="E142" s="17"/>
      <c r="F142" s="17"/>
      <c r="G142" s="16"/>
      <c r="H142" s="17"/>
      <c r="I142" s="17"/>
      <c r="J142" s="17"/>
      <c r="K142" s="17"/>
      <c r="L142" s="17"/>
      <c r="M142" s="13"/>
      <c r="N142" s="14"/>
      <c r="O142" s="28" t="str">
        <f aca="false">IF($B142="","",TEXT($A142,"YYYY-MM")&amp;"|"&amp;$B142)</f>
        <v/>
      </c>
    </row>
    <row r="143" customFormat="false" ht="15" hidden="false" customHeight="false" outlineLevel="0" collapsed="false">
      <c r="A143" s="29"/>
      <c r="B143" s="19"/>
      <c r="C143" s="23"/>
      <c r="D143" s="23"/>
      <c r="E143" s="23"/>
      <c r="F143" s="23"/>
      <c r="G143" s="22"/>
      <c r="H143" s="23"/>
      <c r="I143" s="23"/>
      <c r="J143" s="23"/>
      <c r="K143" s="23"/>
      <c r="L143" s="23"/>
      <c r="M143" s="19"/>
      <c r="N143" s="20"/>
      <c r="O143" s="30" t="str">
        <f aca="false">IF($B143="","",TEXT($A143,"YYYY-MM")&amp;"|"&amp;$B143)</f>
        <v/>
      </c>
    </row>
    <row r="144" customFormat="false" ht="15" hidden="false" customHeight="false" outlineLevel="0" collapsed="false">
      <c r="A144" s="27"/>
      <c r="B144" s="13"/>
      <c r="C144" s="17"/>
      <c r="D144" s="17"/>
      <c r="E144" s="17"/>
      <c r="F144" s="17"/>
      <c r="G144" s="16"/>
      <c r="H144" s="17"/>
      <c r="I144" s="17"/>
      <c r="J144" s="17"/>
      <c r="K144" s="17"/>
      <c r="L144" s="17"/>
      <c r="M144" s="13"/>
      <c r="N144" s="14"/>
      <c r="O144" s="28" t="str">
        <f aca="false">IF($B144="","",TEXT($A144,"YYYY-MM")&amp;"|"&amp;$B144)</f>
        <v/>
      </c>
    </row>
    <row r="145" customFormat="false" ht="15" hidden="false" customHeight="false" outlineLevel="0" collapsed="false">
      <c r="A145" s="29"/>
      <c r="B145" s="19"/>
      <c r="C145" s="23"/>
      <c r="D145" s="23"/>
      <c r="E145" s="23"/>
      <c r="F145" s="23"/>
      <c r="G145" s="22"/>
      <c r="H145" s="23"/>
      <c r="I145" s="23"/>
      <c r="J145" s="23"/>
      <c r="K145" s="23"/>
      <c r="L145" s="23"/>
      <c r="M145" s="19"/>
      <c r="N145" s="20"/>
      <c r="O145" s="30" t="str">
        <f aca="false">IF($B145="","",TEXT($A145,"YYYY-MM")&amp;"|"&amp;$B145)</f>
        <v/>
      </c>
    </row>
    <row r="146" customFormat="false" ht="15" hidden="false" customHeight="false" outlineLevel="0" collapsed="false">
      <c r="A146" s="27"/>
      <c r="B146" s="13"/>
      <c r="C146" s="17"/>
      <c r="D146" s="17"/>
      <c r="E146" s="17"/>
      <c r="F146" s="17"/>
      <c r="G146" s="16"/>
      <c r="H146" s="17"/>
      <c r="I146" s="17"/>
      <c r="J146" s="17"/>
      <c r="K146" s="17"/>
      <c r="L146" s="17"/>
      <c r="M146" s="13"/>
      <c r="N146" s="14"/>
      <c r="O146" s="28" t="str">
        <f aca="false">IF($B146="","",TEXT($A146,"YYYY-MM")&amp;"|"&amp;$B146)</f>
        <v/>
      </c>
    </row>
    <row r="147" customFormat="false" ht="15" hidden="false" customHeight="false" outlineLevel="0" collapsed="false">
      <c r="A147" s="29"/>
      <c r="B147" s="19"/>
      <c r="C147" s="23"/>
      <c r="D147" s="23"/>
      <c r="E147" s="23"/>
      <c r="F147" s="23"/>
      <c r="G147" s="22"/>
      <c r="H147" s="23"/>
      <c r="I147" s="23"/>
      <c r="J147" s="23"/>
      <c r="K147" s="23"/>
      <c r="L147" s="23"/>
      <c r="M147" s="19"/>
      <c r="N147" s="20"/>
      <c r="O147" s="30" t="str">
        <f aca="false">IF($B147="","",TEXT($A147,"YYYY-MM")&amp;"|"&amp;$B147)</f>
        <v/>
      </c>
    </row>
    <row r="148" customFormat="false" ht="15" hidden="false" customHeight="false" outlineLevel="0" collapsed="false">
      <c r="A148" s="27"/>
      <c r="B148" s="13"/>
      <c r="C148" s="17"/>
      <c r="D148" s="17"/>
      <c r="E148" s="17"/>
      <c r="F148" s="17"/>
      <c r="G148" s="16"/>
      <c r="H148" s="17"/>
      <c r="I148" s="17"/>
      <c r="J148" s="17"/>
      <c r="K148" s="17"/>
      <c r="L148" s="17"/>
      <c r="M148" s="13"/>
      <c r="N148" s="14"/>
      <c r="O148" s="28" t="str">
        <f aca="false">IF($B148="","",TEXT($A148,"YYYY-MM")&amp;"|"&amp;$B148)</f>
        <v/>
      </c>
    </row>
    <row r="149" customFormat="false" ht="15" hidden="false" customHeight="false" outlineLevel="0" collapsed="false">
      <c r="A149" s="29"/>
      <c r="B149" s="19"/>
      <c r="C149" s="23"/>
      <c r="D149" s="23"/>
      <c r="E149" s="23"/>
      <c r="F149" s="23"/>
      <c r="G149" s="22"/>
      <c r="H149" s="23"/>
      <c r="I149" s="23"/>
      <c r="J149" s="23"/>
      <c r="K149" s="23"/>
      <c r="L149" s="23"/>
      <c r="M149" s="19"/>
      <c r="N149" s="20"/>
      <c r="O149" s="30" t="str">
        <f aca="false">IF($B149="","",TEXT($A149,"YYYY-MM")&amp;"|"&amp;$B149)</f>
        <v/>
      </c>
    </row>
    <row r="150" customFormat="false" ht="15" hidden="false" customHeight="false" outlineLevel="0" collapsed="false">
      <c r="A150" s="27"/>
      <c r="B150" s="13"/>
      <c r="C150" s="17"/>
      <c r="D150" s="17"/>
      <c r="E150" s="17"/>
      <c r="F150" s="17"/>
      <c r="G150" s="16"/>
      <c r="H150" s="17"/>
      <c r="I150" s="17"/>
      <c r="J150" s="17"/>
      <c r="K150" s="17"/>
      <c r="L150" s="17"/>
      <c r="M150" s="13"/>
      <c r="N150" s="14"/>
      <c r="O150" s="28" t="str">
        <f aca="false">IF($B150="","",TEXT($A150,"YYYY-MM")&amp;"|"&amp;$B150)</f>
        <v/>
      </c>
    </row>
    <row r="151" customFormat="false" ht="15" hidden="false" customHeight="false" outlineLevel="0" collapsed="false">
      <c r="A151" s="29"/>
      <c r="B151" s="19"/>
      <c r="C151" s="23"/>
      <c r="D151" s="23"/>
      <c r="E151" s="23"/>
      <c r="F151" s="23"/>
      <c r="G151" s="22"/>
      <c r="H151" s="23"/>
      <c r="I151" s="23"/>
      <c r="J151" s="23"/>
      <c r="K151" s="23"/>
      <c r="L151" s="23"/>
      <c r="M151" s="19"/>
      <c r="N151" s="20"/>
      <c r="O151" s="30" t="str">
        <f aca="false">IF($B151="","",TEXT($A151,"YYYY-MM")&amp;"|"&amp;$B151)</f>
        <v/>
      </c>
    </row>
    <row r="152" customFormat="false" ht="15" hidden="false" customHeight="false" outlineLevel="0" collapsed="false">
      <c r="A152" s="27"/>
      <c r="B152" s="13"/>
      <c r="C152" s="17"/>
      <c r="D152" s="17"/>
      <c r="E152" s="17"/>
      <c r="F152" s="17"/>
      <c r="G152" s="16"/>
      <c r="H152" s="17"/>
      <c r="I152" s="17"/>
      <c r="J152" s="17"/>
      <c r="K152" s="17"/>
      <c r="L152" s="17"/>
      <c r="M152" s="13"/>
      <c r="N152" s="14"/>
      <c r="O152" s="28" t="str">
        <f aca="false">IF($B152="","",TEXT($A152,"YYYY-MM")&amp;"|"&amp;$B152)</f>
        <v/>
      </c>
    </row>
    <row r="153" customFormat="false" ht="15" hidden="false" customHeight="false" outlineLevel="0" collapsed="false">
      <c r="A153" s="29"/>
      <c r="B153" s="19"/>
      <c r="C153" s="23"/>
      <c r="D153" s="23"/>
      <c r="E153" s="23"/>
      <c r="F153" s="23"/>
      <c r="G153" s="22"/>
      <c r="H153" s="23"/>
      <c r="I153" s="23"/>
      <c r="J153" s="23"/>
      <c r="K153" s="23"/>
      <c r="L153" s="23"/>
      <c r="M153" s="19"/>
      <c r="N153" s="20"/>
      <c r="O153" s="30" t="str">
        <f aca="false">IF($B153="","",TEXT($A153,"YYYY-MM")&amp;"|"&amp;$B153)</f>
        <v/>
      </c>
    </row>
    <row r="154" customFormat="false" ht="15" hidden="false" customHeight="false" outlineLevel="0" collapsed="false">
      <c r="A154" s="27"/>
      <c r="B154" s="13"/>
      <c r="C154" s="17"/>
      <c r="D154" s="17"/>
      <c r="E154" s="17"/>
      <c r="F154" s="17"/>
      <c r="G154" s="16"/>
      <c r="H154" s="17"/>
      <c r="I154" s="17"/>
      <c r="J154" s="17"/>
      <c r="K154" s="17"/>
      <c r="L154" s="17"/>
      <c r="M154" s="13"/>
      <c r="N154" s="14"/>
      <c r="O154" s="28" t="str">
        <f aca="false">IF($B154="","",TEXT($A154,"YYYY-MM")&amp;"|"&amp;$B154)</f>
        <v/>
      </c>
    </row>
    <row r="155" customFormat="false" ht="15" hidden="false" customHeight="false" outlineLevel="0" collapsed="false">
      <c r="A155" s="29"/>
      <c r="B155" s="19"/>
      <c r="C155" s="23"/>
      <c r="D155" s="23"/>
      <c r="E155" s="23"/>
      <c r="F155" s="23"/>
      <c r="G155" s="22"/>
      <c r="H155" s="23"/>
      <c r="I155" s="23"/>
      <c r="J155" s="23"/>
      <c r="K155" s="23"/>
      <c r="L155" s="23"/>
      <c r="M155" s="19"/>
      <c r="N155" s="20"/>
      <c r="O155" s="30" t="str">
        <f aca="false">IF($B155="","",TEXT($A155,"YYYY-MM")&amp;"|"&amp;$B155)</f>
        <v/>
      </c>
    </row>
    <row r="156" customFormat="false" ht="15" hidden="false" customHeight="false" outlineLevel="0" collapsed="false">
      <c r="A156" s="27"/>
      <c r="B156" s="13"/>
      <c r="C156" s="17"/>
      <c r="D156" s="17"/>
      <c r="E156" s="17"/>
      <c r="F156" s="17"/>
      <c r="G156" s="16"/>
      <c r="H156" s="17"/>
      <c r="I156" s="17"/>
      <c r="J156" s="17"/>
      <c r="K156" s="17"/>
      <c r="L156" s="17"/>
      <c r="M156" s="13"/>
      <c r="N156" s="14"/>
      <c r="O156" s="28" t="str">
        <f aca="false">IF($B156="","",TEXT($A156,"YYYY-MM")&amp;"|"&amp;$B156)</f>
        <v/>
      </c>
    </row>
    <row r="157" customFormat="false" ht="15" hidden="false" customHeight="false" outlineLevel="0" collapsed="false">
      <c r="A157" s="29"/>
      <c r="B157" s="19"/>
      <c r="C157" s="23"/>
      <c r="D157" s="23"/>
      <c r="E157" s="23"/>
      <c r="F157" s="23"/>
      <c r="G157" s="22"/>
      <c r="H157" s="23"/>
      <c r="I157" s="23"/>
      <c r="J157" s="23"/>
      <c r="K157" s="23"/>
      <c r="L157" s="23"/>
      <c r="M157" s="19"/>
      <c r="N157" s="20"/>
      <c r="O157" s="30" t="str">
        <f aca="false">IF($B157="","",TEXT($A157,"YYYY-MM")&amp;"|"&amp;$B157)</f>
        <v/>
      </c>
    </row>
    <row r="158" customFormat="false" ht="15" hidden="false" customHeight="false" outlineLevel="0" collapsed="false">
      <c r="A158" s="27"/>
      <c r="B158" s="13"/>
      <c r="C158" s="17"/>
      <c r="D158" s="17"/>
      <c r="E158" s="17"/>
      <c r="F158" s="17"/>
      <c r="G158" s="16"/>
      <c r="H158" s="17"/>
      <c r="I158" s="17"/>
      <c r="J158" s="17"/>
      <c r="K158" s="17"/>
      <c r="L158" s="17"/>
      <c r="M158" s="13"/>
      <c r="N158" s="14"/>
      <c r="O158" s="28" t="str">
        <f aca="false">IF($B158="","",TEXT($A158,"YYYY-MM")&amp;"|"&amp;$B158)</f>
        <v/>
      </c>
    </row>
    <row r="159" customFormat="false" ht="15" hidden="false" customHeight="false" outlineLevel="0" collapsed="false">
      <c r="A159" s="29"/>
      <c r="B159" s="19"/>
      <c r="C159" s="23"/>
      <c r="D159" s="23"/>
      <c r="E159" s="23"/>
      <c r="F159" s="23"/>
      <c r="G159" s="22"/>
      <c r="H159" s="23"/>
      <c r="I159" s="23"/>
      <c r="J159" s="23"/>
      <c r="K159" s="23"/>
      <c r="L159" s="23"/>
      <c r="M159" s="19"/>
      <c r="N159" s="20"/>
      <c r="O159" s="30" t="str">
        <f aca="false">IF($B159="","",TEXT($A159,"YYYY-MM")&amp;"|"&amp;$B159)</f>
        <v/>
      </c>
    </row>
    <row r="160" customFormat="false" ht="15" hidden="false" customHeight="false" outlineLevel="0" collapsed="false">
      <c r="A160" s="27"/>
      <c r="B160" s="13"/>
      <c r="C160" s="17"/>
      <c r="D160" s="17"/>
      <c r="E160" s="17"/>
      <c r="F160" s="17"/>
      <c r="G160" s="16"/>
      <c r="H160" s="17"/>
      <c r="I160" s="17"/>
      <c r="J160" s="17"/>
      <c r="K160" s="17"/>
      <c r="L160" s="17"/>
      <c r="M160" s="13"/>
      <c r="N160" s="14"/>
      <c r="O160" s="28" t="str">
        <f aca="false">IF($B160="","",TEXT($A160,"YYYY-MM")&amp;"|"&amp;$B160)</f>
        <v/>
      </c>
    </row>
    <row r="161" customFormat="false" ht="15" hidden="false" customHeight="false" outlineLevel="0" collapsed="false">
      <c r="A161" s="29"/>
      <c r="B161" s="19"/>
      <c r="C161" s="23"/>
      <c r="D161" s="23"/>
      <c r="E161" s="23"/>
      <c r="F161" s="23"/>
      <c r="G161" s="22"/>
      <c r="H161" s="23"/>
      <c r="I161" s="23"/>
      <c r="J161" s="23"/>
      <c r="K161" s="23"/>
      <c r="L161" s="23"/>
      <c r="M161" s="19"/>
      <c r="N161" s="20"/>
      <c r="O161" s="30" t="str">
        <f aca="false">IF($B161="","",TEXT($A161,"YYYY-MM")&amp;"|"&amp;$B161)</f>
        <v/>
      </c>
    </row>
    <row r="162" customFormat="false" ht="15" hidden="false" customHeight="false" outlineLevel="0" collapsed="false">
      <c r="A162" s="27"/>
      <c r="B162" s="13"/>
      <c r="C162" s="17"/>
      <c r="D162" s="17"/>
      <c r="E162" s="17"/>
      <c r="F162" s="17"/>
      <c r="G162" s="16"/>
      <c r="H162" s="17"/>
      <c r="I162" s="17"/>
      <c r="J162" s="17"/>
      <c r="K162" s="17"/>
      <c r="L162" s="17"/>
      <c r="M162" s="13"/>
      <c r="N162" s="14"/>
      <c r="O162" s="28" t="str">
        <f aca="false">IF($B162="","",TEXT($A162,"YYYY-MM")&amp;"|"&amp;$B162)</f>
        <v/>
      </c>
    </row>
    <row r="163" customFormat="false" ht="15" hidden="false" customHeight="false" outlineLevel="0" collapsed="false">
      <c r="A163" s="29"/>
      <c r="B163" s="19"/>
      <c r="C163" s="23"/>
      <c r="D163" s="23"/>
      <c r="E163" s="23"/>
      <c r="F163" s="23"/>
      <c r="G163" s="22"/>
      <c r="H163" s="23"/>
      <c r="I163" s="23"/>
      <c r="J163" s="23"/>
      <c r="K163" s="23"/>
      <c r="L163" s="23"/>
      <c r="M163" s="19"/>
      <c r="N163" s="20"/>
      <c r="O163" s="30" t="str">
        <f aca="false">IF($B163="","",TEXT($A163,"YYYY-MM")&amp;"|"&amp;$B163)</f>
        <v/>
      </c>
    </row>
    <row r="164" customFormat="false" ht="15" hidden="false" customHeight="false" outlineLevel="0" collapsed="false">
      <c r="A164" s="27"/>
      <c r="B164" s="13"/>
      <c r="C164" s="17"/>
      <c r="D164" s="17"/>
      <c r="E164" s="17"/>
      <c r="F164" s="17"/>
      <c r="G164" s="16"/>
      <c r="H164" s="17"/>
      <c r="I164" s="17"/>
      <c r="J164" s="17"/>
      <c r="K164" s="17"/>
      <c r="L164" s="17"/>
      <c r="M164" s="13"/>
      <c r="N164" s="14"/>
      <c r="O164" s="28" t="str">
        <f aca="false">IF($B164="","",TEXT($A164,"YYYY-MM")&amp;"|"&amp;$B164)</f>
        <v/>
      </c>
    </row>
    <row r="165" customFormat="false" ht="15" hidden="false" customHeight="false" outlineLevel="0" collapsed="false">
      <c r="A165" s="29"/>
      <c r="B165" s="19"/>
      <c r="C165" s="23"/>
      <c r="D165" s="23"/>
      <c r="E165" s="23"/>
      <c r="F165" s="23"/>
      <c r="G165" s="22"/>
      <c r="H165" s="23"/>
      <c r="I165" s="23"/>
      <c r="J165" s="23"/>
      <c r="K165" s="23"/>
      <c r="L165" s="23"/>
      <c r="M165" s="19"/>
      <c r="N165" s="20"/>
      <c r="O165" s="30" t="str">
        <f aca="false">IF($B165="","",TEXT($A165,"YYYY-MM")&amp;"|"&amp;$B165)</f>
        <v/>
      </c>
    </row>
    <row r="166" customFormat="false" ht="15" hidden="false" customHeight="false" outlineLevel="0" collapsed="false">
      <c r="A166" s="27"/>
      <c r="B166" s="13"/>
      <c r="C166" s="17"/>
      <c r="D166" s="17"/>
      <c r="E166" s="17"/>
      <c r="F166" s="17"/>
      <c r="G166" s="16"/>
      <c r="H166" s="17"/>
      <c r="I166" s="17"/>
      <c r="J166" s="17"/>
      <c r="K166" s="17"/>
      <c r="L166" s="17"/>
      <c r="M166" s="13"/>
      <c r="N166" s="14"/>
      <c r="O166" s="28" t="str">
        <f aca="false">IF($B166="","",TEXT($A166,"YYYY-MM")&amp;"|"&amp;$B166)</f>
        <v/>
      </c>
    </row>
    <row r="167" customFormat="false" ht="15" hidden="false" customHeight="false" outlineLevel="0" collapsed="false">
      <c r="A167" s="29"/>
      <c r="B167" s="19"/>
      <c r="C167" s="23"/>
      <c r="D167" s="23"/>
      <c r="E167" s="23"/>
      <c r="F167" s="23"/>
      <c r="G167" s="22"/>
      <c r="H167" s="23"/>
      <c r="I167" s="23"/>
      <c r="J167" s="23"/>
      <c r="K167" s="23"/>
      <c r="L167" s="23"/>
      <c r="M167" s="19"/>
      <c r="N167" s="20"/>
      <c r="O167" s="30" t="str">
        <f aca="false">IF($B167="","",TEXT($A167,"YYYY-MM")&amp;"|"&amp;$B167)</f>
        <v/>
      </c>
    </row>
    <row r="168" customFormat="false" ht="15" hidden="false" customHeight="false" outlineLevel="0" collapsed="false">
      <c r="A168" s="27"/>
      <c r="B168" s="13"/>
      <c r="C168" s="17"/>
      <c r="D168" s="17"/>
      <c r="E168" s="17"/>
      <c r="F168" s="17"/>
      <c r="G168" s="16"/>
      <c r="H168" s="17"/>
      <c r="I168" s="17"/>
      <c r="J168" s="17"/>
      <c r="K168" s="17"/>
      <c r="L168" s="17"/>
      <c r="M168" s="13"/>
      <c r="N168" s="14"/>
      <c r="O168" s="28" t="str">
        <f aca="false">IF($B168="","",TEXT($A168,"YYYY-MM")&amp;"|"&amp;$B168)</f>
        <v/>
      </c>
    </row>
    <row r="169" customFormat="false" ht="15" hidden="false" customHeight="false" outlineLevel="0" collapsed="false">
      <c r="A169" s="29"/>
      <c r="B169" s="19"/>
      <c r="C169" s="23"/>
      <c r="D169" s="23"/>
      <c r="E169" s="23"/>
      <c r="F169" s="23"/>
      <c r="G169" s="22"/>
      <c r="H169" s="23"/>
      <c r="I169" s="23"/>
      <c r="J169" s="23"/>
      <c r="K169" s="23"/>
      <c r="L169" s="23"/>
      <c r="M169" s="19"/>
      <c r="N169" s="20"/>
      <c r="O169" s="30" t="str">
        <f aca="false">IF($B169="","",TEXT($A169,"YYYY-MM")&amp;"|"&amp;$B169)</f>
        <v/>
      </c>
    </row>
    <row r="170" customFormat="false" ht="15" hidden="false" customHeight="false" outlineLevel="0" collapsed="false">
      <c r="A170" s="27"/>
      <c r="B170" s="13"/>
      <c r="C170" s="17"/>
      <c r="D170" s="17"/>
      <c r="E170" s="17"/>
      <c r="F170" s="17"/>
      <c r="G170" s="16"/>
      <c r="H170" s="17"/>
      <c r="I170" s="17"/>
      <c r="J170" s="17"/>
      <c r="K170" s="17"/>
      <c r="L170" s="17"/>
      <c r="M170" s="13"/>
      <c r="N170" s="14"/>
      <c r="O170" s="28" t="str">
        <f aca="false">IF($B170="","",TEXT($A170,"YYYY-MM")&amp;"|"&amp;$B170)</f>
        <v/>
      </c>
    </row>
    <row r="171" customFormat="false" ht="15" hidden="false" customHeight="false" outlineLevel="0" collapsed="false">
      <c r="A171" s="29"/>
      <c r="B171" s="19"/>
      <c r="C171" s="23"/>
      <c r="D171" s="23"/>
      <c r="E171" s="23"/>
      <c r="F171" s="23"/>
      <c r="G171" s="22"/>
      <c r="H171" s="23"/>
      <c r="I171" s="23"/>
      <c r="J171" s="23"/>
      <c r="K171" s="23"/>
      <c r="L171" s="23"/>
      <c r="M171" s="19"/>
      <c r="N171" s="20"/>
      <c r="O171" s="30" t="str">
        <f aca="false">IF($B171="","",TEXT($A171,"YYYY-MM")&amp;"|"&amp;$B171)</f>
        <v/>
      </c>
    </row>
    <row r="172" customFormat="false" ht="15" hidden="false" customHeight="false" outlineLevel="0" collapsed="false">
      <c r="A172" s="27"/>
      <c r="B172" s="13"/>
      <c r="C172" s="17"/>
      <c r="D172" s="17"/>
      <c r="E172" s="17"/>
      <c r="F172" s="17"/>
      <c r="G172" s="16"/>
      <c r="H172" s="17"/>
      <c r="I172" s="17"/>
      <c r="J172" s="17"/>
      <c r="K172" s="17"/>
      <c r="L172" s="17"/>
      <c r="M172" s="13"/>
      <c r="N172" s="14"/>
      <c r="O172" s="28" t="str">
        <f aca="false">IF($B172="","",TEXT($A172,"YYYY-MM")&amp;"|"&amp;$B172)</f>
        <v/>
      </c>
    </row>
    <row r="173" customFormat="false" ht="15" hidden="false" customHeight="false" outlineLevel="0" collapsed="false">
      <c r="A173" s="29"/>
      <c r="B173" s="19"/>
      <c r="C173" s="23"/>
      <c r="D173" s="23"/>
      <c r="E173" s="23"/>
      <c r="F173" s="23"/>
      <c r="G173" s="22"/>
      <c r="H173" s="23"/>
      <c r="I173" s="23"/>
      <c r="J173" s="23"/>
      <c r="K173" s="23"/>
      <c r="L173" s="23"/>
      <c r="M173" s="19"/>
      <c r="N173" s="20"/>
      <c r="O173" s="30" t="str">
        <f aca="false">IF($B173="","",TEXT($A173,"YYYY-MM")&amp;"|"&amp;$B173)</f>
        <v/>
      </c>
    </row>
    <row r="174" customFormat="false" ht="15" hidden="false" customHeight="false" outlineLevel="0" collapsed="false">
      <c r="A174" s="27"/>
      <c r="B174" s="13"/>
      <c r="C174" s="17"/>
      <c r="D174" s="17"/>
      <c r="E174" s="17"/>
      <c r="F174" s="17"/>
      <c r="G174" s="16"/>
      <c r="H174" s="17"/>
      <c r="I174" s="17"/>
      <c r="J174" s="17"/>
      <c r="K174" s="17"/>
      <c r="L174" s="17"/>
      <c r="M174" s="13"/>
      <c r="N174" s="14"/>
      <c r="O174" s="28" t="str">
        <f aca="false">IF($B174="","",TEXT($A174,"YYYY-MM")&amp;"|"&amp;$B174)</f>
        <v/>
      </c>
    </row>
    <row r="175" customFormat="false" ht="15" hidden="false" customHeight="false" outlineLevel="0" collapsed="false">
      <c r="A175" s="29"/>
      <c r="B175" s="19"/>
      <c r="C175" s="23"/>
      <c r="D175" s="23"/>
      <c r="E175" s="23"/>
      <c r="F175" s="23"/>
      <c r="G175" s="22"/>
      <c r="H175" s="23"/>
      <c r="I175" s="23"/>
      <c r="J175" s="23"/>
      <c r="K175" s="23"/>
      <c r="L175" s="23"/>
      <c r="M175" s="19"/>
      <c r="N175" s="20"/>
      <c r="O175" s="30" t="str">
        <f aca="false">IF($B175="","",TEXT($A175,"YYYY-MM")&amp;"|"&amp;$B175)</f>
        <v/>
      </c>
    </row>
    <row r="176" customFormat="false" ht="15" hidden="false" customHeight="false" outlineLevel="0" collapsed="false">
      <c r="A176" s="27"/>
      <c r="B176" s="13"/>
      <c r="C176" s="17"/>
      <c r="D176" s="17"/>
      <c r="E176" s="17"/>
      <c r="F176" s="17"/>
      <c r="G176" s="16"/>
      <c r="H176" s="17"/>
      <c r="I176" s="17"/>
      <c r="J176" s="17"/>
      <c r="K176" s="17"/>
      <c r="L176" s="17"/>
      <c r="M176" s="13"/>
      <c r="N176" s="14"/>
      <c r="O176" s="28" t="str">
        <f aca="false">IF($B176="","",TEXT($A176,"YYYY-MM")&amp;"|"&amp;$B176)</f>
        <v/>
      </c>
    </row>
    <row r="177" customFormat="false" ht="15" hidden="false" customHeight="false" outlineLevel="0" collapsed="false">
      <c r="A177" s="29"/>
      <c r="B177" s="19"/>
      <c r="C177" s="23"/>
      <c r="D177" s="23"/>
      <c r="E177" s="23"/>
      <c r="F177" s="23"/>
      <c r="G177" s="22"/>
      <c r="H177" s="23"/>
      <c r="I177" s="23"/>
      <c r="J177" s="23"/>
      <c r="K177" s="23"/>
      <c r="L177" s="23"/>
      <c r="M177" s="19"/>
      <c r="N177" s="20"/>
      <c r="O177" s="30" t="str">
        <f aca="false">IF($B177="","",TEXT($A177,"YYYY-MM")&amp;"|"&amp;$B177)</f>
        <v/>
      </c>
    </row>
    <row r="178" customFormat="false" ht="15" hidden="false" customHeight="false" outlineLevel="0" collapsed="false">
      <c r="A178" s="27"/>
      <c r="B178" s="13"/>
      <c r="C178" s="17"/>
      <c r="D178" s="17"/>
      <c r="E178" s="17"/>
      <c r="F178" s="17"/>
      <c r="G178" s="16"/>
      <c r="H178" s="17"/>
      <c r="I178" s="17"/>
      <c r="J178" s="17"/>
      <c r="K178" s="17"/>
      <c r="L178" s="17"/>
      <c r="M178" s="13"/>
      <c r="N178" s="14"/>
      <c r="O178" s="28" t="str">
        <f aca="false">IF($B178="","",TEXT($A178,"YYYY-MM")&amp;"|"&amp;$B178)</f>
        <v/>
      </c>
    </row>
    <row r="179" customFormat="false" ht="15" hidden="false" customHeight="false" outlineLevel="0" collapsed="false">
      <c r="A179" s="29"/>
      <c r="B179" s="19"/>
      <c r="C179" s="23"/>
      <c r="D179" s="23"/>
      <c r="E179" s="23"/>
      <c r="F179" s="23"/>
      <c r="G179" s="22"/>
      <c r="H179" s="23"/>
      <c r="I179" s="23"/>
      <c r="J179" s="23"/>
      <c r="K179" s="23"/>
      <c r="L179" s="23"/>
      <c r="M179" s="19"/>
      <c r="N179" s="20"/>
      <c r="O179" s="30" t="str">
        <f aca="false">IF($B179="","",TEXT($A179,"YYYY-MM")&amp;"|"&amp;$B179)</f>
        <v/>
      </c>
    </row>
    <row r="180" customFormat="false" ht="15" hidden="false" customHeight="false" outlineLevel="0" collapsed="false">
      <c r="A180" s="27"/>
      <c r="B180" s="13"/>
      <c r="C180" s="17"/>
      <c r="D180" s="17"/>
      <c r="E180" s="17"/>
      <c r="F180" s="17"/>
      <c r="G180" s="16"/>
      <c r="H180" s="17"/>
      <c r="I180" s="17"/>
      <c r="J180" s="17"/>
      <c r="K180" s="17"/>
      <c r="L180" s="17"/>
      <c r="M180" s="13"/>
      <c r="N180" s="14"/>
      <c r="O180" s="28" t="str">
        <f aca="false">IF($B180="","",TEXT($A180,"YYYY-MM")&amp;"|"&amp;$B180)</f>
        <v/>
      </c>
    </row>
    <row r="181" customFormat="false" ht="15" hidden="false" customHeight="false" outlineLevel="0" collapsed="false">
      <c r="A181" s="29"/>
      <c r="B181" s="19"/>
      <c r="C181" s="23"/>
      <c r="D181" s="23"/>
      <c r="E181" s="23"/>
      <c r="F181" s="23"/>
      <c r="G181" s="22"/>
      <c r="H181" s="23"/>
      <c r="I181" s="23"/>
      <c r="J181" s="23"/>
      <c r="K181" s="23"/>
      <c r="L181" s="23"/>
      <c r="M181" s="19"/>
      <c r="N181" s="20"/>
      <c r="O181" s="30" t="str">
        <f aca="false">IF($B181="","",TEXT($A181,"YYYY-MM")&amp;"|"&amp;$B181)</f>
        <v/>
      </c>
    </row>
    <row r="182" customFormat="false" ht="15" hidden="false" customHeight="false" outlineLevel="0" collapsed="false">
      <c r="A182" s="27"/>
      <c r="B182" s="13"/>
      <c r="C182" s="17"/>
      <c r="D182" s="17"/>
      <c r="E182" s="17"/>
      <c r="F182" s="17"/>
      <c r="G182" s="16"/>
      <c r="H182" s="17"/>
      <c r="I182" s="17"/>
      <c r="J182" s="17"/>
      <c r="K182" s="17"/>
      <c r="L182" s="17"/>
      <c r="M182" s="13"/>
      <c r="N182" s="14"/>
      <c r="O182" s="28" t="str">
        <f aca="false">IF($B182="","",TEXT($A182,"YYYY-MM")&amp;"|"&amp;$B182)</f>
        <v/>
      </c>
    </row>
    <row r="183" customFormat="false" ht="15" hidden="false" customHeight="false" outlineLevel="0" collapsed="false">
      <c r="A183" s="29"/>
      <c r="B183" s="19"/>
      <c r="C183" s="23"/>
      <c r="D183" s="23"/>
      <c r="E183" s="23"/>
      <c r="F183" s="23"/>
      <c r="G183" s="22"/>
      <c r="H183" s="23"/>
      <c r="I183" s="23"/>
      <c r="J183" s="23"/>
      <c r="K183" s="23"/>
      <c r="L183" s="23"/>
      <c r="M183" s="19"/>
      <c r="N183" s="20"/>
      <c r="O183" s="30" t="str">
        <f aca="false">IF($B183="","",TEXT($A183,"YYYY-MM")&amp;"|"&amp;$B183)</f>
        <v/>
      </c>
    </row>
    <row r="184" customFormat="false" ht="15" hidden="false" customHeight="false" outlineLevel="0" collapsed="false">
      <c r="A184" s="27"/>
      <c r="B184" s="13"/>
      <c r="C184" s="17"/>
      <c r="D184" s="17"/>
      <c r="E184" s="17"/>
      <c r="F184" s="17"/>
      <c r="G184" s="16"/>
      <c r="H184" s="17"/>
      <c r="I184" s="17"/>
      <c r="J184" s="17"/>
      <c r="K184" s="17"/>
      <c r="L184" s="17"/>
      <c r="M184" s="13"/>
      <c r="N184" s="14"/>
      <c r="O184" s="28" t="str">
        <f aca="false">IF($B184="","",TEXT($A184,"YYYY-MM")&amp;"|"&amp;$B184)</f>
        <v/>
      </c>
    </row>
    <row r="185" customFormat="false" ht="15" hidden="false" customHeight="false" outlineLevel="0" collapsed="false">
      <c r="A185" s="29"/>
      <c r="B185" s="19"/>
      <c r="C185" s="23"/>
      <c r="D185" s="23"/>
      <c r="E185" s="23"/>
      <c r="F185" s="23"/>
      <c r="G185" s="22"/>
      <c r="H185" s="23"/>
      <c r="I185" s="23"/>
      <c r="J185" s="23"/>
      <c r="K185" s="23"/>
      <c r="L185" s="23"/>
      <c r="M185" s="19"/>
      <c r="N185" s="20"/>
      <c r="O185" s="30" t="str">
        <f aca="false">IF($B185="","",TEXT($A185,"YYYY-MM")&amp;"|"&amp;$B185)</f>
        <v/>
      </c>
    </row>
    <row r="186" customFormat="false" ht="15" hidden="false" customHeight="false" outlineLevel="0" collapsed="false">
      <c r="A186" s="27"/>
      <c r="B186" s="13"/>
      <c r="C186" s="17"/>
      <c r="D186" s="17"/>
      <c r="E186" s="17"/>
      <c r="F186" s="17"/>
      <c r="G186" s="16"/>
      <c r="H186" s="17"/>
      <c r="I186" s="17"/>
      <c r="J186" s="17"/>
      <c r="K186" s="17"/>
      <c r="L186" s="17"/>
      <c r="M186" s="13"/>
      <c r="N186" s="14"/>
      <c r="O186" s="28" t="str">
        <f aca="false">IF($B186="","",TEXT($A186,"YYYY-MM")&amp;"|"&amp;$B186)</f>
        <v/>
      </c>
    </row>
    <row r="187" customFormat="false" ht="15" hidden="false" customHeight="false" outlineLevel="0" collapsed="false">
      <c r="A187" s="29"/>
      <c r="B187" s="19"/>
      <c r="C187" s="23"/>
      <c r="D187" s="23"/>
      <c r="E187" s="23"/>
      <c r="F187" s="23"/>
      <c r="G187" s="22"/>
      <c r="H187" s="23"/>
      <c r="I187" s="23"/>
      <c r="J187" s="23"/>
      <c r="K187" s="23"/>
      <c r="L187" s="23"/>
      <c r="M187" s="19"/>
      <c r="N187" s="20"/>
      <c r="O187" s="30" t="str">
        <f aca="false">IF($B187="","",TEXT($A187,"YYYY-MM")&amp;"|"&amp;$B187)</f>
        <v/>
      </c>
    </row>
    <row r="188" customFormat="false" ht="15" hidden="false" customHeight="false" outlineLevel="0" collapsed="false">
      <c r="A188" s="27"/>
      <c r="B188" s="13"/>
      <c r="C188" s="17"/>
      <c r="D188" s="17"/>
      <c r="E188" s="17"/>
      <c r="F188" s="17"/>
      <c r="G188" s="16"/>
      <c r="H188" s="17"/>
      <c r="I188" s="17"/>
      <c r="J188" s="17"/>
      <c r="K188" s="17"/>
      <c r="L188" s="17"/>
      <c r="M188" s="13"/>
      <c r="N188" s="14"/>
      <c r="O188" s="28" t="str">
        <f aca="false">IF($B188="","",TEXT($A188,"YYYY-MM")&amp;"|"&amp;$B188)</f>
        <v/>
      </c>
    </row>
    <row r="189" customFormat="false" ht="15" hidden="false" customHeight="false" outlineLevel="0" collapsed="false">
      <c r="A189" s="29"/>
      <c r="B189" s="19"/>
      <c r="C189" s="23"/>
      <c r="D189" s="23"/>
      <c r="E189" s="23"/>
      <c r="F189" s="23"/>
      <c r="G189" s="22"/>
      <c r="H189" s="23"/>
      <c r="I189" s="23"/>
      <c r="J189" s="23"/>
      <c r="K189" s="23"/>
      <c r="L189" s="23"/>
      <c r="M189" s="19"/>
      <c r="N189" s="20"/>
      <c r="O189" s="30" t="str">
        <f aca="false">IF($B189="","",TEXT($A189,"YYYY-MM")&amp;"|"&amp;$B189)</f>
        <v/>
      </c>
    </row>
    <row r="190" customFormat="false" ht="15" hidden="false" customHeight="false" outlineLevel="0" collapsed="false">
      <c r="A190" s="27"/>
      <c r="B190" s="13"/>
      <c r="C190" s="17"/>
      <c r="D190" s="17"/>
      <c r="E190" s="17"/>
      <c r="F190" s="17"/>
      <c r="G190" s="16"/>
      <c r="H190" s="17"/>
      <c r="I190" s="17"/>
      <c r="J190" s="17"/>
      <c r="K190" s="17"/>
      <c r="L190" s="17"/>
      <c r="M190" s="13"/>
      <c r="N190" s="14"/>
      <c r="O190" s="28" t="str">
        <f aca="false">IF($B190="","",TEXT($A190,"YYYY-MM")&amp;"|"&amp;$B190)</f>
        <v/>
      </c>
    </row>
    <row r="191" customFormat="false" ht="15" hidden="false" customHeight="false" outlineLevel="0" collapsed="false">
      <c r="A191" s="29"/>
      <c r="B191" s="19"/>
      <c r="C191" s="23"/>
      <c r="D191" s="23"/>
      <c r="E191" s="23"/>
      <c r="F191" s="23"/>
      <c r="G191" s="22"/>
      <c r="H191" s="23"/>
      <c r="I191" s="23"/>
      <c r="J191" s="23"/>
      <c r="K191" s="23"/>
      <c r="L191" s="23"/>
      <c r="M191" s="19"/>
      <c r="N191" s="20"/>
      <c r="O191" s="30" t="str">
        <f aca="false">IF($B191="","",TEXT($A191,"YYYY-MM")&amp;"|"&amp;$B191)</f>
        <v/>
      </c>
    </row>
    <row r="192" customFormat="false" ht="15" hidden="false" customHeight="false" outlineLevel="0" collapsed="false">
      <c r="A192" s="27"/>
      <c r="B192" s="13"/>
      <c r="C192" s="17"/>
      <c r="D192" s="17"/>
      <c r="E192" s="17"/>
      <c r="F192" s="17"/>
      <c r="G192" s="16"/>
      <c r="H192" s="17"/>
      <c r="I192" s="17"/>
      <c r="J192" s="17"/>
      <c r="K192" s="17"/>
      <c r="L192" s="17"/>
      <c r="M192" s="13"/>
      <c r="N192" s="14"/>
      <c r="O192" s="28" t="str">
        <f aca="false">IF($B192="","",TEXT($A192,"YYYY-MM")&amp;"|"&amp;$B192)</f>
        <v/>
      </c>
    </row>
    <row r="193" customFormat="false" ht="15" hidden="false" customHeight="false" outlineLevel="0" collapsed="false">
      <c r="A193" s="29"/>
      <c r="B193" s="19"/>
      <c r="C193" s="23"/>
      <c r="D193" s="23"/>
      <c r="E193" s="23"/>
      <c r="F193" s="23"/>
      <c r="G193" s="22"/>
      <c r="H193" s="23"/>
      <c r="I193" s="23"/>
      <c r="J193" s="23"/>
      <c r="K193" s="23"/>
      <c r="L193" s="23"/>
      <c r="M193" s="19"/>
      <c r="N193" s="20"/>
      <c r="O193" s="30" t="str">
        <f aca="false">IF($B193="","",TEXT($A193,"YYYY-MM")&amp;"|"&amp;$B193)</f>
        <v/>
      </c>
    </row>
    <row r="194" customFormat="false" ht="15" hidden="false" customHeight="false" outlineLevel="0" collapsed="false">
      <c r="A194" s="27"/>
      <c r="B194" s="13"/>
      <c r="C194" s="17"/>
      <c r="D194" s="17"/>
      <c r="E194" s="17"/>
      <c r="F194" s="17"/>
      <c r="G194" s="16"/>
      <c r="H194" s="17"/>
      <c r="I194" s="17"/>
      <c r="J194" s="17"/>
      <c r="K194" s="17"/>
      <c r="L194" s="17"/>
      <c r="M194" s="13"/>
      <c r="N194" s="14"/>
      <c r="O194" s="28" t="str">
        <f aca="false">IF($B194="","",TEXT($A194,"YYYY-MM")&amp;"|"&amp;$B194)</f>
        <v/>
      </c>
    </row>
    <row r="195" customFormat="false" ht="15" hidden="false" customHeight="false" outlineLevel="0" collapsed="false">
      <c r="A195" s="29"/>
      <c r="B195" s="19"/>
      <c r="C195" s="23"/>
      <c r="D195" s="23"/>
      <c r="E195" s="23"/>
      <c r="F195" s="23"/>
      <c r="G195" s="22"/>
      <c r="H195" s="23"/>
      <c r="I195" s="23"/>
      <c r="J195" s="23"/>
      <c r="K195" s="23"/>
      <c r="L195" s="23"/>
      <c r="M195" s="19"/>
      <c r="N195" s="20"/>
      <c r="O195" s="30" t="str">
        <f aca="false">IF($B195="","",TEXT($A195,"YYYY-MM")&amp;"|"&amp;$B195)</f>
        <v/>
      </c>
    </row>
    <row r="196" customFormat="false" ht="15" hidden="false" customHeight="false" outlineLevel="0" collapsed="false">
      <c r="A196" s="27"/>
      <c r="B196" s="13"/>
      <c r="C196" s="17"/>
      <c r="D196" s="17"/>
      <c r="E196" s="17"/>
      <c r="F196" s="17"/>
      <c r="G196" s="16"/>
      <c r="H196" s="17"/>
      <c r="I196" s="17"/>
      <c r="J196" s="17"/>
      <c r="K196" s="17"/>
      <c r="L196" s="17"/>
      <c r="M196" s="13"/>
      <c r="N196" s="14"/>
      <c r="O196" s="28" t="str">
        <f aca="false">IF($B196="","",TEXT($A196,"YYYY-MM")&amp;"|"&amp;$B196)</f>
        <v/>
      </c>
    </row>
    <row r="197" customFormat="false" ht="15" hidden="false" customHeight="false" outlineLevel="0" collapsed="false">
      <c r="A197" s="29"/>
      <c r="B197" s="19"/>
      <c r="C197" s="23"/>
      <c r="D197" s="23"/>
      <c r="E197" s="23"/>
      <c r="F197" s="23"/>
      <c r="G197" s="22"/>
      <c r="H197" s="23"/>
      <c r="I197" s="23"/>
      <c r="J197" s="23"/>
      <c r="K197" s="23"/>
      <c r="L197" s="23"/>
      <c r="M197" s="19"/>
      <c r="N197" s="20"/>
      <c r="O197" s="30" t="str">
        <f aca="false">IF($B197="","",TEXT($A197,"YYYY-MM")&amp;"|"&amp;$B197)</f>
        <v/>
      </c>
    </row>
    <row r="198" customFormat="false" ht="15" hidden="false" customHeight="false" outlineLevel="0" collapsed="false">
      <c r="A198" s="27"/>
      <c r="B198" s="13"/>
      <c r="C198" s="17"/>
      <c r="D198" s="17"/>
      <c r="E198" s="17"/>
      <c r="F198" s="17"/>
      <c r="G198" s="16"/>
      <c r="H198" s="17"/>
      <c r="I198" s="17"/>
      <c r="J198" s="17"/>
      <c r="K198" s="17"/>
      <c r="L198" s="17"/>
      <c r="M198" s="13"/>
      <c r="N198" s="14"/>
      <c r="O198" s="28" t="str">
        <f aca="false">IF($B198="","",TEXT($A198,"YYYY-MM")&amp;"|"&amp;$B198)</f>
        <v/>
      </c>
    </row>
    <row r="199" customFormat="false" ht="15" hidden="false" customHeight="false" outlineLevel="0" collapsed="false">
      <c r="A199" s="29"/>
      <c r="B199" s="19"/>
      <c r="C199" s="23"/>
      <c r="D199" s="23"/>
      <c r="E199" s="23"/>
      <c r="F199" s="23"/>
      <c r="G199" s="22"/>
      <c r="H199" s="23"/>
      <c r="I199" s="23"/>
      <c r="J199" s="23"/>
      <c r="K199" s="23"/>
      <c r="L199" s="23"/>
      <c r="M199" s="19"/>
      <c r="N199" s="20"/>
      <c r="O199" s="30" t="str">
        <f aca="false">IF($B199="","",TEXT($A199,"YYYY-MM")&amp;"|"&amp;$B199)</f>
        <v/>
      </c>
    </row>
    <row r="200" customFormat="false" ht="15" hidden="false" customHeight="false" outlineLevel="0" collapsed="false">
      <c r="A200" s="27"/>
      <c r="B200" s="13"/>
      <c r="C200" s="17"/>
      <c r="D200" s="17"/>
      <c r="E200" s="17"/>
      <c r="F200" s="17"/>
      <c r="G200" s="16"/>
      <c r="H200" s="17"/>
      <c r="I200" s="17"/>
      <c r="J200" s="17"/>
      <c r="K200" s="17"/>
      <c r="L200" s="17"/>
      <c r="M200" s="13"/>
      <c r="N200" s="14"/>
      <c r="O200" s="28" t="str">
        <f aca="false">IF($B200="","",TEXT($A200,"YYYY-MM")&amp;"|"&amp;$B200)</f>
        <v/>
      </c>
    </row>
    <row r="201" customFormat="false" ht="15" hidden="false" customHeight="false" outlineLevel="0" collapsed="false">
      <c r="A201" s="29"/>
      <c r="B201" s="19"/>
      <c r="C201" s="23"/>
      <c r="D201" s="23"/>
      <c r="E201" s="23"/>
      <c r="F201" s="23"/>
      <c r="G201" s="22"/>
      <c r="H201" s="23"/>
      <c r="I201" s="23"/>
      <c r="J201" s="23"/>
      <c r="K201" s="23"/>
      <c r="L201" s="23"/>
      <c r="M201" s="19"/>
      <c r="N201" s="20"/>
      <c r="O201" s="30" t="str">
        <f aca="false">IF($B201="","",TEXT($A201,"YYYY-MM")&amp;"|"&amp;$B201)</f>
        <v/>
      </c>
    </row>
    <row r="202" customFormat="false" ht="15" hidden="false" customHeight="false" outlineLevel="0" collapsed="false">
      <c r="A202" s="27"/>
      <c r="B202" s="13"/>
      <c r="C202" s="17"/>
      <c r="D202" s="17"/>
      <c r="E202" s="17"/>
      <c r="F202" s="17"/>
      <c r="G202" s="16"/>
      <c r="H202" s="17"/>
      <c r="I202" s="17"/>
      <c r="J202" s="17"/>
      <c r="K202" s="17"/>
      <c r="L202" s="17"/>
      <c r="M202" s="13"/>
      <c r="N202" s="14"/>
      <c r="O202" s="28" t="str">
        <f aca="false">IF($B202="","",TEXT($A202,"YYYY-MM")&amp;"|"&amp;$B202)</f>
        <v/>
      </c>
    </row>
    <row r="203" customFormat="false" ht="15" hidden="false" customHeight="false" outlineLevel="0" collapsed="false">
      <c r="A203" s="29"/>
      <c r="B203" s="19"/>
      <c r="C203" s="23"/>
      <c r="D203" s="23"/>
      <c r="E203" s="23"/>
      <c r="F203" s="23"/>
      <c r="G203" s="22"/>
      <c r="H203" s="23"/>
      <c r="I203" s="23"/>
      <c r="J203" s="23"/>
      <c r="K203" s="23"/>
      <c r="L203" s="23"/>
      <c r="M203" s="19"/>
      <c r="N203" s="20"/>
      <c r="O203" s="30" t="str">
        <f aca="false">IF($B203="","",TEXT($A203,"YYYY-MM")&amp;"|"&amp;$B203)</f>
        <v/>
      </c>
    </row>
    <row r="204" customFormat="false" ht="15" hidden="false" customHeight="false" outlineLevel="0" collapsed="false">
      <c r="A204" s="27"/>
      <c r="B204" s="13"/>
      <c r="C204" s="17"/>
      <c r="D204" s="17"/>
      <c r="E204" s="17"/>
      <c r="F204" s="17"/>
      <c r="G204" s="16"/>
      <c r="H204" s="17"/>
      <c r="I204" s="17"/>
      <c r="J204" s="17"/>
      <c r="K204" s="17"/>
      <c r="L204" s="17"/>
      <c r="M204" s="13"/>
      <c r="N204" s="14"/>
      <c r="O204" s="28" t="str">
        <f aca="false">IF($B204="","",TEXT($A204,"YYYY-MM")&amp;"|"&amp;$B204)</f>
        <v/>
      </c>
    </row>
    <row r="205" customFormat="false" ht="15" hidden="false" customHeight="false" outlineLevel="0" collapsed="false">
      <c r="A205" s="29"/>
      <c r="B205" s="19"/>
      <c r="C205" s="23"/>
      <c r="D205" s="23"/>
      <c r="E205" s="23"/>
      <c r="F205" s="23"/>
      <c r="G205" s="22"/>
      <c r="H205" s="23"/>
      <c r="I205" s="23"/>
      <c r="J205" s="23"/>
      <c r="K205" s="23"/>
      <c r="L205" s="23"/>
      <c r="M205" s="19"/>
      <c r="N205" s="20"/>
      <c r="O205" s="30" t="str">
        <f aca="false">IF($B205="","",TEXT($A205,"YYYY-MM")&amp;"|"&amp;$B205)</f>
        <v/>
      </c>
    </row>
    <row r="206" customFormat="false" ht="15" hidden="false" customHeight="false" outlineLevel="0" collapsed="false">
      <c r="A206" s="27"/>
      <c r="B206" s="13"/>
      <c r="C206" s="17"/>
      <c r="D206" s="17"/>
      <c r="E206" s="17"/>
      <c r="F206" s="17"/>
      <c r="G206" s="16"/>
      <c r="H206" s="17"/>
      <c r="I206" s="17"/>
      <c r="J206" s="17"/>
      <c r="K206" s="17"/>
      <c r="L206" s="17"/>
      <c r="M206" s="13"/>
      <c r="N206" s="14"/>
      <c r="O206" s="28" t="str">
        <f aca="false">IF($B206="","",TEXT($A206,"YYYY-MM")&amp;"|"&amp;$B206)</f>
        <v/>
      </c>
    </row>
    <row r="207" customFormat="false" ht="15" hidden="false" customHeight="false" outlineLevel="0" collapsed="false">
      <c r="A207" s="29"/>
      <c r="B207" s="19"/>
      <c r="C207" s="23"/>
      <c r="D207" s="23"/>
      <c r="E207" s="23"/>
      <c r="F207" s="23"/>
      <c r="G207" s="22"/>
      <c r="H207" s="23"/>
      <c r="I207" s="23"/>
      <c r="J207" s="23"/>
      <c r="K207" s="23"/>
      <c r="L207" s="23"/>
      <c r="M207" s="19"/>
      <c r="N207" s="20"/>
      <c r="O207" s="30" t="str">
        <f aca="false">IF($B207="","",TEXT($A207,"YYYY-MM")&amp;"|"&amp;$B207)</f>
        <v/>
      </c>
    </row>
    <row r="208" customFormat="false" ht="15" hidden="false" customHeight="false" outlineLevel="0" collapsed="false">
      <c r="A208" s="27"/>
      <c r="B208" s="13"/>
      <c r="C208" s="17"/>
      <c r="D208" s="17"/>
      <c r="E208" s="17"/>
      <c r="F208" s="17"/>
      <c r="G208" s="16"/>
      <c r="H208" s="17"/>
      <c r="I208" s="17"/>
      <c r="J208" s="17"/>
      <c r="K208" s="17"/>
      <c r="L208" s="17"/>
      <c r="M208" s="13"/>
      <c r="N208" s="14"/>
      <c r="O208" s="28" t="str">
        <f aca="false">IF($B208="","",TEXT($A208,"YYYY-MM")&amp;"|"&amp;$B208)</f>
        <v/>
      </c>
    </row>
    <row r="209" customFormat="false" ht="15" hidden="false" customHeight="false" outlineLevel="0" collapsed="false">
      <c r="A209" s="29"/>
      <c r="B209" s="19"/>
      <c r="C209" s="23"/>
      <c r="D209" s="23"/>
      <c r="E209" s="23"/>
      <c r="F209" s="23"/>
      <c r="G209" s="22"/>
      <c r="H209" s="23"/>
      <c r="I209" s="23"/>
      <c r="J209" s="23"/>
      <c r="K209" s="23"/>
      <c r="L209" s="23"/>
      <c r="M209" s="19"/>
      <c r="N209" s="20"/>
      <c r="O209" s="30" t="str">
        <f aca="false">IF($B209="","",TEXT($A209,"YYYY-MM")&amp;"|"&amp;$B209)</f>
        <v/>
      </c>
    </row>
    <row r="210" customFormat="false" ht="15" hidden="false" customHeight="false" outlineLevel="0" collapsed="false">
      <c r="A210" s="27"/>
      <c r="B210" s="13"/>
      <c r="C210" s="17"/>
      <c r="D210" s="17"/>
      <c r="E210" s="17"/>
      <c r="F210" s="17"/>
      <c r="G210" s="16"/>
      <c r="H210" s="17"/>
      <c r="I210" s="17"/>
      <c r="J210" s="17"/>
      <c r="K210" s="17"/>
      <c r="L210" s="17"/>
      <c r="M210" s="13"/>
      <c r="N210" s="14"/>
      <c r="O210" s="28" t="str">
        <f aca="false">IF($B210="","",TEXT($A210,"YYYY-MM")&amp;"|"&amp;$B210)</f>
        <v/>
      </c>
    </row>
    <row r="211" customFormat="false" ht="15" hidden="false" customHeight="false" outlineLevel="0" collapsed="false">
      <c r="A211" s="29"/>
      <c r="B211" s="19"/>
      <c r="C211" s="23"/>
      <c r="D211" s="23"/>
      <c r="E211" s="23"/>
      <c r="F211" s="23"/>
      <c r="G211" s="22"/>
      <c r="H211" s="23"/>
      <c r="I211" s="23"/>
      <c r="J211" s="23"/>
      <c r="K211" s="23"/>
      <c r="L211" s="23"/>
      <c r="M211" s="19"/>
      <c r="N211" s="20"/>
      <c r="O211" s="30" t="str">
        <f aca="false">IF($B211="","",TEXT($A211,"YYYY-MM")&amp;"|"&amp;$B211)</f>
        <v/>
      </c>
    </row>
    <row r="212" customFormat="false" ht="15" hidden="false" customHeight="false" outlineLevel="0" collapsed="false">
      <c r="A212" s="27"/>
      <c r="B212" s="13"/>
      <c r="C212" s="17"/>
      <c r="D212" s="17"/>
      <c r="E212" s="17"/>
      <c r="F212" s="17"/>
      <c r="G212" s="16"/>
      <c r="H212" s="17"/>
      <c r="I212" s="17"/>
      <c r="J212" s="17"/>
      <c r="K212" s="17"/>
      <c r="L212" s="17"/>
      <c r="M212" s="13"/>
      <c r="N212" s="14"/>
      <c r="O212" s="28" t="str">
        <f aca="false">IF($B212="","",TEXT($A212,"YYYY-MM")&amp;"|"&amp;$B212)</f>
        <v/>
      </c>
    </row>
    <row r="213" customFormat="false" ht="15" hidden="false" customHeight="false" outlineLevel="0" collapsed="false">
      <c r="A213" s="29"/>
      <c r="B213" s="19"/>
      <c r="C213" s="23"/>
      <c r="D213" s="23"/>
      <c r="E213" s="23"/>
      <c r="F213" s="23"/>
      <c r="G213" s="22"/>
      <c r="H213" s="23"/>
      <c r="I213" s="23"/>
      <c r="J213" s="23"/>
      <c r="K213" s="23"/>
      <c r="L213" s="23"/>
      <c r="M213" s="19"/>
      <c r="N213" s="20"/>
      <c r="O213" s="30" t="str">
        <f aca="false">IF($B213="","",TEXT($A213,"YYYY-MM")&amp;"|"&amp;$B213)</f>
        <v/>
      </c>
    </row>
    <row r="214" customFormat="false" ht="15" hidden="false" customHeight="false" outlineLevel="0" collapsed="false">
      <c r="A214" s="27"/>
      <c r="B214" s="13"/>
      <c r="C214" s="17"/>
      <c r="D214" s="17"/>
      <c r="E214" s="17"/>
      <c r="F214" s="17"/>
      <c r="G214" s="16"/>
      <c r="H214" s="17"/>
      <c r="I214" s="17"/>
      <c r="J214" s="17"/>
      <c r="K214" s="17"/>
      <c r="L214" s="17"/>
      <c r="M214" s="13"/>
      <c r="N214" s="14"/>
      <c r="O214" s="28" t="str">
        <f aca="false">IF($B214="","",TEXT($A214,"YYYY-MM")&amp;"|"&amp;$B214)</f>
        <v/>
      </c>
    </row>
    <row r="215" customFormat="false" ht="15" hidden="false" customHeight="false" outlineLevel="0" collapsed="false">
      <c r="A215" s="29"/>
      <c r="B215" s="19"/>
      <c r="C215" s="23"/>
      <c r="D215" s="23"/>
      <c r="E215" s="23"/>
      <c r="F215" s="23"/>
      <c r="G215" s="22"/>
      <c r="H215" s="23"/>
      <c r="I215" s="23"/>
      <c r="J215" s="23"/>
      <c r="K215" s="23"/>
      <c r="L215" s="23"/>
      <c r="M215" s="19"/>
      <c r="N215" s="20"/>
      <c r="O215" s="30" t="str">
        <f aca="false">IF($B215="","",TEXT($A215,"YYYY-MM")&amp;"|"&amp;$B215)</f>
        <v/>
      </c>
    </row>
    <row r="216" customFormat="false" ht="15" hidden="false" customHeight="false" outlineLevel="0" collapsed="false">
      <c r="A216" s="27"/>
      <c r="B216" s="13"/>
      <c r="C216" s="17"/>
      <c r="D216" s="17"/>
      <c r="E216" s="17"/>
      <c r="F216" s="17"/>
      <c r="G216" s="16"/>
      <c r="H216" s="17"/>
      <c r="I216" s="17"/>
      <c r="J216" s="17"/>
      <c r="K216" s="17"/>
      <c r="L216" s="17"/>
      <c r="M216" s="13"/>
      <c r="N216" s="14"/>
      <c r="O216" s="28" t="str">
        <f aca="false">IF($B216="","",TEXT($A216,"YYYY-MM")&amp;"|"&amp;$B216)</f>
        <v/>
      </c>
    </row>
    <row r="217" customFormat="false" ht="15" hidden="false" customHeight="false" outlineLevel="0" collapsed="false">
      <c r="A217" s="29"/>
      <c r="B217" s="19"/>
      <c r="C217" s="23"/>
      <c r="D217" s="23"/>
      <c r="E217" s="23"/>
      <c r="F217" s="23"/>
      <c r="G217" s="22"/>
      <c r="H217" s="23"/>
      <c r="I217" s="23"/>
      <c r="J217" s="23"/>
      <c r="K217" s="23"/>
      <c r="L217" s="23"/>
      <c r="M217" s="19"/>
      <c r="N217" s="20"/>
      <c r="O217" s="30" t="str">
        <f aca="false">IF($B217="","",TEXT($A217,"YYYY-MM")&amp;"|"&amp;$B217)</f>
        <v/>
      </c>
    </row>
    <row r="218" customFormat="false" ht="15" hidden="false" customHeight="false" outlineLevel="0" collapsed="false">
      <c r="A218" s="27"/>
      <c r="B218" s="13"/>
      <c r="C218" s="17"/>
      <c r="D218" s="17"/>
      <c r="E218" s="17"/>
      <c r="F218" s="17"/>
      <c r="G218" s="16"/>
      <c r="H218" s="17"/>
      <c r="I218" s="17"/>
      <c r="J218" s="17"/>
      <c r="K218" s="17"/>
      <c r="L218" s="17"/>
      <c r="M218" s="13"/>
      <c r="N218" s="14"/>
      <c r="O218" s="28" t="str">
        <f aca="false">IF($B218="","",TEXT($A218,"YYYY-MM")&amp;"|"&amp;$B218)</f>
        <v/>
      </c>
    </row>
    <row r="219" customFormat="false" ht="15" hidden="false" customHeight="false" outlineLevel="0" collapsed="false">
      <c r="A219" s="29"/>
      <c r="B219" s="19"/>
      <c r="C219" s="23"/>
      <c r="D219" s="23"/>
      <c r="E219" s="23"/>
      <c r="F219" s="23"/>
      <c r="G219" s="22"/>
      <c r="H219" s="23"/>
      <c r="I219" s="23"/>
      <c r="J219" s="23"/>
      <c r="K219" s="23"/>
      <c r="L219" s="23"/>
      <c r="M219" s="19"/>
      <c r="N219" s="20"/>
      <c r="O219" s="30" t="str">
        <f aca="false">IF($B219="","",TEXT($A219,"YYYY-MM")&amp;"|"&amp;$B219)</f>
        <v/>
      </c>
    </row>
    <row r="220" customFormat="false" ht="15" hidden="false" customHeight="false" outlineLevel="0" collapsed="false">
      <c r="A220" s="27"/>
      <c r="B220" s="13"/>
      <c r="C220" s="17"/>
      <c r="D220" s="17"/>
      <c r="E220" s="17"/>
      <c r="F220" s="17"/>
      <c r="G220" s="16"/>
      <c r="H220" s="17"/>
      <c r="I220" s="17"/>
      <c r="J220" s="17"/>
      <c r="K220" s="17"/>
      <c r="L220" s="17"/>
      <c r="M220" s="13"/>
      <c r="N220" s="14"/>
      <c r="O220" s="28" t="str">
        <f aca="false">IF($B220="","",TEXT($A220,"YYYY-MM")&amp;"|"&amp;$B220)</f>
        <v/>
      </c>
    </row>
    <row r="221" customFormat="false" ht="15" hidden="false" customHeight="false" outlineLevel="0" collapsed="false">
      <c r="A221" s="29"/>
      <c r="B221" s="19"/>
      <c r="C221" s="23"/>
      <c r="D221" s="23"/>
      <c r="E221" s="23"/>
      <c r="F221" s="23"/>
      <c r="G221" s="22"/>
      <c r="H221" s="23"/>
      <c r="I221" s="23"/>
      <c r="J221" s="23"/>
      <c r="K221" s="23"/>
      <c r="L221" s="23"/>
      <c r="M221" s="19"/>
      <c r="N221" s="20"/>
      <c r="O221" s="30" t="str">
        <f aca="false">IF($B221="","",TEXT($A221,"YYYY-MM")&amp;"|"&amp;$B221)</f>
        <v/>
      </c>
    </row>
    <row r="222" customFormat="false" ht="15" hidden="false" customHeight="false" outlineLevel="0" collapsed="false">
      <c r="A222" s="27"/>
      <c r="B222" s="13"/>
      <c r="C222" s="17"/>
      <c r="D222" s="17"/>
      <c r="E222" s="17"/>
      <c r="F222" s="17"/>
      <c r="G222" s="16"/>
      <c r="H222" s="17"/>
      <c r="I222" s="17"/>
      <c r="J222" s="17"/>
      <c r="K222" s="17"/>
      <c r="L222" s="17"/>
      <c r="M222" s="13"/>
      <c r="N222" s="14"/>
      <c r="O222" s="28" t="str">
        <f aca="false">IF($B222="","",TEXT($A222,"YYYY-MM")&amp;"|"&amp;$B222)</f>
        <v/>
      </c>
    </row>
    <row r="223" customFormat="false" ht="15" hidden="false" customHeight="false" outlineLevel="0" collapsed="false">
      <c r="A223" s="29"/>
      <c r="B223" s="19"/>
      <c r="C223" s="23"/>
      <c r="D223" s="23"/>
      <c r="E223" s="23"/>
      <c r="F223" s="23"/>
      <c r="G223" s="22"/>
      <c r="H223" s="23"/>
      <c r="I223" s="23"/>
      <c r="J223" s="23"/>
      <c r="K223" s="23"/>
      <c r="L223" s="23"/>
      <c r="M223" s="19"/>
      <c r="N223" s="20"/>
      <c r="O223" s="30" t="str">
        <f aca="false">IF($B223="","",TEXT($A223,"YYYY-MM")&amp;"|"&amp;$B223)</f>
        <v/>
      </c>
    </row>
    <row r="224" customFormat="false" ht="15" hidden="false" customHeight="false" outlineLevel="0" collapsed="false">
      <c r="A224" s="27"/>
      <c r="B224" s="13"/>
      <c r="C224" s="17"/>
      <c r="D224" s="17"/>
      <c r="E224" s="17"/>
      <c r="F224" s="17"/>
      <c r="G224" s="16"/>
      <c r="H224" s="17"/>
      <c r="I224" s="17"/>
      <c r="J224" s="17"/>
      <c r="K224" s="17"/>
      <c r="L224" s="17"/>
      <c r="M224" s="13"/>
      <c r="N224" s="14"/>
      <c r="O224" s="28" t="str">
        <f aca="false">IF($B224="","",TEXT($A224,"YYYY-MM")&amp;"|"&amp;$B224)</f>
        <v/>
      </c>
    </row>
    <row r="225" customFormat="false" ht="15" hidden="false" customHeight="false" outlineLevel="0" collapsed="false">
      <c r="A225" s="29"/>
      <c r="B225" s="19"/>
      <c r="C225" s="23"/>
      <c r="D225" s="23"/>
      <c r="E225" s="23"/>
      <c r="F225" s="23"/>
      <c r="G225" s="22"/>
      <c r="H225" s="23"/>
      <c r="I225" s="23"/>
      <c r="J225" s="23"/>
      <c r="K225" s="23"/>
      <c r="L225" s="23"/>
      <c r="M225" s="19"/>
      <c r="N225" s="20"/>
      <c r="O225" s="30" t="str">
        <f aca="false">IF($B225="","",TEXT($A225,"YYYY-MM")&amp;"|"&amp;$B225)</f>
        <v/>
      </c>
    </row>
    <row r="226" customFormat="false" ht="15" hidden="false" customHeight="false" outlineLevel="0" collapsed="false">
      <c r="A226" s="27"/>
      <c r="B226" s="13"/>
      <c r="C226" s="17"/>
      <c r="D226" s="17"/>
      <c r="E226" s="17"/>
      <c r="F226" s="17"/>
      <c r="G226" s="16"/>
      <c r="H226" s="17"/>
      <c r="I226" s="17"/>
      <c r="J226" s="17"/>
      <c r="K226" s="17"/>
      <c r="L226" s="17"/>
      <c r="M226" s="13"/>
      <c r="N226" s="14"/>
      <c r="O226" s="28" t="str">
        <f aca="false">IF($B226="","",TEXT($A226,"YYYY-MM")&amp;"|"&amp;$B226)</f>
        <v/>
      </c>
    </row>
    <row r="227" customFormat="false" ht="15" hidden="false" customHeight="false" outlineLevel="0" collapsed="false">
      <c r="A227" s="29"/>
      <c r="B227" s="19"/>
      <c r="C227" s="23"/>
      <c r="D227" s="23"/>
      <c r="E227" s="23"/>
      <c r="F227" s="23"/>
      <c r="G227" s="22"/>
      <c r="H227" s="23"/>
      <c r="I227" s="23"/>
      <c r="J227" s="23"/>
      <c r="K227" s="23"/>
      <c r="L227" s="23"/>
      <c r="M227" s="19"/>
      <c r="N227" s="20"/>
      <c r="O227" s="30" t="str">
        <f aca="false">IF($B227="","",TEXT($A227,"YYYY-MM")&amp;"|"&amp;$B227)</f>
        <v/>
      </c>
    </row>
    <row r="228" customFormat="false" ht="15" hidden="false" customHeight="false" outlineLevel="0" collapsed="false">
      <c r="A228" s="27"/>
      <c r="B228" s="13"/>
      <c r="C228" s="17"/>
      <c r="D228" s="17"/>
      <c r="E228" s="17"/>
      <c r="F228" s="17"/>
      <c r="G228" s="16"/>
      <c r="H228" s="17"/>
      <c r="I228" s="17"/>
      <c r="J228" s="17"/>
      <c r="K228" s="17"/>
      <c r="L228" s="17"/>
      <c r="M228" s="13"/>
      <c r="N228" s="14"/>
      <c r="O228" s="28" t="str">
        <f aca="false">IF($B228="","",TEXT($A228,"YYYY-MM")&amp;"|"&amp;$B228)</f>
        <v/>
      </c>
    </row>
    <row r="229" customFormat="false" ht="15" hidden="false" customHeight="false" outlineLevel="0" collapsed="false">
      <c r="A229" s="29"/>
      <c r="B229" s="19"/>
      <c r="C229" s="23"/>
      <c r="D229" s="23"/>
      <c r="E229" s="23"/>
      <c r="F229" s="23"/>
      <c r="G229" s="22"/>
      <c r="H229" s="23"/>
      <c r="I229" s="23"/>
      <c r="J229" s="23"/>
      <c r="K229" s="23"/>
      <c r="L229" s="23"/>
      <c r="M229" s="19"/>
      <c r="N229" s="20"/>
      <c r="O229" s="30" t="str">
        <f aca="false">IF($B229="","",TEXT($A229,"YYYY-MM")&amp;"|"&amp;$B229)</f>
        <v/>
      </c>
    </row>
    <row r="230" customFormat="false" ht="15" hidden="false" customHeight="false" outlineLevel="0" collapsed="false">
      <c r="A230" s="27"/>
      <c r="B230" s="13"/>
      <c r="C230" s="17"/>
      <c r="D230" s="17"/>
      <c r="E230" s="17"/>
      <c r="F230" s="17"/>
      <c r="G230" s="16"/>
      <c r="H230" s="17"/>
      <c r="I230" s="17"/>
      <c r="J230" s="17"/>
      <c r="K230" s="17"/>
      <c r="L230" s="17"/>
      <c r="M230" s="13"/>
      <c r="N230" s="14"/>
      <c r="O230" s="28" t="str">
        <f aca="false">IF($B230="","",TEXT($A230,"YYYY-MM")&amp;"|"&amp;$B230)</f>
        <v/>
      </c>
    </row>
    <row r="231" customFormat="false" ht="15" hidden="false" customHeight="false" outlineLevel="0" collapsed="false">
      <c r="A231" s="29"/>
      <c r="B231" s="19"/>
      <c r="C231" s="23"/>
      <c r="D231" s="23"/>
      <c r="E231" s="23"/>
      <c r="F231" s="23"/>
      <c r="G231" s="22"/>
      <c r="H231" s="23"/>
      <c r="I231" s="23"/>
      <c r="J231" s="23"/>
      <c r="K231" s="23"/>
      <c r="L231" s="23"/>
      <c r="M231" s="19"/>
      <c r="N231" s="20"/>
      <c r="O231" s="30" t="str">
        <f aca="false">IF($B231="","",TEXT($A231,"YYYY-MM")&amp;"|"&amp;$B231)</f>
        <v/>
      </c>
    </row>
    <row r="232" customFormat="false" ht="15" hidden="false" customHeight="false" outlineLevel="0" collapsed="false">
      <c r="A232" s="27"/>
      <c r="B232" s="13"/>
      <c r="C232" s="17"/>
      <c r="D232" s="17"/>
      <c r="E232" s="17"/>
      <c r="F232" s="17"/>
      <c r="G232" s="16"/>
      <c r="H232" s="17"/>
      <c r="I232" s="17"/>
      <c r="J232" s="17"/>
      <c r="K232" s="17"/>
      <c r="L232" s="17"/>
      <c r="M232" s="13"/>
      <c r="N232" s="14"/>
      <c r="O232" s="28" t="str">
        <f aca="false">IF($B232="","",TEXT($A232,"YYYY-MM")&amp;"|"&amp;$B232)</f>
        <v/>
      </c>
    </row>
    <row r="233" customFormat="false" ht="15" hidden="false" customHeight="false" outlineLevel="0" collapsed="false">
      <c r="A233" s="29"/>
      <c r="B233" s="19"/>
      <c r="C233" s="23"/>
      <c r="D233" s="23"/>
      <c r="E233" s="23"/>
      <c r="F233" s="23"/>
      <c r="G233" s="22"/>
      <c r="H233" s="23"/>
      <c r="I233" s="23"/>
      <c r="J233" s="23"/>
      <c r="K233" s="23"/>
      <c r="L233" s="23"/>
      <c r="M233" s="19"/>
      <c r="N233" s="20"/>
      <c r="O233" s="30" t="str">
        <f aca="false">IF($B233="","",TEXT($A233,"YYYY-MM")&amp;"|"&amp;$B233)</f>
        <v/>
      </c>
    </row>
    <row r="234" customFormat="false" ht="15" hidden="false" customHeight="false" outlineLevel="0" collapsed="false">
      <c r="A234" s="27"/>
      <c r="B234" s="13"/>
      <c r="C234" s="17"/>
      <c r="D234" s="17"/>
      <c r="E234" s="17"/>
      <c r="F234" s="17"/>
      <c r="G234" s="16"/>
      <c r="H234" s="17"/>
      <c r="I234" s="17"/>
      <c r="J234" s="17"/>
      <c r="K234" s="17"/>
      <c r="L234" s="17"/>
      <c r="M234" s="13"/>
      <c r="N234" s="14"/>
      <c r="O234" s="28" t="str">
        <f aca="false">IF($B234="","",TEXT($A234,"YYYY-MM")&amp;"|"&amp;$B234)</f>
        <v/>
      </c>
    </row>
    <row r="235" customFormat="false" ht="15" hidden="false" customHeight="false" outlineLevel="0" collapsed="false">
      <c r="A235" s="29"/>
      <c r="B235" s="19"/>
      <c r="C235" s="23"/>
      <c r="D235" s="23"/>
      <c r="E235" s="23"/>
      <c r="F235" s="23"/>
      <c r="G235" s="22"/>
      <c r="H235" s="23"/>
      <c r="I235" s="23"/>
      <c r="J235" s="23"/>
      <c r="K235" s="23"/>
      <c r="L235" s="23"/>
      <c r="M235" s="19"/>
      <c r="N235" s="20"/>
      <c r="O235" s="30" t="str">
        <f aca="false">IF($B235="","",TEXT($A235,"YYYY-MM")&amp;"|"&amp;$B235)</f>
        <v/>
      </c>
    </row>
    <row r="236" customFormat="false" ht="15" hidden="false" customHeight="false" outlineLevel="0" collapsed="false">
      <c r="A236" s="27"/>
      <c r="B236" s="13"/>
      <c r="C236" s="17"/>
      <c r="D236" s="17"/>
      <c r="E236" s="17"/>
      <c r="F236" s="17"/>
      <c r="G236" s="16"/>
      <c r="H236" s="17"/>
      <c r="I236" s="17"/>
      <c r="J236" s="17"/>
      <c r="K236" s="17"/>
      <c r="L236" s="17"/>
      <c r="M236" s="13"/>
      <c r="N236" s="14"/>
      <c r="O236" s="28" t="str">
        <f aca="false">IF($B236="","",TEXT($A236,"YYYY-MM")&amp;"|"&amp;$B236)</f>
        <v/>
      </c>
    </row>
    <row r="237" customFormat="false" ht="15" hidden="false" customHeight="false" outlineLevel="0" collapsed="false">
      <c r="A237" s="29"/>
      <c r="B237" s="19"/>
      <c r="C237" s="23"/>
      <c r="D237" s="23"/>
      <c r="E237" s="23"/>
      <c r="F237" s="23"/>
      <c r="G237" s="22"/>
      <c r="H237" s="23"/>
      <c r="I237" s="23"/>
      <c r="J237" s="23"/>
      <c r="K237" s="23"/>
      <c r="L237" s="23"/>
      <c r="M237" s="19"/>
      <c r="N237" s="20"/>
      <c r="O237" s="30" t="str">
        <f aca="false">IF($B237="","",TEXT($A237,"YYYY-MM")&amp;"|"&amp;$B237)</f>
        <v/>
      </c>
    </row>
    <row r="238" customFormat="false" ht="15" hidden="false" customHeight="false" outlineLevel="0" collapsed="false">
      <c r="A238" s="27"/>
      <c r="B238" s="13"/>
      <c r="C238" s="17"/>
      <c r="D238" s="17"/>
      <c r="E238" s="17"/>
      <c r="F238" s="17"/>
      <c r="G238" s="16"/>
      <c r="H238" s="17"/>
      <c r="I238" s="17"/>
      <c r="J238" s="17"/>
      <c r="K238" s="17"/>
      <c r="L238" s="17"/>
      <c r="M238" s="13"/>
      <c r="N238" s="14"/>
      <c r="O238" s="28" t="str">
        <f aca="false">IF($B238="","",TEXT($A238,"YYYY-MM")&amp;"|"&amp;$B238)</f>
        <v/>
      </c>
    </row>
    <row r="239" customFormat="false" ht="15" hidden="false" customHeight="false" outlineLevel="0" collapsed="false">
      <c r="A239" s="29"/>
      <c r="B239" s="19"/>
      <c r="C239" s="23"/>
      <c r="D239" s="23"/>
      <c r="E239" s="23"/>
      <c r="F239" s="23"/>
      <c r="G239" s="22"/>
      <c r="H239" s="23"/>
      <c r="I239" s="23"/>
      <c r="J239" s="23"/>
      <c r="K239" s="23"/>
      <c r="L239" s="23"/>
      <c r="M239" s="19"/>
      <c r="N239" s="20"/>
      <c r="O239" s="30" t="str">
        <f aca="false">IF($B239="","",TEXT($A239,"YYYY-MM")&amp;"|"&amp;$B239)</f>
        <v/>
      </c>
    </row>
    <row r="240" customFormat="false" ht="15" hidden="false" customHeight="false" outlineLevel="0" collapsed="false">
      <c r="A240" s="27"/>
      <c r="B240" s="13"/>
      <c r="C240" s="17"/>
      <c r="D240" s="17"/>
      <c r="E240" s="17"/>
      <c r="F240" s="17"/>
      <c r="G240" s="16"/>
      <c r="H240" s="17"/>
      <c r="I240" s="17"/>
      <c r="J240" s="17"/>
      <c r="K240" s="17"/>
      <c r="L240" s="17"/>
      <c r="M240" s="13"/>
      <c r="N240" s="14"/>
      <c r="O240" s="28" t="str">
        <f aca="false">IF($B240="","",TEXT($A240,"YYYY-MM")&amp;"|"&amp;$B240)</f>
        <v/>
      </c>
    </row>
    <row r="241" customFormat="false" ht="15" hidden="false" customHeight="false" outlineLevel="0" collapsed="false">
      <c r="A241" s="29"/>
      <c r="B241" s="19"/>
      <c r="C241" s="23"/>
      <c r="D241" s="23"/>
      <c r="E241" s="23"/>
      <c r="F241" s="23"/>
      <c r="G241" s="22"/>
      <c r="H241" s="23"/>
      <c r="I241" s="23"/>
      <c r="J241" s="23"/>
      <c r="K241" s="23"/>
      <c r="L241" s="23"/>
      <c r="M241" s="19"/>
      <c r="N241" s="20"/>
      <c r="O241" s="30" t="str">
        <f aca="false">IF($B241="","",TEXT($A241,"YYYY-MM")&amp;"|"&amp;$B241)</f>
        <v/>
      </c>
    </row>
    <row r="242" customFormat="false" ht="15" hidden="false" customHeight="false" outlineLevel="0" collapsed="false">
      <c r="A242" s="27"/>
      <c r="B242" s="13"/>
      <c r="C242" s="17"/>
      <c r="D242" s="17"/>
      <c r="E242" s="17"/>
      <c r="F242" s="17"/>
      <c r="G242" s="16"/>
      <c r="H242" s="17"/>
      <c r="I242" s="17"/>
      <c r="J242" s="17"/>
      <c r="K242" s="17"/>
      <c r="L242" s="17"/>
      <c r="M242" s="13"/>
      <c r="N242" s="14"/>
      <c r="O242" s="28" t="str">
        <f aca="false">IF($B242="","",TEXT($A242,"YYYY-MM")&amp;"|"&amp;$B242)</f>
        <v/>
      </c>
    </row>
    <row r="243" customFormat="false" ht="15" hidden="false" customHeight="false" outlineLevel="0" collapsed="false">
      <c r="A243" s="29"/>
      <c r="B243" s="19"/>
      <c r="C243" s="23"/>
      <c r="D243" s="23"/>
      <c r="E243" s="23"/>
      <c r="F243" s="23"/>
      <c r="G243" s="22"/>
      <c r="H243" s="23"/>
      <c r="I243" s="23"/>
      <c r="J243" s="23"/>
      <c r="K243" s="23"/>
      <c r="L243" s="23"/>
      <c r="M243" s="19"/>
      <c r="N243" s="20"/>
      <c r="O243" s="30" t="str">
        <f aca="false">IF($B243="","",TEXT($A243,"YYYY-MM")&amp;"|"&amp;$B243)</f>
        <v/>
      </c>
    </row>
    <row r="244" customFormat="false" ht="15" hidden="false" customHeight="false" outlineLevel="0" collapsed="false">
      <c r="A244" s="27"/>
      <c r="B244" s="13"/>
      <c r="C244" s="17"/>
      <c r="D244" s="17"/>
      <c r="E244" s="17"/>
      <c r="F244" s="17"/>
      <c r="G244" s="16"/>
      <c r="H244" s="17"/>
      <c r="I244" s="17"/>
      <c r="J244" s="17"/>
      <c r="K244" s="17"/>
      <c r="L244" s="17"/>
      <c r="M244" s="13"/>
      <c r="N244" s="14"/>
      <c r="O244" s="28" t="str">
        <f aca="false">IF($B244="","",TEXT($A244,"YYYY-MM")&amp;"|"&amp;$B244)</f>
        <v/>
      </c>
    </row>
    <row r="245" customFormat="false" ht="15" hidden="false" customHeight="false" outlineLevel="0" collapsed="false">
      <c r="A245" s="29"/>
      <c r="B245" s="19"/>
      <c r="C245" s="23"/>
      <c r="D245" s="23"/>
      <c r="E245" s="23"/>
      <c r="F245" s="23"/>
      <c r="G245" s="22"/>
      <c r="H245" s="23"/>
      <c r="I245" s="23"/>
      <c r="J245" s="23"/>
      <c r="K245" s="23"/>
      <c r="L245" s="23"/>
      <c r="M245" s="19"/>
      <c r="N245" s="20"/>
      <c r="O245" s="30" t="str">
        <f aca="false">IF($B245="","",TEXT($A245,"YYYY-MM")&amp;"|"&amp;$B245)</f>
        <v/>
      </c>
    </row>
    <row r="246" customFormat="false" ht="15" hidden="false" customHeight="false" outlineLevel="0" collapsed="false">
      <c r="A246" s="27"/>
      <c r="B246" s="13"/>
      <c r="C246" s="17"/>
      <c r="D246" s="17"/>
      <c r="E246" s="17"/>
      <c r="F246" s="17"/>
      <c r="G246" s="16"/>
      <c r="H246" s="17"/>
      <c r="I246" s="17"/>
      <c r="J246" s="17"/>
      <c r="K246" s="17"/>
      <c r="L246" s="17"/>
      <c r="M246" s="13"/>
      <c r="N246" s="14"/>
      <c r="O246" s="28" t="str">
        <f aca="false">IF($B246="","",TEXT($A246,"YYYY-MM")&amp;"|"&amp;$B246)</f>
        <v/>
      </c>
    </row>
    <row r="247" customFormat="false" ht="15" hidden="false" customHeight="false" outlineLevel="0" collapsed="false">
      <c r="A247" s="29"/>
      <c r="B247" s="19"/>
      <c r="C247" s="23"/>
      <c r="D247" s="23"/>
      <c r="E247" s="23"/>
      <c r="F247" s="23"/>
      <c r="G247" s="22"/>
      <c r="H247" s="23"/>
      <c r="I247" s="23"/>
      <c r="J247" s="23"/>
      <c r="K247" s="23"/>
      <c r="L247" s="23"/>
      <c r="M247" s="19"/>
      <c r="N247" s="20"/>
      <c r="O247" s="30" t="str">
        <f aca="false">IF($B247="","",TEXT($A247,"YYYY-MM")&amp;"|"&amp;$B247)</f>
        <v/>
      </c>
    </row>
    <row r="248" customFormat="false" ht="15" hidden="false" customHeight="false" outlineLevel="0" collapsed="false">
      <c r="A248" s="27"/>
      <c r="B248" s="13"/>
      <c r="C248" s="17"/>
      <c r="D248" s="17"/>
      <c r="E248" s="17"/>
      <c r="F248" s="17"/>
      <c r="G248" s="16"/>
      <c r="H248" s="17"/>
      <c r="I248" s="17"/>
      <c r="J248" s="17"/>
      <c r="K248" s="17"/>
      <c r="L248" s="17"/>
      <c r="M248" s="13"/>
      <c r="N248" s="14"/>
      <c r="O248" s="28" t="str">
        <f aca="false">IF($B248="","",TEXT($A248,"YYYY-MM")&amp;"|"&amp;$B248)</f>
        <v/>
      </c>
    </row>
    <row r="249" customFormat="false" ht="15" hidden="false" customHeight="false" outlineLevel="0" collapsed="false">
      <c r="A249" s="29"/>
      <c r="B249" s="19"/>
      <c r="C249" s="23"/>
      <c r="D249" s="23"/>
      <c r="E249" s="23"/>
      <c r="F249" s="23"/>
      <c r="G249" s="22"/>
      <c r="H249" s="23"/>
      <c r="I249" s="23"/>
      <c r="J249" s="23"/>
      <c r="K249" s="23"/>
      <c r="L249" s="23"/>
      <c r="M249" s="19"/>
      <c r="N249" s="20"/>
      <c r="O249" s="30" t="str">
        <f aca="false">IF($B249="","",TEXT($A249,"YYYY-MM")&amp;"|"&amp;$B249)</f>
        <v/>
      </c>
    </row>
    <row r="250" customFormat="false" ht="15" hidden="false" customHeight="false" outlineLevel="0" collapsed="false">
      <c r="A250" s="27"/>
      <c r="B250" s="13"/>
      <c r="C250" s="17"/>
      <c r="D250" s="17"/>
      <c r="E250" s="17"/>
      <c r="F250" s="17"/>
      <c r="G250" s="16"/>
      <c r="H250" s="17"/>
      <c r="I250" s="17"/>
      <c r="J250" s="17"/>
      <c r="K250" s="17"/>
      <c r="L250" s="17"/>
      <c r="M250" s="13"/>
      <c r="N250" s="14"/>
      <c r="O250" s="28" t="str">
        <f aca="false">IF($B250="","",TEXT($A250,"YYYY-MM")&amp;"|"&amp;$B250)</f>
        <v/>
      </c>
    </row>
    <row r="251" customFormat="false" ht="15" hidden="false" customHeight="false" outlineLevel="0" collapsed="false">
      <c r="A251" s="29"/>
      <c r="B251" s="19"/>
      <c r="C251" s="23"/>
      <c r="D251" s="23"/>
      <c r="E251" s="23"/>
      <c r="F251" s="23"/>
      <c r="G251" s="22"/>
      <c r="H251" s="23"/>
      <c r="I251" s="23"/>
      <c r="J251" s="23"/>
      <c r="K251" s="23"/>
      <c r="L251" s="23"/>
      <c r="M251" s="19"/>
      <c r="N251" s="20"/>
      <c r="O251" s="30" t="str">
        <f aca="false">IF($B251="","",TEXT($A251,"YYYY-MM")&amp;"|"&amp;$B251)</f>
        <v/>
      </c>
    </row>
    <row r="252" customFormat="false" ht="15" hidden="false" customHeight="false" outlineLevel="0" collapsed="false">
      <c r="A252" s="27"/>
      <c r="B252" s="13"/>
      <c r="C252" s="17"/>
      <c r="D252" s="17"/>
      <c r="E252" s="17"/>
      <c r="F252" s="17"/>
      <c r="G252" s="16"/>
      <c r="H252" s="17"/>
      <c r="I252" s="17"/>
      <c r="J252" s="17"/>
      <c r="K252" s="17"/>
      <c r="L252" s="17"/>
      <c r="M252" s="13"/>
      <c r="N252" s="14"/>
      <c r="O252" s="28" t="str">
        <f aca="false">IF($B252="","",TEXT($A252,"YYYY-MM")&amp;"|"&amp;$B252)</f>
        <v/>
      </c>
    </row>
    <row r="253" customFormat="false" ht="15" hidden="false" customHeight="false" outlineLevel="0" collapsed="false">
      <c r="A253" s="29"/>
      <c r="B253" s="19"/>
      <c r="C253" s="23"/>
      <c r="D253" s="23"/>
      <c r="E253" s="23"/>
      <c r="F253" s="23"/>
      <c r="G253" s="22"/>
      <c r="H253" s="23"/>
      <c r="I253" s="23"/>
      <c r="J253" s="23"/>
      <c r="K253" s="23"/>
      <c r="L253" s="23"/>
      <c r="M253" s="19"/>
      <c r="N253" s="20"/>
      <c r="O253" s="30" t="str">
        <f aca="false">IF($B253="","",TEXT($A253,"YYYY-MM")&amp;"|"&amp;$B253)</f>
        <v/>
      </c>
    </row>
    <row r="254" customFormat="false" ht="15" hidden="false" customHeight="false" outlineLevel="0" collapsed="false">
      <c r="A254" s="27"/>
      <c r="B254" s="13"/>
      <c r="C254" s="17"/>
      <c r="D254" s="17"/>
      <c r="E254" s="17"/>
      <c r="F254" s="17"/>
      <c r="G254" s="16"/>
      <c r="H254" s="17"/>
      <c r="I254" s="17"/>
      <c r="J254" s="17"/>
      <c r="K254" s="17"/>
      <c r="L254" s="17"/>
      <c r="M254" s="13"/>
      <c r="N254" s="14"/>
      <c r="O254" s="28" t="str">
        <f aca="false">IF($B254="","",TEXT($A254,"YYYY-MM")&amp;"|"&amp;$B254)</f>
        <v/>
      </c>
    </row>
    <row r="255" customFormat="false" ht="15" hidden="false" customHeight="false" outlineLevel="0" collapsed="false">
      <c r="A255" s="29"/>
      <c r="B255" s="19"/>
      <c r="C255" s="23"/>
      <c r="D255" s="23"/>
      <c r="E255" s="23"/>
      <c r="F255" s="23"/>
      <c r="G255" s="22"/>
      <c r="H255" s="23"/>
      <c r="I255" s="23"/>
      <c r="J255" s="23"/>
      <c r="K255" s="23"/>
      <c r="L255" s="23"/>
      <c r="M255" s="19"/>
      <c r="N255" s="20"/>
      <c r="O255" s="30" t="str">
        <f aca="false">IF($B255="","",TEXT($A255,"YYYY-MM")&amp;"|"&amp;$B255)</f>
        <v/>
      </c>
    </row>
    <row r="256" customFormat="false" ht="15" hidden="false" customHeight="false" outlineLevel="0" collapsed="false">
      <c r="A256" s="27"/>
      <c r="B256" s="13"/>
      <c r="C256" s="17"/>
      <c r="D256" s="17"/>
      <c r="E256" s="17"/>
      <c r="F256" s="17"/>
      <c r="G256" s="16"/>
      <c r="H256" s="17"/>
      <c r="I256" s="17"/>
      <c r="J256" s="17"/>
      <c r="K256" s="17"/>
      <c r="L256" s="17"/>
      <c r="M256" s="13"/>
      <c r="N256" s="14"/>
      <c r="O256" s="28" t="str">
        <f aca="false">IF($B256="","",TEXT($A256,"YYYY-MM")&amp;"|"&amp;$B256)</f>
        <v/>
      </c>
    </row>
    <row r="257" customFormat="false" ht="15" hidden="false" customHeight="false" outlineLevel="0" collapsed="false">
      <c r="A257" s="29"/>
      <c r="B257" s="19"/>
      <c r="C257" s="23"/>
      <c r="D257" s="23"/>
      <c r="E257" s="23"/>
      <c r="F257" s="23"/>
      <c r="G257" s="22"/>
      <c r="H257" s="23"/>
      <c r="I257" s="23"/>
      <c r="J257" s="23"/>
      <c r="K257" s="23"/>
      <c r="L257" s="23"/>
      <c r="M257" s="19"/>
      <c r="N257" s="20"/>
      <c r="O257" s="30" t="str">
        <f aca="false">IF($B257="","",TEXT($A257,"YYYY-MM")&amp;"|"&amp;$B257)</f>
        <v/>
      </c>
    </row>
    <row r="258" customFormat="false" ht="15" hidden="false" customHeight="false" outlineLevel="0" collapsed="false">
      <c r="A258" s="27"/>
      <c r="B258" s="13"/>
      <c r="C258" s="17"/>
      <c r="D258" s="17"/>
      <c r="E258" s="17"/>
      <c r="F258" s="17"/>
      <c r="G258" s="16"/>
      <c r="H258" s="17"/>
      <c r="I258" s="17"/>
      <c r="J258" s="17"/>
      <c r="K258" s="17"/>
      <c r="L258" s="17"/>
      <c r="M258" s="13"/>
      <c r="N258" s="14"/>
      <c r="O258" s="28" t="str">
        <f aca="false">IF($B258="","",TEXT($A258,"YYYY-MM")&amp;"|"&amp;$B258)</f>
        <v/>
      </c>
    </row>
    <row r="259" customFormat="false" ht="15" hidden="false" customHeight="false" outlineLevel="0" collapsed="false">
      <c r="A259" s="29"/>
      <c r="B259" s="19"/>
      <c r="C259" s="23"/>
      <c r="D259" s="23"/>
      <c r="E259" s="23"/>
      <c r="F259" s="23"/>
      <c r="G259" s="22"/>
      <c r="H259" s="23"/>
      <c r="I259" s="23"/>
      <c r="J259" s="23"/>
      <c r="K259" s="23"/>
      <c r="L259" s="23"/>
      <c r="M259" s="19"/>
      <c r="N259" s="20"/>
      <c r="O259" s="30" t="str">
        <f aca="false">IF($B259="","",TEXT($A259,"YYYY-MM")&amp;"|"&amp;$B259)</f>
        <v/>
      </c>
    </row>
    <row r="260" customFormat="false" ht="15" hidden="false" customHeight="false" outlineLevel="0" collapsed="false">
      <c r="A260" s="27"/>
      <c r="B260" s="13"/>
      <c r="C260" s="17"/>
      <c r="D260" s="17"/>
      <c r="E260" s="17"/>
      <c r="F260" s="17"/>
      <c r="G260" s="16"/>
      <c r="H260" s="17"/>
      <c r="I260" s="17"/>
      <c r="J260" s="17"/>
      <c r="K260" s="17"/>
      <c r="L260" s="17"/>
      <c r="M260" s="13"/>
      <c r="N260" s="14"/>
      <c r="O260" s="28" t="str">
        <f aca="false">IF($B260="","",TEXT($A260,"YYYY-MM")&amp;"|"&amp;$B260)</f>
        <v/>
      </c>
    </row>
    <row r="261" customFormat="false" ht="15" hidden="false" customHeight="false" outlineLevel="0" collapsed="false">
      <c r="A261" s="29"/>
      <c r="B261" s="19"/>
      <c r="C261" s="23"/>
      <c r="D261" s="23"/>
      <c r="E261" s="23"/>
      <c r="F261" s="23"/>
      <c r="G261" s="22"/>
      <c r="H261" s="23"/>
      <c r="I261" s="23"/>
      <c r="J261" s="23"/>
      <c r="K261" s="23"/>
      <c r="L261" s="23"/>
      <c r="M261" s="19"/>
      <c r="N261" s="20"/>
      <c r="O261" s="30" t="str">
        <f aca="false">IF($B261="","",TEXT($A261,"YYYY-MM")&amp;"|"&amp;$B261)</f>
        <v/>
      </c>
    </row>
    <row r="262" customFormat="false" ht="15" hidden="false" customHeight="false" outlineLevel="0" collapsed="false">
      <c r="A262" s="27"/>
      <c r="B262" s="13"/>
      <c r="C262" s="17"/>
      <c r="D262" s="17"/>
      <c r="E262" s="17"/>
      <c r="F262" s="17"/>
      <c r="G262" s="16"/>
      <c r="H262" s="17"/>
      <c r="I262" s="17"/>
      <c r="J262" s="17"/>
      <c r="K262" s="17"/>
      <c r="L262" s="17"/>
      <c r="M262" s="13"/>
      <c r="N262" s="14"/>
      <c r="O262" s="28" t="str">
        <f aca="false">IF($B262="","",TEXT($A262,"YYYY-MM")&amp;"|"&amp;$B262)</f>
        <v/>
      </c>
    </row>
    <row r="263" customFormat="false" ht="15" hidden="false" customHeight="false" outlineLevel="0" collapsed="false">
      <c r="A263" s="29"/>
      <c r="B263" s="19"/>
      <c r="C263" s="23"/>
      <c r="D263" s="23"/>
      <c r="E263" s="23"/>
      <c r="F263" s="23"/>
      <c r="G263" s="22"/>
      <c r="H263" s="23"/>
      <c r="I263" s="23"/>
      <c r="J263" s="23"/>
      <c r="K263" s="23"/>
      <c r="L263" s="23"/>
      <c r="M263" s="19"/>
      <c r="N263" s="20"/>
      <c r="O263" s="30" t="str">
        <f aca="false">IF($B263="","",TEXT($A263,"YYYY-MM")&amp;"|"&amp;$B263)</f>
        <v/>
      </c>
    </row>
    <row r="264" customFormat="false" ht="15" hidden="false" customHeight="false" outlineLevel="0" collapsed="false">
      <c r="A264" s="27"/>
      <c r="B264" s="13"/>
      <c r="C264" s="17"/>
      <c r="D264" s="17"/>
      <c r="E264" s="17"/>
      <c r="F264" s="17"/>
      <c r="G264" s="16"/>
      <c r="H264" s="17"/>
      <c r="I264" s="17"/>
      <c r="J264" s="17"/>
      <c r="K264" s="17"/>
      <c r="L264" s="17"/>
      <c r="M264" s="13"/>
      <c r="N264" s="14"/>
      <c r="O264" s="28" t="str">
        <f aca="false">IF($B264="","",TEXT($A264,"YYYY-MM")&amp;"|"&amp;$B264)</f>
        <v/>
      </c>
    </row>
    <row r="265" customFormat="false" ht="15" hidden="false" customHeight="false" outlineLevel="0" collapsed="false">
      <c r="A265" s="29"/>
      <c r="B265" s="19"/>
      <c r="C265" s="23"/>
      <c r="D265" s="23"/>
      <c r="E265" s="23"/>
      <c r="F265" s="23"/>
      <c r="G265" s="22"/>
      <c r="H265" s="23"/>
      <c r="I265" s="23"/>
      <c r="J265" s="23"/>
      <c r="K265" s="23"/>
      <c r="L265" s="23"/>
      <c r="M265" s="19"/>
      <c r="N265" s="20"/>
      <c r="O265" s="30" t="str">
        <f aca="false">IF($B265="","",TEXT($A265,"YYYY-MM")&amp;"|"&amp;$B265)</f>
        <v/>
      </c>
    </row>
    <row r="266" customFormat="false" ht="15" hidden="false" customHeight="false" outlineLevel="0" collapsed="false">
      <c r="A266" s="27"/>
      <c r="B266" s="13"/>
      <c r="C266" s="17"/>
      <c r="D266" s="17"/>
      <c r="E266" s="17"/>
      <c r="F266" s="17"/>
      <c r="G266" s="16"/>
      <c r="H266" s="17"/>
      <c r="I266" s="17"/>
      <c r="J266" s="17"/>
      <c r="K266" s="17"/>
      <c r="L266" s="17"/>
      <c r="M266" s="13"/>
      <c r="N266" s="14"/>
      <c r="O266" s="28" t="str">
        <f aca="false">IF($B266="","",TEXT($A266,"YYYY-MM")&amp;"|"&amp;$B266)</f>
        <v/>
      </c>
    </row>
    <row r="267" customFormat="false" ht="15" hidden="false" customHeight="false" outlineLevel="0" collapsed="false">
      <c r="A267" s="29"/>
      <c r="B267" s="19"/>
      <c r="C267" s="23"/>
      <c r="D267" s="23"/>
      <c r="E267" s="23"/>
      <c r="F267" s="23"/>
      <c r="G267" s="22"/>
      <c r="H267" s="23"/>
      <c r="I267" s="23"/>
      <c r="J267" s="23"/>
      <c r="K267" s="23"/>
      <c r="L267" s="23"/>
      <c r="M267" s="19"/>
      <c r="N267" s="20"/>
      <c r="O267" s="30" t="str">
        <f aca="false">IF($B267="","",TEXT($A267,"YYYY-MM")&amp;"|"&amp;$B267)</f>
        <v/>
      </c>
    </row>
    <row r="268" customFormat="false" ht="15" hidden="false" customHeight="false" outlineLevel="0" collapsed="false">
      <c r="A268" s="27"/>
      <c r="B268" s="13"/>
      <c r="C268" s="17"/>
      <c r="D268" s="17"/>
      <c r="E268" s="17"/>
      <c r="F268" s="17"/>
      <c r="G268" s="16"/>
      <c r="H268" s="17"/>
      <c r="I268" s="17"/>
      <c r="J268" s="17"/>
      <c r="K268" s="17"/>
      <c r="L268" s="17"/>
      <c r="M268" s="13"/>
      <c r="N268" s="14"/>
      <c r="O268" s="28" t="str">
        <f aca="false">IF($B268="","",TEXT($A268,"YYYY-MM")&amp;"|"&amp;$B268)</f>
        <v/>
      </c>
    </row>
    <row r="269" customFormat="false" ht="15" hidden="false" customHeight="false" outlineLevel="0" collapsed="false">
      <c r="A269" s="29"/>
      <c r="B269" s="19"/>
      <c r="C269" s="23"/>
      <c r="D269" s="23"/>
      <c r="E269" s="23"/>
      <c r="F269" s="23"/>
      <c r="G269" s="22"/>
      <c r="H269" s="23"/>
      <c r="I269" s="23"/>
      <c r="J269" s="23"/>
      <c r="K269" s="23"/>
      <c r="L269" s="23"/>
      <c r="M269" s="19"/>
      <c r="N269" s="20"/>
      <c r="O269" s="30" t="str">
        <f aca="false">IF($B269="","",TEXT($A269,"YYYY-MM")&amp;"|"&amp;$B269)</f>
        <v/>
      </c>
    </row>
    <row r="270" customFormat="false" ht="15" hidden="false" customHeight="false" outlineLevel="0" collapsed="false">
      <c r="A270" s="27"/>
      <c r="B270" s="13"/>
      <c r="C270" s="17"/>
      <c r="D270" s="17"/>
      <c r="E270" s="17"/>
      <c r="F270" s="17"/>
      <c r="G270" s="16"/>
      <c r="H270" s="17"/>
      <c r="I270" s="17"/>
      <c r="J270" s="17"/>
      <c r="K270" s="17"/>
      <c r="L270" s="17"/>
      <c r="M270" s="13"/>
      <c r="N270" s="14"/>
      <c r="O270" s="28" t="str">
        <f aca="false">IF($B270="","",TEXT($A270,"YYYY-MM")&amp;"|"&amp;$B270)</f>
        <v/>
      </c>
    </row>
    <row r="271" customFormat="false" ht="15" hidden="false" customHeight="false" outlineLevel="0" collapsed="false">
      <c r="A271" s="29"/>
      <c r="B271" s="19"/>
      <c r="C271" s="23"/>
      <c r="D271" s="23"/>
      <c r="E271" s="23"/>
      <c r="F271" s="23"/>
      <c r="G271" s="22"/>
      <c r="H271" s="23"/>
      <c r="I271" s="23"/>
      <c r="J271" s="23"/>
      <c r="K271" s="23"/>
      <c r="L271" s="23"/>
      <c r="M271" s="19"/>
      <c r="N271" s="20"/>
      <c r="O271" s="30" t="str">
        <f aca="false">IF($B271="","",TEXT($A271,"YYYY-MM")&amp;"|"&amp;$B271)</f>
        <v/>
      </c>
    </row>
    <row r="272" customFormat="false" ht="15" hidden="false" customHeight="false" outlineLevel="0" collapsed="false">
      <c r="A272" s="27"/>
      <c r="B272" s="13"/>
      <c r="C272" s="17"/>
      <c r="D272" s="17"/>
      <c r="E272" s="17"/>
      <c r="F272" s="17"/>
      <c r="G272" s="16"/>
      <c r="H272" s="17"/>
      <c r="I272" s="17"/>
      <c r="J272" s="17"/>
      <c r="K272" s="17"/>
      <c r="L272" s="17"/>
      <c r="M272" s="13"/>
      <c r="N272" s="14"/>
      <c r="O272" s="28" t="str">
        <f aca="false">IF($B272="","",TEXT($A272,"YYYY-MM")&amp;"|"&amp;$B272)</f>
        <v/>
      </c>
    </row>
    <row r="273" customFormat="false" ht="15" hidden="false" customHeight="false" outlineLevel="0" collapsed="false">
      <c r="A273" s="29"/>
      <c r="B273" s="19"/>
      <c r="C273" s="23"/>
      <c r="D273" s="23"/>
      <c r="E273" s="23"/>
      <c r="F273" s="23"/>
      <c r="G273" s="22"/>
      <c r="H273" s="23"/>
      <c r="I273" s="23"/>
      <c r="J273" s="23"/>
      <c r="K273" s="23"/>
      <c r="L273" s="23"/>
      <c r="M273" s="19"/>
      <c r="N273" s="20"/>
      <c r="O273" s="30" t="str">
        <f aca="false">IF($B273="","",TEXT($A273,"YYYY-MM")&amp;"|"&amp;$B273)</f>
        <v/>
      </c>
    </row>
    <row r="274" customFormat="false" ht="15" hidden="false" customHeight="false" outlineLevel="0" collapsed="false">
      <c r="A274" s="27"/>
      <c r="B274" s="13"/>
      <c r="C274" s="17"/>
      <c r="D274" s="17"/>
      <c r="E274" s="17"/>
      <c r="F274" s="17"/>
      <c r="G274" s="16"/>
      <c r="H274" s="17"/>
      <c r="I274" s="17"/>
      <c r="J274" s="17"/>
      <c r="K274" s="17"/>
      <c r="L274" s="17"/>
      <c r="M274" s="13"/>
      <c r="N274" s="14"/>
      <c r="O274" s="28" t="str">
        <f aca="false">IF($B274="","",TEXT($A274,"YYYY-MM")&amp;"|"&amp;$B274)</f>
        <v/>
      </c>
    </row>
    <row r="275" customFormat="false" ht="15" hidden="false" customHeight="false" outlineLevel="0" collapsed="false">
      <c r="A275" s="29"/>
      <c r="B275" s="19"/>
      <c r="C275" s="23"/>
      <c r="D275" s="23"/>
      <c r="E275" s="23"/>
      <c r="F275" s="23"/>
      <c r="G275" s="22"/>
      <c r="H275" s="23"/>
      <c r="I275" s="23"/>
      <c r="J275" s="23"/>
      <c r="K275" s="23"/>
      <c r="L275" s="23"/>
      <c r="M275" s="19"/>
      <c r="N275" s="20"/>
      <c r="O275" s="30" t="str">
        <f aca="false">IF($B275="","",TEXT($A275,"YYYY-MM")&amp;"|"&amp;$B275)</f>
        <v/>
      </c>
    </row>
    <row r="276" customFormat="false" ht="15" hidden="false" customHeight="false" outlineLevel="0" collapsed="false">
      <c r="A276" s="27"/>
      <c r="B276" s="13"/>
      <c r="C276" s="17"/>
      <c r="D276" s="17"/>
      <c r="E276" s="17"/>
      <c r="F276" s="17"/>
      <c r="G276" s="16"/>
      <c r="H276" s="17"/>
      <c r="I276" s="17"/>
      <c r="J276" s="17"/>
      <c r="K276" s="17"/>
      <c r="L276" s="17"/>
      <c r="M276" s="13"/>
      <c r="N276" s="14"/>
      <c r="O276" s="28" t="str">
        <f aca="false">IF($B276="","",TEXT($A276,"YYYY-MM")&amp;"|"&amp;$B276)</f>
        <v/>
      </c>
    </row>
    <row r="277" customFormat="false" ht="15" hidden="false" customHeight="false" outlineLevel="0" collapsed="false">
      <c r="A277" s="29"/>
      <c r="B277" s="19"/>
      <c r="C277" s="23"/>
      <c r="D277" s="23"/>
      <c r="E277" s="23"/>
      <c r="F277" s="23"/>
      <c r="G277" s="22"/>
      <c r="H277" s="23"/>
      <c r="I277" s="23"/>
      <c r="J277" s="23"/>
      <c r="K277" s="23"/>
      <c r="L277" s="23"/>
      <c r="M277" s="19"/>
      <c r="N277" s="20"/>
      <c r="O277" s="30" t="str">
        <f aca="false">IF($B277="","",TEXT($A277,"YYYY-MM")&amp;"|"&amp;$B277)</f>
        <v/>
      </c>
    </row>
    <row r="278" customFormat="false" ht="15" hidden="false" customHeight="false" outlineLevel="0" collapsed="false">
      <c r="A278" s="27"/>
      <c r="B278" s="13"/>
      <c r="C278" s="17"/>
      <c r="D278" s="17"/>
      <c r="E278" s="17"/>
      <c r="F278" s="17"/>
      <c r="G278" s="16"/>
      <c r="H278" s="17"/>
      <c r="I278" s="17"/>
      <c r="J278" s="17"/>
      <c r="K278" s="17"/>
      <c r="L278" s="17"/>
      <c r="M278" s="13"/>
      <c r="N278" s="14"/>
      <c r="O278" s="28" t="str">
        <f aca="false">IF($B278="","",TEXT($A278,"YYYY-MM")&amp;"|"&amp;$B278)</f>
        <v/>
      </c>
    </row>
    <row r="279" customFormat="false" ht="15" hidden="false" customHeight="false" outlineLevel="0" collapsed="false">
      <c r="A279" s="29"/>
      <c r="B279" s="19"/>
      <c r="C279" s="23"/>
      <c r="D279" s="23"/>
      <c r="E279" s="23"/>
      <c r="F279" s="23"/>
      <c r="G279" s="22"/>
      <c r="H279" s="23"/>
      <c r="I279" s="23"/>
      <c r="J279" s="23"/>
      <c r="K279" s="23"/>
      <c r="L279" s="23"/>
      <c r="M279" s="19"/>
      <c r="N279" s="20"/>
      <c r="O279" s="30" t="str">
        <f aca="false">IF($B279="","",TEXT($A279,"YYYY-MM")&amp;"|"&amp;$B279)</f>
        <v/>
      </c>
    </row>
    <row r="280" customFormat="false" ht="15" hidden="false" customHeight="false" outlineLevel="0" collapsed="false">
      <c r="A280" s="27"/>
      <c r="B280" s="13"/>
      <c r="C280" s="17"/>
      <c r="D280" s="17"/>
      <c r="E280" s="17"/>
      <c r="F280" s="17"/>
      <c r="G280" s="16"/>
      <c r="H280" s="17"/>
      <c r="I280" s="17"/>
      <c r="J280" s="17"/>
      <c r="K280" s="17"/>
      <c r="L280" s="17"/>
      <c r="M280" s="13"/>
      <c r="N280" s="14"/>
      <c r="O280" s="28" t="str">
        <f aca="false">IF($B280="","",TEXT($A280,"YYYY-MM")&amp;"|"&amp;$B280)</f>
        <v/>
      </c>
    </row>
    <row r="281" customFormat="false" ht="15" hidden="false" customHeight="false" outlineLevel="0" collapsed="false">
      <c r="A281" s="29"/>
      <c r="B281" s="19"/>
      <c r="C281" s="23"/>
      <c r="D281" s="23"/>
      <c r="E281" s="23"/>
      <c r="F281" s="23"/>
      <c r="G281" s="22"/>
      <c r="H281" s="23"/>
      <c r="I281" s="23"/>
      <c r="J281" s="23"/>
      <c r="K281" s="23"/>
      <c r="L281" s="23"/>
      <c r="M281" s="19"/>
      <c r="N281" s="20"/>
      <c r="O281" s="30" t="str">
        <f aca="false">IF($B281="","",TEXT($A281,"YYYY-MM")&amp;"|"&amp;$B281)</f>
        <v/>
      </c>
    </row>
    <row r="282" customFormat="false" ht="15" hidden="false" customHeight="false" outlineLevel="0" collapsed="false">
      <c r="A282" s="27"/>
      <c r="B282" s="13"/>
      <c r="C282" s="17"/>
      <c r="D282" s="17"/>
      <c r="E282" s="17"/>
      <c r="F282" s="17"/>
      <c r="G282" s="16"/>
      <c r="H282" s="17"/>
      <c r="I282" s="17"/>
      <c r="J282" s="17"/>
      <c r="K282" s="17"/>
      <c r="L282" s="17"/>
      <c r="M282" s="13"/>
      <c r="N282" s="14"/>
      <c r="O282" s="28" t="str">
        <f aca="false">IF($B282="","",TEXT($A282,"YYYY-MM")&amp;"|"&amp;$B282)</f>
        <v/>
      </c>
    </row>
    <row r="283" customFormat="false" ht="15" hidden="false" customHeight="false" outlineLevel="0" collapsed="false">
      <c r="A283" s="29"/>
      <c r="B283" s="19"/>
      <c r="C283" s="23"/>
      <c r="D283" s="23"/>
      <c r="E283" s="23"/>
      <c r="F283" s="23"/>
      <c r="G283" s="22"/>
      <c r="H283" s="23"/>
      <c r="I283" s="23"/>
      <c r="J283" s="23"/>
      <c r="K283" s="23"/>
      <c r="L283" s="23"/>
      <c r="M283" s="19"/>
      <c r="N283" s="20"/>
      <c r="O283" s="30" t="str">
        <f aca="false">IF($B283="","",TEXT($A283,"YYYY-MM")&amp;"|"&amp;$B283)</f>
        <v/>
      </c>
    </row>
    <row r="284" customFormat="false" ht="15" hidden="false" customHeight="false" outlineLevel="0" collapsed="false">
      <c r="A284" s="27"/>
      <c r="B284" s="13"/>
      <c r="C284" s="17"/>
      <c r="D284" s="17"/>
      <c r="E284" s="17"/>
      <c r="F284" s="17"/>
      <c r="G284" s="16"/>
      <c r="H284" s="17"/>
      <c r="I284" s="17"/>
      <c r="J284" s="17"/>
      <c r="K284" s="17"/>
      <c r="L284" s="17"/>
      <c r="M284" s="13"/>
      <c r="N284" s="14"/>
      <c r="O284" s="28" t="str">
        <f aca="false">IF($B284="","",TEXT($A284,"YYYY-MM")&amp;"|"&amp;$B284)</f>
        <v/>
      </c>
    </row>
    <row r="285" customFormat="false" ht="15" hidden="false" customHeight="false" outlineLevel="0" collapsed="false">
      <c r="A285" s="29"/>
      <c r="B285" s="19"/>
      <c r="C285" s="23"/>
      <c r="D285" s="23"/>
      <c r="E285" s="23"/>
      <c r="F285" s="23"/>
      <c r="G285" s="22"/>
      <c r="H285" s="23"/>
      <c r="I285" s="23"/>
      <c r="J285" s="23"/>
      <c r="K285" s="23"/>
      <c r="L285" s="23"/>
      <c r="M285" s="19"/>
      <c r="N285" s="20"/>
      <c r="O285" s="30" t="str">
        <f aca="false">IF($B285="","",TEXT($A285,"YYYY-MM")&amp;"|"&amp;$B285)</f>
        <v/>
      </c>
    </row>
    <row r="286" customFormat="false" ht="15" hidden="false" customHeight="false" outlineLevel="0" collapsed="false">
      <c r="A286" s="27"/>
      <c r="B286" s="13"/>
      <c r="C286" s="17"/>
      <c r="D286" s="17"/>
      <c r="E286" s="17"/>
      <c r="F286" s="17"/>
      <c r="G286" s="16"/>
      <c r="H286" s="17"/>
      <c r="I286" s="17"/>
      <c r="J286" s="17"/>
      <c r="K286" s="17"/>
      <c r="L286" s="17"/>
      <c r="M286" s="13"/>
      <c r="N286" s="14"/>
      <c r="O286" s="28" t="str">
        <f aca="false">IF($B286="","",TEXT($A286,"YYYY-MM")&amp;"|"&amp;$B286)</f>
        <v/>
      </c>
    </row>
    <row r="287" customFormat="false" ht="15" hidden="false" customHeight="false" outlineLevel="0" collapsed="false">
      <c r="A287" s="29"/>
      <c r="B287" s="19"/>
      <c r="C287" s="23"/>
      <c r="D287" s="23"/>
      <c r="E287" s="23"/>
      <c r="F287" s="23"/>
      <c r="G287" s="22"/>
      <c r="H287" s="23"/>
      <c r="I287" s="23"/>
      <c r="J287" s="23"/>
      <c r="K287" s="23"/>
      <c r="L287" s="23"/>
      <c r="M287" s="19"/>
      <c r="N287" s="20"/>
      <c r="O287" s="30" t="str">
        <f aca="false">IF($B287="","",TEXT($A287,"YYYY-MM")&amp;"|"&amp;$B287)</f>
        <v/>
      </c>
    </row>
    <row r="288" customFormat="false" ht="15" hidden="false" customHeight="false" outlineLevel="0" collapsed="false">
      <c r="A288" s="27"/>
      <c r="B288" s="13"/>
      <c r="C288" s="17"/>
      <c r="D288" s="17"/>
      <c r="E288" s="17"/>
      <c r="F288" s="17"/>
      <c r="G288" s="16"/>
      <c r="H288" s="17"/>
      <c r="I288" s="17"/>
      <c r="J288" s="17"/>
      <c r="K288" s="17"/>
      <c r="L288" s="17"/>
      <c r="M288" s="13"/>
      <c r="N288" s="14"/>
      <c r="O288" s="28" t="str">
        <f aca="false">IF($B288="","",TEXT($A288,"YYYY-MM")&amp;"|"&amp;$B288)</f>
        <v/>
      </c>
    </row>
    <row r="289" customFormat="false" ht="15" hidden="false" customHeight="false" outlineLevel="0" collapsed="false">
      <c r="A289" s="29"/>
      <c r="B289" s="19"/>
      <c r="C289" s="23"/>
      <c r="D289" s="23"/>
      <c r="E289" s="23"/>
      <c r="F289" s="23"/>
      <c r="G289" s="22"/>
      <c r="H289" s="23"/>
      <c r="I289" s="23"/>
      <c r="J289" s="23"/>
      <c r="K289" s="23"/>
      <c r="L289" s="23"/>
      <c r="M289" s="19"/>
      <c r="N289" s="20"/>
      <c r="O289" s="30" t="str">
        <f aca="false">IF($B289="","",TEXT($A289,"YYYY-MM")&amp;"|"&amp;$B289)</f>
        <v/>
      </c>
    </row>
    <row r="290" customFormat="false" ht="15" hidden="false" customHeight="false" outlineLevel="0" collapsed="false">
      <c r="A290" s="27"/>
      <c r="B290" s="13"/>
      <c r="C290" s="17"/>
      <c r="D290" s="17"/>
      <c r="E290" s="17"/>
      <c r="F290" s="17"/>
      <c r="G290" s="16"/>
      <c r="H290" s="17"/>
      <c r="I290" s="17"/>
      <c r="J290" s="17"/>
      <c r="K290" s="17"/>
      <c r="L290" s="17"/>
      <c r="M290" s="13"/>
      <c r="N290" s="14"/>
      <c r="O290" s="28" t="str">
        <f aca="false">IF($B290="","",TEXT($A290,"YYYY-MM")&amp;"|"&amp;$B290)</f>
        <v/>
      </c>
    </row>
    <row r="291" customFormat="false" ht="15" hidden="false" customHeight="false" outlineLevel="0" collapsed="false">
      <c r="A291" s="29"/>
      <c r="B291" s="19"/>
      <c r="C291" s="23"/>
      <c r="D291" s="23"/>
      <c r="E291" s="23"/>
      <c r="F291" s="23"/>
      <c r="G291" s="22"/>
      <c r="H291" s="23"/>
      <c r="I291" s="23"/>
      <c r="J291" s="23"/>
      <c r="K291" s="23"/>
      <c r="L291" s="23"/>
      <c r="M291" s="19"/>
      <c r="N291" s="20"/>
      <c r="O291" s="30" t="str">
        <f aca="false">IF($B291="","",TEXT($A291,"YYYY-MM")&amp;"|"&amp;$B291)</f>
        <v/>
      </c>
    </row>
    <row r="292" customFormat="false" ht="15" hidden="false" customHeight="false" outlineLevel="0" collapsed="false">
      <c r="A292" s="27"/>
      <c r="B292" s="13"/>
      <c r="C292" s="17"/>
      <c r="D292" s="17"/>
      <c r="E292" s="17"/>
      <c r="F292" s="17"/>
      <c r="G292" s="16"/>
      <c r="H292" s="17"/>
      <c r="I292" s="17"/>
      <c r="J292" s="17"/>
      <c r="K292" s="17"/>
      <c r="L292" s="17"/>
      <c r="M292" s="13"/>
      <c r="N292" s="14"/>
      <c r="O292" s="28" t="str">
        <f aca="false">IF($B292="","",TEXT($A292,"YYYY-MM")&amp;"|"&amp;$B292)</f>
        <v/>
      </c>
    </row>
    <row r="293" customFormat="false" ht="15" hidden="false" customHeight="false" outlineLevel="0" collapsed="false">
      <c r="A293" s="29"/>
      <c r="B293" s="19"/>
      <c r="C293" s="23"/>
      <c r="D293" s="23"/>
      <c r="E293" s="23"/>
      <c r="F293" s="23"/>
      <c r="G293" s="22"/>
      <c r="H293" s="23"/>
      <c r="I293" s="23"/>
      <c r="J293" s="23"/>
      <c r="K293" s="23"/>
      <c r="L293" s="23"/>
      <c r="M293" s="19"/>
      <c r="N293" s="20"/>
      <c r="O293" s="30" t="str">
        <f aca="false">IF($B293="","",TEXT($A293,"YYYY-MM")&amp;"|"&amp;$B293)</f>
        <v/>
      </c>
    </row>
    <row r="294" customFormat="false" ht="15" hidden="false" customHeight="false" outlineLevel="0" collapsed="false">
      <c r="A294" s="27"/>
      <c r="B294" s="13"/>
      <c r="C294" s="17"/>
      <c r="D294" s="17"/>
      <c r="E294" s="17"/>
      <c r="F294" s="17"/>
      <c r="G294" s="16"/>
      <c r="H294" s="17"/>
      <c r="I294" s="17"/>
      <c r="J294" s="17"/>
      <c r="K294" s="17"/>
      <c r="L294" s="17"/>
      <c r="M294" s="13"/>
      <c r="N294" s="14"/>
      <c r="O294" s="28" t="str">
        <f aca="false">IF($B294="","",TEXT($A294,"YYYY-MM")&amp;"|"&amp;$B294)</f>
        <v/>
      </c>
    </row>
    <row r="295" customFormat="false" ht="15" hidden="false" customHeight="false" outlineLevel="0" collapsed="false">
      <c r="A295" s="29"/>
      <c r="B295" s="19"/>
      <c r="C295" s="23"/>
      <c r="D295" s="23"/>
      <c r="E295" s="23"/>
      <c r="F295" s="23"/>
      <c r="G295" s="22"/>
      <c r="H295" s="23"/>
      <c r="I295" s="23"/>
      <c r="J295" s="23"/>
      <c r="K295" s="23"/>
      <c r="L295" s="23"/>
      <c r="M295" s="19"/>
      <c r="N295" s="20"/>
      <c r="O295" s="30" t="str">
        <f aca="false">IF($B295="","",TEXT($A295,"YYYY-MM")&amp;"|"&amp;$B295)</f>
        <v/>
      </c>
    </row>
    <row r="296" customFormat="false" ht="15" hidden="false" customHeight="false" outlineLevel="0" collapsed="false">
      <c r="A296" s="27"/>
      <c r="B296" s="13"/>
      <c r="C296" s="17"/>
      <c r="D296" s="17"/>
      <c r="E296" s="17"/>
      <c r="F296" s="17"/>
      <c r="G296" s="16"/>
      <c r="H296" s="17"/>
      <c r="I296" s="17"/>
      <c r="J296" s="17"/>
      <c r="K296" s="17"/>
      <c r="L296" s="17"/>
      <c r="M296" s="13"/>
      <c r="N296" s="14"/>
      <c r="O296" s="28" t="str">
        <f aca="false">IF($B296="","",TEXT($A296,"YYYY-MM")&amp;"|"&amp;$B296)</f>
        <v/>
      </c>
    </row>
    <row r="297" customFormat="false" ht="15" hidden="false" customHeight="false" outlineLevel="0" collapsed="false">
      <c r="A297" s="29"/>
      <c r="B297" s="19"/>
      <c r="C297" s="23"/>
      <c r="D297" s="23"/>
      <c r="E297" s="23"/>
      <c r="F297" s="23"/>
      <c r="G297" s="22"/>
      <c r="H297" s="23"/>
      <c r="I297" s="23"/>
      <c r="J297" s="23"/>
      <c r="K297" s="23"/>
      <c r="L297" s="23"/>
      <c r="M297" s="19"/>
      <c r="N297" s="20"/>
      <c r="O297" s="30" t="str">
        <f aca="false">IF($B297="","",TEXT($A297,"YYYY-MM")&amp;"|"&amp;$B297)</f>
        <v/>
      </c>
    </row>
    <row r="298" customFormat="false" ht="15" hidden="false" customHeight="false" outlineLevel="0" collapsed="false">
      <c r="A298" s="27"/>
      <c r="B298" s="13"/>
      <c r="C298" s="17"/>
      <c r="D298" s="17"/>
      <c r="E298" s="17"/>
      <c r="F298" s="17"/>
      <c r="G298" s="16"/>
      <c r="H298" s="17"/>
      <c r="I298" s="17"/>
      <c r="J298" s="17"/>
      <c r="K298" s="17"/>
      <c r="L298" s="17"/>
      <c r="M298" s="13"/>
      <c r="N298" s="14"/>
      <c r="O298" s="28" t="str">
        <f aca="false">IF($B298="","",TEXT($A298,"YYYY-MM")&amp;"|"&amp;$B298)</f>
        <v/>
      </c>
    </row>
    <row r="299" customFormat="false" ht="15" hidden="false" customHeight="false" outlineLevel="0" collapsed="false">
      <c r="A299" s="29"/>
      <c r="B299" s="19"/>
      <c r="C299" s="23"/>
      <c r="D299" s="23"/>
      <c r="E299" s="23"/>
      <c r="F299" s="23"/>
      <c r="G299" s="22"/>
      <c r="H299" s="23"/>
      <c r="I299" s="23"/>
      <c r="J299" s="23"/>
      <c r="K299" s="23"/>
      <c r="L299" s="23"/>
      <c r="M299" s="19"/>
      <c r="N299" s="20"/>
      <c r="O299" s="30" t="str">
        <f aca="false">IF($B299="","",TEXT($A299,"YYYY-MM")&amp;"|"&amp;$B299)</f>
        <v/>
      </c>
    </row>
    <row r="300" customFormat="false" ht="15" hidden="false" customHeight="false" outlineLevel="0" collapsed="false">
      <c r="A300" s="27"/>
      <c r="B300" s="13"/>
      <c r="C300" s="17"/>
      <c r="D300" s="17"/>
      <c r="E300" s="17"/>
      <c r="F300" s="17"/>
      <c r="G300" s="16"/>
      <c r="H300" s="17"/>
      <c r="I300" s="17"/>
      <c r="J300" s="17"/>
      <c r="K300" s="17"/>
      <c r="L300" s="17"/>
      <c r="M300" s="13"/>
      <c r="N300" s="14"/>
      <c r="O300" s="28" t="str">
        <f aca="false">IF($B300="","",TEXT($A300,"YYYY-MM")&amp;"|"&amp;$B300)</f>
        <v/>
      </c>
    </row>
    <row r="301" customFormat="false" ht="15" hidden="false" customHeight="false" outlineLevel="0" collapsed="false">
      <c r="A301" s="29"/>
      <c r="B301" s="19"/>
      <c r="C301" s="23"/>
      <c r="D301" s="23"/>
      <c r="E301" s="23"/>
      <c r="F301" s="23"/>
      <c r="G301" s="22"/>
      <c r="H301" s="23"/>
      <c r="I301" s="23"/>
      <c r="J301" s="23"/>
      <c r="K301" s="23"/>
      <c r="L301" s="23"/>
      <c r="M301" s="19"/>
      <c r="N301" s="20"/>
      <c r="O301" s="30" t="str">
        <f aca="false">IF($B301="","",TEXT($A301,"YYYY-MM")&amp;"|"&amp;$B301)</f>
        <v/>
      </c>
    </row>
    <row r="302" customFormat="false" ht="15" hidden="false" customHeight="false" outlineLevel="0" collapsed="false">
      <c r="A302" s="27"/>
      <c r="B302" s="13"/>
      <c r="C302" s="17"/>
      <c r="D302" s="17"/>
      <c r="E302" s="17"/>
      <c r="F302" s="17"/>
      <c r="G302" s="16"/>
      <c r="H302" s="17"/>
      <c r="I302" s="17"/>
      <c r="J302" s="17"/>
      <c r="K302" s="17"/>
      <c r="L302" s="17"/>
      <c r="M302" s="13"/>
      <c r="N302" s="14"/>
      <c r="O302" s="28" t="str">
        <f aca="false">IF($B302="","",TEXT($A302,"YYYY-MM")&amp;"|"&amp;$B302)</f>
        <v/>
      </c>
    </row>
    <row r="303" customFormat="false" ht="15" hidden="false" customHeight="false" outlineLevel="0" collapsed="false">
      <c r="A303" s="29"/>
      <c r="B303" s="19"/>
      <c r="C303" s="23"/>
      <c r="D303" s="23"/>
      <c r="E303" s="23"/>
      <c r="F303" s="23"/>
      <c r="G303" s="22"/>
      <c r="H303" s="23"/>
      <c r="I303" s="23"/>
      <c r="J303" s="23"/>
      <c r="K303" s="23"/>
      <c r="L303" s="23"/>
      <c r="M303" s="19"/>
      <c r="N303" s="20"/>
      <c r="O303" s="30" t="str">
        <f aca="false">IF($B303="","",TEXT($A303,"YYYY-MM")&amp;"|"&amp;$B303)</f>
        <v/>
      </c>
    </row>
  </sheetData>
  <autoFilter ref="A3:O303"/>
  <mergeCells count="2">
    <mergeCell ref="A1:O1"/>
    <mergeCell ref="A2:O2"/>
  </mergeCells>
  <dataValidations count="2">
    <dataValidation allowBlank="true" error="Pick a value from the list on the Lists tab." errorStyle="stop" errorTitle="Not a valid entry" operator="between" showDropDown="false" showErrorMessage="true" showInputMessage="false" sqref="M4:M303" type="list">
      <formula1>Lists!$A$4:$A$6</formula1>
      <formula2>0</formula2>
    </dataValidation>
    <dataValidation allowBlank="true" errorStyle="stop" operator="between" showDropDown="false" showErrorMessage="false" showInputMessage="false" sqref="B4:B303" type="list">
      <formula1>'TOR Register'!$A$4:$A$43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:O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17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5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2" min="12" style="0" width="10"/>
    <col collapsed="false" customWidth="true" hidden="false" outlineLevel="0" max="15" min="13" style="0" width="13"/>
  </cols>
  <sheetData>
    <row r="1" customFormat="false" ht="25.5" hidden="false" customHeight="true" outlineLevel="0" collapsed="false">
      <c r="A1" s="1" t="s">
        <v>170</v>
      </c>
      <c r="B1" s="1"/>
      <c r="C1" s="1"/>
      <c r="D1" s="1"/>
      <c r="E1" s="1"/>
      <c r="F1" s="1"/>
      <c r="G1" s="1"/>
      <c r="H1" s="1"/>
      <c r="I1" s="1"/>
      <c r="J1" s="1"/>
      <c r="K1" s="3"/>
      <c r="L1" s="3"/>
      <c r="M1" s="3"/>
      <c r="N1" s="3"/>
      <c r="O1" s="3"/>
    </row>
    <row r="2" customFormat="false" ht="15" hidden="false" customHeight="false" outlineLevel="0" collapsed="false">
      <c r="A2" s="2" t="s">
        <v>171</v>
      </c>
      <c r="B2" s="2"/>
      <c r="C2" s="2"/>
      <c r="D2" s="2"/>
      <c r="E2" s="2"/>
      <c r="F2" s="2"/>
      <c r="G2" s="2"/>
      <c r="H2" s="2"/>
      <c r="I2" s="2"/>
      <c r="J2" s="2"/>
      <c r="K2" s="3"/>
      <c r="L2" s="31" t="s">
        <v>172</v>
      </c>
      <c r="M2" s="3"/>
      <c r="N2" s="3"/>
      <c r="O2" s="3"/>
    </row>
    <row r="3" customFormat="false" ht="31.5" hidden="false" customHeight="true" outlineLevel="0" collapsed="false">
      <c r="A3" s="12" t="s">
        <v>173</v>
      </c>
      <c r="B3" s="12" t="s">
        <v>69</v>
      </c>
      <c r="C3" s="12" t="s">
        <v>174</v>
      </c>
      <c r="D3" s="12" t="s">
        <v>175</v>
      </c>
      <c r="E3" s="12" t="s">
        <v>176</v>
      </c>
      <c r="F3" s="12" t="s">
        <v>177</v>
      </c>
      <c r="G3" s="12" t="s">
        <v>178</v>
      </c>
      <c r="H3" s="12" t="s">
        <v>179</v>
      </c>
      <c r="I3" s="12" t="s">
        <v>180</v>
      </c>
      <c r="J3" s="12" t="s">
        <v>181</v>
      </c>
      <c r="K3" s="3"/>
      <c r="L3" s="12" t="s">
        <v>182</v>
      </c>
      <c r="M3" s="12" t="s">
        <v>183</v>
      </c>
      <c r="N3" s="12" t="s">
        <v>184</v>
      </c>
      <c r="O3" s="12" t="s">
        <v>185</v>
      </c>
    </row>
    <row r="4" customFormat="false" ht="15" hidden="false" customHeight="false" outlineLevel="0" collapsed="false">
      <c r="A4" s="13" t="s">
        <v>186</v>
      </c>
      <c r="B4" s="13" t="s">
        <v>83</v>
      </c>
      <c r="C4" s="18" t="s">
        <v>187</v>
      </c>
      <c r="D4" s="14" t="s">
        <v>188</v>
      </c>
      <c r="E4" s="14" t="s">
        <v>87</v>
      </c>
      <c r="F4" s="14" t="s">
        <v>86</v>
      </c>
      <c r="G4" s="14" t="s">
        <v>189</v>
      </c>
      <c r="H4" s="14" t="s">
        <v>190</v>
      </c>
      <c r="I4" s="15" t="n">
        <v>46142</v>
      </c>
      <c r="J4" s="13" t="s">
        <v>184</v>
      </c>
      <c r="K4" s="3"/>
      <c r="L4" s="32" t="s">
        <v>83</v>
      </c>
      <c r="M4" s="33" t="n">
        <f aca="false">COUNTIFS($B$4:$B$203,$L4)</f>
        <v>4</v>
      </c>
      <c r="N4" s="33" t="n">
        <f aca="false">COUNTIFS($B$4:$B$203,$L4,$J$4:$J$203,"Accepted")</f>
        <v>1</v>
      </c>
      <c r="O4" s="33" t="n">
        <f aca="false">COUNTIFS($B$4:$B$203,$L4,$F$4:$F$203,"")</f>
        <v>2</v>
      </c>
    </row>
    <row r="5" customFormat="false" ht="15" hidden="false" customHeight="false" outlineLevel="0" collapsed="false">
      <c r="A5" s="19" t="s">
        <v>191</v>
      </c>
      <c r="B5" s="19" t="s">
        <v>83</v>
      </c>
      <c r="C5" s="24" t="s">
        <v>192</v>
      </c>
      <c r="D5" s="20" t="s">
        <v>193</v>
      </c>
      <c r="E5" s="20" t="s">
        <v>194</v>
      </c>
      <c r="F5" s="20" t="s">
        <v>87</v>
      </c>
      <c r="G5" s="20" t="s">
        <v>195</v>
      </c>
      <c r="H5" s="20" t="s">
        <v>196</v>
      </c>
      <c r="I5" s="21" t="n">
        <v>46234</v>
      </c>
      <c r="J5" s="19" t="s">
        <v>197</v>
      </c>
      <c r="K5" s="3"/>
      <c r="L5" s="32" t="s">
        <v>91</v>
      </c>
      <c r="M5" s="33" t="n">
        <f aca="false">COUNTIFS($B$4:$B$203,$L5)</f>
        <v>3</v>
      </c>
      <c r="N5" s="33" t="n">
        <f aca="false">COUNTIFS($B$4:$B$203,$L5,$J$4:$J$203,"Accepted")</f>
        <v>1</v>
      </c>
      <c r="O5" s="33" t="n">
        <f aca="false">COUNTIFS($B$4:$B$203,$L5,$F$4:$F$203,"")</f>
        <v>0</v>
      </c>
    </row>
    <row r="6" customFormat="false" ht="15" hidden="false" customHeight="false" outlineLevel="0" collapsed="false">
      <c r="A6" s="13" t="s">
        <v>198</v>
      </c>
      <c r="B6" s="13" t="s">
        <v>83</v>
      </c>
      <c r="C6" s="18" t="s">
        <v>199</v>
      </c>
      <c r="D6" s="14" t="s">
        <v>200</v>
      </c>
      <c r="E6" s="14" t="s">
        <v>194</v>
      </c>
      <c r="F6" s="34"/>
      <c r="G6" s="14" t="s">
        <v>201</v>
      </c>
      <c r="H6" s="14" t="s">
        <v>202</v>
      </c>
      <c r="I6" s="15" t="n">
        <v>46295</v>
      </c>
      <c r="J6" s="13" t="s">
        <v>203</v>
      </c>
      <c r="K6" s="3"/>
      <c r="L6" s="32" t="s">
        <v>99</v>
      </c>
      <c r="M6" s="33" t="n">
        <f aca="false">COUNTIFS($B$4:$B$203,$L6)</f>
        <v>5</v>
      </c>
      <c r="N6" s="33" t="n">
        <f aca="false">COUNTIFS($B$4:$B$203,$L6,$J$4:$J$203,"Accepted")</f>
        <v>1</v>
      </c>
      <c r="O6" s="33" t="n">
        <f aca="false">COUNTIFS($B$4:$B$203,$L6,$F$4:$F$203,"")</f>
        <v>4</v>
      </c>
    </row>
    <row r="7" customFormat="false" ht="15" hidden="false" customHeight="false" outlineLevel="0" collapsed="false">
      <c r="A7" s="19" t="s">
        <v>204</v>
      </c>
      <c r="B7" s="19" t="s">
        <v>83</v>
      </c>
      <c r="C7" s="24" t="s">
        <v>205</v>
      </c>
      <c r="D7" s="20" t="s">
        <v>206</v>
      </c>
      <c r="E7" s="20" t="s">
        <v>207</v>
      </c>
      <c r="F7" s="34"/>
      <c r="G7" s="20" t="s">
        <v>208</v>
      </c>
      <c r="H7" s="20" t="s">
        <v>190</v>
      </c>
      <c r="I7" s="21" t="n">
        <v>46325</v>
      </c>
      <c r="J7" s="19" t="s">
        <v>209</v>
      </c>
      <c r="K7" s="3"/>
      <c r="L7" s="32" t="s">
        <v>107</v>
      </c>
      <c r="M7" s="33" t="n">
        <f aca="false">COUNTIFS($B$4:$B$203,$L7)</f>
        <v>3</v>
      </c>
      <c r="N7" s="33" t="n">
        <f aca="false">COUNTIFS($B$4:$B$203,$L7,$J$4:$J$203,"Accepted")</f>
        <v>2</v>
      </c>
      <c r="O7" s="33" t="n">
        <f aca="false">COUNTIFS($B$4:$B$203,$L7,$F$4:$F$203,"")</f>
        <v>0</v>
      </c>
    </row>
    <row r="8" customFormat="false" ht="15" hidden="false" customHeight="false" outlineLevel="0" collapsed="false">
      <c r="A8" s="13" t="s">
        <v>210</v>
      </c>
      <c r="B8" s="13" t="s">
        <v>91</v>
      </c>
      <c r="C8" s="18" t="s">
        <v>211</v>
      </c>
      <c r="D8" s="14" t="s">
        <v>212</v>
      </c>
      <c r="E8" s="14" t="s">
        <v>95</v>
      </c>
      <c r="F8" s="14" t="s">
        <v>94</v>
      </c>
      <c r="G8" s="14" t="s">
        <v>213</v>
      </c>
      <c r="H8" s="14" t="s">
        <v>214</v>
      </c>
      <c r="I8" s="15" t="n">
        <v>46171</v>
      </c>
      <c r="J8" s="13" t="s">
        <v>184</v>
      </c>
      <c r="K8" s="3"/>
      <c r="L8" s="32" t="s">
        <v>114</v>
      </c>
      <c r="M8" s="33" t="n">
        <f aca="false">COUNTIFS($B$4:$B$203,$L8)</f>
        <v>3</v>
      </c>
      <c r="N8" s="33" t="n">
        <f aca="false">COUNTIFS($B$4:$B$203,$L8,$J$4:$J$203,"Accepted")</f>
        <v>1</v>
      </c>
      <c r="O8" s="33" t="n">
        <f aca="false">COUNTIFS($B$4:$B$203,$L8,$F$4:$F$203,"")</f>
        <v>1</v>
      </c>
    </row>
    <row r="9" customFormat="false" ht="15" hidden="false" customHeight="false" outlineLevel="0" collapsed="false">
      <c r="A9" s="19" t="s">
        <v>215</v>
      </c>
      <c r="B9" s="19" t="s">
        <v>91</v>
      </c>
      <c r="C9" s="24" t="s">
        <v>216</v>
      </c>
      <c r="D9" s="20" t="s">
        <v>217</v>
      </c>
      <c r="E9" s="20" t="s">
        <v>218</v>
      </c>
      <c r="F9" s="20" t="s">
        <v>95</v>
      </c>
      <c r="G9" s="20" t="s">
        <v>219</v>
      </c>
      <c r="H9" s="20" t="s">
        <v>220</v>
      </c>
      <c r="I9" s="21" t="n">
        <v>46265</v>
      </c>
      <c r="J9" s="19" t="s">
        <v>197</v>
      </c>
      <c r="K9" s="3"/>
      <c r="L9" s="3"/>
      <c r="M9" s="3"/>
      <c r="N9" s="3"/>
      <c r="O9" s="3"/>
    </row>
    <row r="10" customFormat="false" ht="15" hidden="false" customHeight="true" outlineLevel="0" collapsed="false">
      <c r="A10" s="13" t="s">
        <v>221</v>
      </c>
      <c r="B10" s="13" t="s">
        <v>91</v>
      </c>
      <c r="C10" s="18" t="s">
        <v>222</v>
      </c>
      <c r="D10" s="14" t="s">
        <v>223</v>
      </c>
      <c r="E10" s="14" t="s">
        <v>218</v>
      </c>
      <c r="F10" s="14" t="s">
        <v>95</v>
      </c>
      <c r="G10" s="14" t="s">
        <v>224</v>
      </c>
      <c r="H10" s="14" t="s">
        <v>214</v>
      </c>
      <c r="I10" s="15" t="n">
        <v>46325</v>
      </c>
      <c r="J10" s="13" t="s">
        <v>203</v>
      </c>
      <c r="K10" s="3"/>
      <c r="L10" s="35" t="s">
        <v>225</v>
      </c>
      <c r="M10" s="35"/>
      <c r="N10" s="35"/>
      <c r="O10" s="35"/>
    </row>
    <row r="11" customFormat="false" ht="15" hidden="false" customHeight="false" outlineLevel="0" collapsed="false">
      <c r="A11" s="19" t="s">
        <v>226</v>
      </c>
      <c r="B11" s="19" t="s">
        <v>99</v>
      </c>
      <c r="C11" s="24" t="s">
        <v>227</v>
      </c>
      <c r="D11" s="20" t="s">
        <v>228</v>
      </c>
      <c r="E11" s="20" t="s">
        <v>103</v>
      </c>
      <c r="F11" s="20" t="s">
        <v>102</v>
      </c>
      <c r="G11" s="20" t="s">
        <v>229</v>
      </c>
      <c r="H11" s="20" t="s">
        <v>230</v>
      </c>
      <c r="I11" s="21" t="n">
        <v>46171</v>
      </c>
      <c r="J11" s="19" t="s">
        <v>184</v>
      </c>
      <c r="K11" s="3"/>
      <c r="L11" s="35"/>
      <c r="M11" s="35"/>
      <c r="N11" s="35"/>
      <c r="O11" s="35"/>
    </row>
    <row r="12" customFormat="false" ht="15" hidden="false" customHeight="false" outlineLevel="0" collapsed="false">
      <c r="A12" s="13" t="s">
        <v>231</v>
      </c>
      <c r="B12" s="13" t="s">
        <v>99</v>
      </c>
      <c r="C12" s="18" t="s">
        <v>232</v>
      </c>
      <c r="D12" s="14" t="s">
        <v>233</v>
      </c>
      <c r="E12" s="14" t="s">
        <v>234</v>
      </c>
      <c r="F12" s="34"/>
      <c r="G12" s="14" t="s">
        <v>235</v>
      </c>
      <c r="H12" s="14" t="s">
        <v>230</v>
      </c>
      <c r="I12" s="15" t="n">
        <v>46265</v>
      </c>
      <c r="J12" s="13" t="s">
        <v>203</v>
      </c>
      <c r="K12" s="3"/>
      <c r="L12" s="35"/>
      <c r="M12" s="35"/>
      <c r="N12" s="35"/>
      <c r="O12" s="35"/>
    </row>
    <row r="13" customFormat="false" ht="15" hidden="false" customHeight="false" outlineLevel="0" collapsed="false">
      <c r="A13" s="19" t="s">
        <v>236</v>
      </c>
      <c r="B13" s="19" t="s">
        <v>99</v>
      </c>
      <c r="C13" s="24" t="s">
        <v>237</v>
      </c>
      <c r="D13" s="20" t="s">
        <v>238</v>
      </c>
      <c r="E13" s="20" t="s">
        <v>234</v>
      </c>
      <c r="F13" s="34"/>
      <c r="G13" s="20" t="s">
        <v>239</v>
      </c>
      <c r="H13" s="20" t="s">
        <v>230</v>
      </c>
      <c r="I13" s="21" t="n">
        <v>46295</v>
      </c>
      <c r="J13" s="19" t="s">
        <v>209</v>
      </c>
      <c r="K13" s="3"/>
      <c r="L13" s="3"/>
      <c r="M13" s="3"/>
      <c r="N13" s="3"/>
      <c r="O13" s="3"/>
    </row>
    <row r="14" customFormat="false" ht="15" hidden="false" customHeight="false" outlineLevel="0" collapsed="false">
      <c r="A14" s="13" t="s">
        <v>240</v>
      </c>
      <c r="B14" s="13" t="s">
        <v>99</v>
      </c>
      <c r="C14" s="18" t="s">
        <v>241</v>
      </c>
      <c r="D14" s="14" t="s">
        <v>242</v>
      </c>
      <c r="E14" s="14" t="s">
        <v>103</v>
      </c>
      <c r="F14" s="34"/>
      <c r="G14" s="14" t="s">
        <v>243</v>
      </c>
      <c r="H14" s="14" t="s">
        <v>230</v>
      </c>
      <c r="I14" s="15" t="n">
        <v>46325</v>
      </c>
      <c r="J14" s="13" t="s">
        <v>209</v>
      </c>
      <c r="K14" s="3"/>
      <c r="L14" s="3"/>
      <c r="M14" s="3"/>
      <c r="N14" s="3"/>
      <c r="O14" s="3"/>
    </row>
    <row r="15" customFormat="false" ht="15" hidden="false" customHeight="false" outlineLevel="0" collapsed="false">
      <c r="A15" s="19" t="s">
        <v>244</v>
      </c>
      <c r="B15" s="19" t="s">
        <v>99</v>
      </c>
      <c r="C15" s="24" t="s">
        <v>245</v>
      </c>
      <c r="D15" s="20" t="s">
        <v>246</v>
      </c>
      <c r="E15" s="20" t="s">
        <v>103</v>
      </c>
      <c r="F15" s="34"/>
      <c r="G15" s="20" t="s">
        <v>224</v>
      </c>
      <c r="H15" s="20" t="s">
        <v>230</v>
      </c>
      <c r="I15" s="21" t="n">
        <v>46325</v>
      </c>
      <c r="J15" s="19" t="s">
        <v>209</v>
      </c>
      <c r="K15" s="3"/>
      <c r="L15" s="3"/>
      <c r="M15" s="3"/>
      <c r="N15" s="3"/>
      <c r="O15" s="3"/>
    </row>
    <row r="16" customFormat="false" ht="15" hidden="false" customHeight="false" outlineLevel="0" collapsed="false">
      <c r="A16" s="13" t="s">
        <v>247</v>
      </c>
      <c r="B16" s="13" t="s">
        <v>107</v>
      </c>
      <c r="C16" s="18" t="s">
        <v>248</v>
      </c>
      <c r="D16" s="14" t="s">
        <v>249</v>
      </c>
      <c r="E16" s="14" t="s">
        <v>110</v>
      </c>
      <c r="F16" s="14" t="s">
        <v>86</v>
      </c>
      <c r="G16" s="14" t="s">
        <v>243</v>
      </c>
      <c r="H16" s="14" t="s">
        <v>250</v>
      </c>
      <c r="I16" s="15" t="n">
        <v>46171</v>
      </c>
      <c r="J16" s="13" t="s">
        <v>184</v>
      </c>
      <c r="K16" s="3"/>
      <c r="L16" s="3"/>
      <c r="M16" s="3"/>
      <c r="N16" s="3"/>
      <c r="O16" s="3"/>
    </row>
    <row r="17" customFormat="false" ht="15" hidden="false" customHeight="false" outlineLevel="0" collapsed="false">
      <c r="A17" s="19" t="s">
        <v>251</v>
      </c>
      <c r="B17" s="19" t="s">
        <v>107</v>
      </c>
      <c r="C17" s="24" t="s">
        <v>252</v>
      </c>
      <c r="D17" s="20" t="s">
        <v>253</v>
      </c>
      <c r="E17" s="20" t="s">
        <v>254</v>
      </c>
      <c r="F17" s="20" t="s">
        <v>110</v>
      </c>
      <c r="G17" s="20" t="s">
        <v>224</v>
      </c>
      <c r="H17" s="20" t="s">
        <v>255</v>
      </c>
      <c r="I17" s="21" t="n">
        <v>46234</v>
      </c>
      <c r="J17" s="19" t="s">
        <v>184</v>
      </c>
      <c r="K17" s="3"/>
      <c r="L17" s="3"/>
      <c r="M17" s="3"/>
      <c r="N17" s="3"/>
      <c r="O17" s="3"/>
    </row>
    <row r="18" customFormat="false" ht="15" hidden="false" customHeight="false" outlineLevel="0" collapsed="false">
      <c r="A18" s="13" t="s">
        <v>256</v>
      </c>
      <c r="B18" s="13" t="s">
        <v>107</v>
      </c>
      <c r="C18" s="18" t="s">
        <v>257</v>
      </c>
      <c r="D18" s="14" t="s">
        <v>258</v>
      </c>
      <c r="E18" s="14" t="s">
        <v>254</v>
      </c>
      <c r="F18" s="14" t="s">
        <v>110</v>
      </c>
      <c r="G18" s="14" t="s">
        <v>259</v>
      </c>
      <c r="H18" s="14" t="s">
        <v>260</v>
      </c>
      <c r="I18" s="15" t="n">
        <v>46356</v>
      </c>
      <c r="J18" s="13" t="s">
        <v>203</v>
      </c>
      <c r="K18" s="3"/>
      <c r="L18" s="3"/>
      <c r="M18" s="3"/>
      <c r="N18" s="3"/>
      <c r="O18" s="3"/>
    </row>
    <row r="19" customFormat="false" ht="15" hidden="false" customHeight="false" outlineLevel="0" collapsed="false">
      <c r="A19" s="19" t="s">
        <v>261</v>
      </c>
      <c r="B19" s="19" t="s">
        <v>114</v>
      </c>
      <c r="C19" s="24" t="s">
        <v>262</v>
      </c>
      <c r="D19" s="20" t="s">
        <v>263</v>
      </c>
      <c r="E19" s="20" t="s">
        <v>117</v>
      </c>
      <c r="F19" s="20" t="s">
        <v>94</v>
      </c>
      <c r="G19" s="20" t="s">
        <v>264</v>
      </c>
      <c r="H19" s="20" t="s">
        <v>250</v>
      </c>
      <c r="I19" s="21" t="n">
        <v>46171</v>
      </c>
      <c r="J19" s="19" t="s">
        <v>184</v>
      </c>
      <c r="K19" s="3"/>
      <c r="L19" s="3"/>
      <c r="M19" s="3"/>
      <c r="N19" s="3"/>
      <c r="O19" s="3"/>
    </row>
    <row r="20" customFormat="false" ht="15" hidden="false" customHeight="false" outlineLevel="0" collapsed="false">
      <c r="A20" s="13" t="s">
        <v>265</v>
      </c>
      <c r="B20" s="13" t="s">
        <v>114</v>
      </c>
      <c r="C20" s="18" t="s">
        <v>266</v>
      </c>
      <c r="D20" s="14" t="s">
        <v>267</v>
      </c>
      <c r="E20" s="14" t="s">
        <v>268</v>
      </c>
      <c r="F20" s="14" t="s">
        <v>117</v>
      </c>
      <c r="G20" s="14" t="s">
        <v>196</v>
      </c>
      <c r="H20" s="14" t="s">
        <v>219</v>
      </c>
      <c r="I20" s="15" t="n">
        <v>46265</v>
      </c>
      <c r="J20" s="13" t="s">
        <v>197</v>
      </c>
      <c r="K20" s="3"/>
      <c r="L20" s="3"/>
      <c r="M20" s="3"/>
      <c r="N20" s="3"/>
      <c r="O20" s="3"/>
    </row>
    <row r="21" customFormat="false" ht="15" hidden="false" customHeight="false" outlineLevel="0" collapsed="false">
      <c r="A21" s="19" t="s">
        <v>269</v>
      </c>
      <c r="B21" s="19" t="s">
        <v>114</v>
      </c>
      <c r="C21" s="24" t="s">
        <v>270</v>
      </c>
      <c r="D21" s="20" t="s">
        <v>271</v>
      </c>
      <c r="E21" s="20" t="s">
        <v>268</v>
      </c>
      <c r="F21" s="34"/>
      <c r="G21" s="20" t="s">
        <v>272</v>
      </c>
      <c r="H21" s="20" t="s">
        <v>224</v>
      </c>
      <c r="I21" s="21" t="n">
        <v>46295</v>
      </c>
      <c r="J21" s="19" t="s">
        <v>203</v>
      </c>
      <c r="K21" s="3"/>
      <c r="L21" s="3"/>
      <c r="M21" s="3"/>
      <c r="N21" s="3"/>
      <c r="O21" s="3"/>
    </row>
    <row r="22" customFormat="false" ht="15" hidden="false" customHeight="false" outlineLevel="0" collapsed="false">
      <c r="A22" s="13"/>
      <c r="B22" s="13"/>
      <c r="C22" s="14"/>
      <c r="D22" s="14"/>
      <c r="E22" s="14"/>
      <c r="F22" s="14"/>
      <c r="G22" s="14"/>
      <c r="H22" s="14"/>
      <c r="I22" s="15"/>
      <c r="J22" s="13"/>
      <c r="K22" s="3"/>
      <c r="L22" s="3"/>
      <c r="M22" s="3"/>
      <c r="N22" s="3"/>
      <c r="O22" s="3"/>
    </row>
    <row r="23" customFormat="false" ht="15" hidden="false" customHeight="false" outlineLevel="0" collapsed="false">
      <c r="A23" s="19"/>
      <c r="B23" s="19"/>
      <c r="C23" s="20"/>
      <c r="D23" s="20"/>
      <c r="E23" s="20"/>
      <c r="F23" s="20"/>
      <c r="G23" s="20"/>
      <c r="H23" s="20"/>
      <c r="I23" s="21"/>
      <c r="J23" s="19"/>
      <c r="K23" s="3"/>
      <c r="L23" s="3"/>
      <c r="M23" s="3"/>
      <c r="N23" s="3"/>
      <c r="O23" s="3"/>
    </row>
    <row r="24" customFormat="false" ht="15" hidden="false" customHeight="false" outlineLevel="0" collapsed="false">
      <c r="A24" s="13"/>
      <c r="B24" s="13"/>
      <c r="C24" s="14"/>
      <c r="D24" s="14"/>
      <c r="E24" s="14"/>
      <c r="F24" s="14"/>
      <c r="G24" s="14"/>
      <c r="H24" s="14"/>
      <c r="I24" s="15"/>
      <c r="J24" s="13"/>
      <c r="K24" s="3"/>
      <c r="L24" s="3"/>
      <c r="M24" s="3"/>
      <c r="N24" s="3"/>
      <c r="O24" s="3"/>
    </row>
    <row r="25" customFormat="false" ht="15" hidden="false" customHeight="false" outlineLevel="0" collapsed="false">
      <c r="A25" s="19"/>
      <c r="B25" s="19"/>
      <c r="C25" s="20"/>
      <c r="D25" s="20"/>
      <c r="E25" s="20"/>
      <c r="F25" s="20"/>
      <c r="G25" s="20"/>
      <c r="H25" s="20"/>
      <c r="I25" s="21"/>
      <c r="J25" s="19"/>
      <c r="K25" s="3"/>
      <c r="L25" s="3"/>
      <c r="M25" s="3"/>
      <c r="N25" s="3"/>
      <c r="O25" s="3"/>
    </row>
    <row r="26" customFormat="false" ht="15" hidden="false" customHeight="false" outlineLevel="0" collapsed="false">
      <c r="A26" s="13"/>
      <c r="B26" s="13"/>
      <c r="C26" s="14"/>
      <c r="D26" s="14"/>
      <c r="E26" s="14"/>
      <c r="F26" s="14"/>
      <c r="G26" s="14"/>
      <c r="H26" s="14"/>
      <c r="I26" s="15"/>
      <c r="J26" s="13"/>
      <c r="K26" s="3"/>
      <c r="L26" s="3"/>
      <c r="M26" s="3"/>
      <c r="N26" s="3"/>
      <c r="O26" s="3"/>
    </row>
    <row r="27" customFormat="false" ht="15" hidden="false" customHeight="false" outlineLevel="0" collapsed="false">
      <c r="A27" s="19"/>
      <c r="B27" s="19"/>
      <c r="C27" s="20"/>
      <c r="D27" s="20"/>
      <c r="E27" s="20"/>
      <c r="F27" s="20"/>
      <c r="G27" s="20"/>
      <c r="H27" s="20"/>
      <c r="I27" s="21"/>
      <c r="J27" s="19"/>
      <c r="K27" s="3"/>
      <c r="L27" s="3"/>
      <c r="M27" s="3"/>
      <c r="N27" s="3"/>
      <c r="O27" s="3"/>
    </row>
    <row r="28" customFormat="false" ht="15" hidden="false" customHeight="false" outlineLevel="0" collapsed="false">
      <c r="A28" s="13"/>
      <c r="B28" s="13"/>
      <c r="C28" s="14"/>
      <c r="D28" s="14"/>
      <c r="E28" s="14"/>
      <c r="F28" s="14"/>
      <c r="G28" s="14"/>
      <c r="H28" s="14"/>
      <c r="I28" s="15"/>
      <c r="J28" s="13"/>
      <c r="K28" s="3"/>
      <c r="L28" s="3"/>
      <c r="M28" s="3"/>
      <c r="N28" s="3"/>
      <c r="O28" s="3"/>
    </row>
    <row r="29" customFormat="false" ht="15" hidden="false" customHeight="false" outlineLevel="0" collapsed="false">
      <c r="A29" s="19"/>
      <c r="B29" s="19"/>
      <c r="C29" s="20"/>
      <c r="D29" s="20"/>
      <c r="E29" s="20"/>
      <c r="F29" s="20"/>
      <c r="G29" s="20"/>
      <c r="H29" s="20"/>
      <c r="I29" s="21"/>
      <c r="J29" s="19"/>
      <c r="K29" s="3"/>
      <c r="L29" s="3"/>
      <c r="M29" s="3"/>
      <c r="N29" s="3"/>
      <c r="O29" s="3"/>
    </row>
    <row r="30" customFormat="false" ht="15" hidden="false" customHeight="false" outlineLevel="0" collapsed="false">
      <c r="A30" s="13"/>
      <c r="B30" s="13"/>
      <c r="C30" s="14"/>
      <c r="D30" s="14"/>
      <c r="E30" s="14"/>
      <c r="F30" s="14"/>
      <c r="G30" s="14"/>
      <c r="H30" s="14"/>
      <c r="I30" s="15"/>
      <c r="J30" s="13"/>
      <c r="K30" s="3"/>
      <c r="L30" s="3"/>
      <c r="M30" s="3"/>
      <c r="N30" s="3"/>
      <c r="O30" s="3"/>
    </row>
    <row r="31" customFormat="false" ht="15" hidden="false" customHeight="false" outlineLevel="0" collapsed="false">
      <c r="A31" s="19"/>
      <c r="B31" s="19"/>
      <c r="C31" s="20"/>
      <c r="D31" s="20"/>
      <c r="E31" s="20"/>
      <c r="F31" s="20"/>
      <c r="G31" s="20"/>
      <c r="H31" s="20"/>
      <c r="I31" s="21"/>
      <c r="J31" s="19"/>
      <c r="K31" s="3"/>
      <c r="L31" s="3"/>
      <c r="M31" s="3"/>
      <c r="N31" s="3"/>
      <c r="O31" s="3"/>
    </row>
    <row r="32" customFormat="false" ht="15" hidden="false" customHeight="false" outlineLevel="0" collapsed="false">
      <c r="A32" s="13"/>
      <c r="B32" s="13"/>
      <c r="C32" s="14"/>
      <c r="D32" s="14"/>
      <c r="E32" s="14"/>
      <c r="F32" s="14"/>
      <c r="G32" s="14"/>
      <c r="H32" s="14"/>
      <c r="I32" s="15"/>
      <c r="J32" s="13"/>
      <c r="K32" s="3"/>
      <c r="L32" s="3"/>
      <c r="M32" s="3"/>
      <c r="N32" s="3"/>
      <c r="O32" s="3"/>
    </row>
    <row r="33" customFormat="false" ht="15" hidden="false" customHeight="false" outlineLevel="0" collapsed="false">
      <c r="A33" s="19"/>
      <c r="B33" s="19"/>
      <c r="C33" s="20"/>
      <c r="D33" s="20"/>
      <c r="E33" s="20"/>
      <c r="F33" s="20"/>
      <c r="G33" s="20"/>
      <c r="H33" s="20"/>
      <c r="I33" s="21"/>
      <c r="J33" s="19"/>
      <c r="K33" s="3"/>
      <c r="L33" s="3"/>
      <c r="M33" s="3"/>
      <c r="N33" s="3"/>
      <c r="O33" s="3"/>
    </row>
    <row r="34" customFormat="false" ht="15" hidden="false" customHeight="false" outlineLevel="0" collapsed="false">
      <c r="A34" s="13"/>
      <c r="B34" s="13"/>
      <c r="C34" s="14"/>
      <c r="D34" s="14"/>
      <c r="E34" s="14"/>
      <c r="F34" s="14"/>
      <c r="G34" s="14"/>
      <c r="H34" s="14"/>
      <c r="I34" s="15"/>
      <c r="J34" s="13"/>
      <c r="K34" s="3"/>
      <c r="L34" s="3"/>
      <c r="M34" s="3"/>
      <c r="N34" s="3"/>
      <c r="O34" s="3"/>
    </row>
    <row r="35" customFormat="false" ht="15" hidden="false" customHeight="false" outlineLevel="0" collapsed="false">
      <c r="A35" s="19"/>
      <c r="B35" s="19"/>
      <c r="C35" s="20"/>
      <c r="D35" s="20"/>
      <c r="E35" s="20"/>
      <c r="F35" s="20"/>
      <c r="G35" s="20"/>
      <c r="H35" s="20"/>
      <c r="I35" s="21"/>
      <c r="J35" s="19"/>
      <c r="K35" s="3"/>
      <c r="L35" s="3"/>
      <c r="M35" s="3"/>
      <c r="N35" s="3"/>
      <c r="O35" s="3"/>
    </row>
    <row r="36" customFormat="false" ht="15" hidden="false" customHeight="false" outlineLevel="0" collapsed="false">
      <c r="A36" s="13"/>
      <c r="B36" s="13"/>
      <c r="C36" s="14"/>
      <c r="D36" s="14"/>
      <c r="E36" s="14"/>
      <c r="F36" s="14"/>
      <c r="G36" s="14"/>
      <c r="H36" s="14"/>
      <c r="I36" s="15"/>
      <c r="J36" s="13"/>
      <c r="K36" s="3"/>
      <c r="L36" s="3"/>
      <c r="M36" s="3"/>
      <c r="N36" s="3"/>
      <c r="O36" s="3"/>
    </row>
    <row r="37" customFormat="false" ht="15" hidden="false" customHeight="false" outlineLevel="0" collapsed="false">
      <c r="A37" s="19"/>
      <c r="B37" s="19"/>
      <c r="C37" s="20"/>
      <c r="D37" s="20"/>
      <c r="E37" s="20"/>
      <c r="F37" s="20"/>
      <c r="G37" s="20"/>
      <c r="H37" s="20"/>
      <c r="I37" s="21"/>
      <c r="J37" s="19"/>
      <c r="K37" s="3"/>
      <c r="L37" s="3"/>
      <c r="M37" s="3"/>
      <c r="N37" s="3"/>
      <c r="O37" s="3"/>
    </row>
    <row r="38" customFormat="false" ht="15" hidden="false" customHeight="false" outlineLevel="0" collapsed="false">
      <c r="A38" s="13"/>
      <c r="B38" s="13"/>
      <c r="C38" s="14"/>
      <c r="D38" s="14"/>
      <c r="E38" s="14"/>
      <c r="F38" s="14"/>
      <c r="G38" s="14"/>
      <c r="H38" s="14"/>
      <c r="I38" s="15"/>
      <c r="J38" s="13"/>
      <c r="K38" s="3"/>
      <c r="L38" s="3"/>
      <c r="M38" s="3"/>
      <c r="N38" s="3"/>
      <c r="O38" s="3"/>
    </row>
    <row r="39" customFormat="false" ht="15" hidden="false" customHeight="false" outlineLevel="0" collapsed="false">
      <c r="A39" s="19"/>
      <c r="B39" s="19"/>
      <c r="C39" s="20"/>
      <c r="D39" s="20"/>
      <c r="E39" s="20"/>
      <c r="F39" s="20"/>
      <c r="G39" s="20"/>
      <c r="H39" s="20"/>
      <c r="I39" s="21"/>
      <c r="J39" s="19"/>
      <c r="K39" s="3"/>
      <c r="L39" s="3"/>
      <c r="M39" s="3"/>
      <c r="N39" s="3"/>
      <c r="O39" s="3"/>
    </row>
    <row r="40" customFormat="false" ht="15" hidden="false" customHeight="false" outlineLevel="0" collapsed="false">
      <c r="A40" s="13"/>
      <c r="B40" s="13"/>
      <c r="C40" s="14"/>
      <c r="D40" s="14"/>
      <c r="E40" s="14"/>
      <c r="F40" s="14"/>
      <c r="G40" s="14"/>
      <c r="H40" s="14"/>
      <c r="I40" s="15"/>
      <c r="J40" s="13"/>
      <c r="K40" s="3"/>
      <c r="L40" s="3"/>
      <c r="M40" s="3"/>
      <c r="N40" s="3"/>
      <c r="O40" s="3"/>
    </row>
    <row r="41" customFormat="false" ht="15" hidden="false" customHeight="false" outlineLevel="0" collapsed="false">
      <c r="A41" s="19"/>
      <c r="B41" s="19"/>
      <c r="C41" s="20"/>
      <c r="D41" s="20"/>
      <c r="E41" s="20"/>
      <c r="F41" s="20"/>
      <c r="G41" s="20"/>
      <c r="H41" s="20"/>
      <c r="I41" s="21"/>
      <c r="J41" s="19"/>
      <c r="K41" s="3"/>
      <c r="L41" s="3"/>
      <c r="M41" s="3"/>
      <c r="N41" s="3"/>
      <c r="O41" s="3"/>
    </row>
    <row r="42" customFormat="false" ht="15" hidden="false" customHeight="false" outlineLevel="0" collapsed="false">
      <c r="A42" s="13"/>
      <c r="B42" s="13"/>
      <c r="C42" s="14"/>
      <c r="D42" s="14"/>
      <c r="E42" s="14"/>
      <c r="F42" s="14"/>
      <c r="G42" s="14"/>
      <c r="H42" s="14"/>
      <c r="I42" s="15"/>
      <c r="J42" s="13"/>
      <c r="K42" s="3"/>
      <c r="L42" s="3"/>
      <c r="M42" s="3"/>
      <c r="N42" s="3"/>
      <c r="O42" s="3"/>
    </row>
    <row r="43" customFormat="false" ht="15" hidden="false" customHeight="false" outlineLevel="0" collapsed="false">
      <c r="A43" s="19"/>
      <c r="B43" s="19"/>
      <c r="C43" s="20"/>
      <c r="D43" s="20"/>
      <c r="E43" s="20"/>
      <c r="F43" s="20"/>
      <c r="G43" s="20"/>
      <c r="H43" s="20"/>
      <c r="I43" s="21"/>
      <c r="J43" s="19"/>
      <c r="K43" s="3"/>
      <c r="L43" s="3"/>
      <c r="M43" s="3"/>
      <c r="N43" s="3"/>
      <c r="O43" s="3"/>
    </row>
    <row r="44" customFormat="false" ht="15" hidden="false" customHeight="false" outlineLevel="0" collapsed="false">
      <c r="A44" s="13"/>
      <c r="B44" s="13"/>
      <c r="C44" s="14"/>
      <c r="D44" s="14"/>
      <c r="E44" s="14"/>
      <c r="F44" s="14"/>
      <c r="G44" s="14"/>
      <c r="H44" s="14"/>
      <c r="I44" s="15"/>
      <c r="J44" s="13"/>
      <c r="K44" s="3"/>
      <c r="L44" s="3"/>
      <c r="M44" s="3"/>
      <c r="N44" s="3"/>
      <c r="O44" s="3"/>
    </row>
    <row r="45" customFormat="false" ht="15" hidden="false" customHeight="false" outlineLevel="0" collapsed="false">
      <c r="A45" s="19"/>
      <c r="B45" s="19"/>
      <c r="C45" s="20"/>
      <c r="D45" s="20"/>
      <c r="E45" s="20"/>
      <c r="F45" s="20"/>
      <c r="G45" s="20"/>
      <c r="H45" s="20"/>
      <c r="I45" s="21"/>
      <c r="J45" s="19"/>
      <c r="K45" s="3"/>
      <c r="L45" s="3"/>
      <c r="M45" s="3"/>
      <c r="N45" s="3"/>
      <c r="O45" s="3"/>
    </row>
    <row r="46" customFormat="false" ht="15" hidden="false" customHeight="false" outlineLevel="0" collapsed="false">
      <c r="A46" s="13"/>
      <c r="B46" s="13"/>
      <c r="C46" s="14"/>
      <c r="D46" s="14"/>
      <c r="E46" s="14"/>
      <c r="F46" s="14"/>
      <c r="G46" s="14"/>
      <c r="H46" s="14"/>
      <c r="I46" s="15"/>
      <c r="J46" s="13"/>
      <c r="K46" s="3"/>
      <c r="L46" s="3"/>
      <c r="M46" s="3"/>
      <c r="N46" s="3"/>
      <c r="O46" s="3"/>
    </row>
    <row r="47" customFormat="false" ht="15" hidden="false" customHeight="false" outlineLevel="0" collapsed="false">
      <c r="A47" s="19"/>
      <c r="B47" s="19"/>
      <c r="C47" s="20"/>
      <c r="D47" s="20"/>
      <c r="E47" s="20"/>
      <c r="F47" s="20"/>
      <c r="G47" s="20"/>
      <c r="H47" s="20"/>
      <c r="I47" s="21"/>
      <c r="J47" s="19"/>
      <c r="K47" s="3"/>
      <c r="L47" s="3"/>
      <c r="M47" s="3"/>
      <c r="N47" s="3"/>
      <c r="O47" s="3"/>
    </row>
    <row r="48" customFormat="false" ht="15" hidden="false" customHeight="false" outlineLevel="0" collapsed="false">
      <c r="A48" s="13"/>
      <c r="B48" s="13"/>
      <c r="C48" s="14"/>
      <c r="D48" s="14"/>
      <c r="E48" s="14"/>
      <c r="F48" s="14"/>
      <c r="G48" s="14"/>
      <c r="H48" s="14"/>
      <c r="I48" s="15"/>
      <c r="J48" s="13"/>
      <c r="K48" s="3"/>
      <c r="L48" s="3"/>
      <c r="M48" s="3"/>
      <c r="N48" s="3"/>
      <c r="O48" s="3"/>
    </row>
    <row r="49" customFormat="false" ht="15" hidden="false" customHeight="false" outlineLevel="0" collapsed="false">
      <c r="A49" s="19"/>
      <c r="B49" s="19"/>
      <c r="C49" s="20"/>
      <c r="D49" s="20"/>
      <c r="E49" s="20"/>
      <c r="F49" s="20"/>
      <c r="G49" s="20"/>
      <c r="H49" s="20"/>
      <c r="I49" s="21"/>
      <c r="J49" s="19"/>
      <c r="K49" s="3"/>
      <c r="L49" s="3"/>
      <c r="M49" s="3"/>
      <c r="N49" s="3"/>
      <c r="O49" s="3"/>
    </row>
    <row r="50" customFormat="false" ht="15" hidden="false" customHeight="false" outlineLevel="0" collapsed="false">
      <c r="A50" s="13"/>
      <c r="B50" s="13"/>
      <c r="C50" s="14"/>
      <c r="D50" s="14"/>
      <c r="E50" s="14"/>
      <c r="F50" s="14"/>
      <c r="G50" s="14"/>
      <c r="H50" s="14"/>
      <c r="I50" s="15"/>
      <c r="J50" s="13"/>
      <c r="K50" s="3"/>
      <c r="L50" s="3"/>
      <c r="M50" s="3"/>
      <c r="N50" s="3"/>
      <c r="O50" s="3"/>
    </row>
    <row r="51" customFormat="false" ht="15" hidden="false" customHeight="false" outlineLevel="0" collapsed="false">
      <c r="A51" s="19"/>
      <c r="B51" s="19"/>
      <c r="C51" s="20"/>
      <c r="D51" s="20"/>
      <c r="E51" s="20"/>
      <c r="F51" s="20"/>
      <c r="G51" s="20"/>
      <c r="H51" s="20"/>
      <c r="I51" s="21"/>
      <c r="J51" s="19"/>
      <c r="K51" s="3"/>
      <c r="L51" s="3"/>
      <c r="M51" s="3"/>
      <c r="N51" s="3"/>
      <c r="O51" s="3"/>
    </row>
    <row r="52" customFormat="false" ht="15" hidden="false" customHeight="false" outlineLevel="0" collapsed="false">
      <c r="A52" s="13"/>
      <c r="B52" s="13"/>
      <c r="C52" s="14"/>
      <c r="D52" s="14"/>
      <c r="E52" s="14"/>
      <c r="F52" s="14"/>
      <c r="G52" s="14"/>
      <c r="H52" s="14"/>
      <c r="I52" s="15"/>
      <c r="J52" s="13"/>
      <c r="K52" s="3"/>
      <c r="L52" s="3"/>
      <c r="M52" s="3"/>
      <c r="N52" s="3"/>
      <c r="O52" s="3"/>
    </row>
    <row r="53" customFormat="false" ht="15" hidden="false" customHeight="false" outlineLevel="0" collapsed="false">
      <c r="A53" s="19"/>
      <c r="B53" s="19"/>
      <c r="C53" s="20"/>
      <c r="D53" s="20"/>
      <c r="E53" s="20"/>
      <c r="F53" s="20"/>
      <c r="G53" s="20"/>
      <c r="H53" s="20"/>
      <c r="I53" s="21"/>
      <c r="J53" s="19"/>
      <c r="K53" s="3"/>
      <c r="L53" s="3"/>
      <c r="M53" s="3"/>
      <c r="N53" s="3"/>
      <c r="O53" s="3"/>
    </row>
    <row r="54" customFormat="false" ht="15" hidden="false" customHeight="false" outlineLevel="0" collapsed="false">
      <c r="A54" s="13"/>
      <c r="B54" s="13"/>
      <c r="C54" s="14"/>
      <c r="D54" s="14"/>
      <c r="E54" s="14"/>
      <c r="F54" s="14"/>
      <c r="G54" s="14"/>
      <c r="H54" s="14"/>
      <c r="I54" s="15"/>
      <c r="J54" s="13"/>
      <c r="K54" s="3"/>
      <c r="L54" s="3"/>
      <c r="M54" s="3"/>
      <c r="N54" s="3"/>
      <c r="O54" s="3"/>
    </row>
    <row r="55" customFormat="false" ht="15" hidden="false" customHeight="false" outlineLevel="0" collapsed="false">
      <c r="A55" s="19"/>
      <c r="B55" s="19"/>
      <c r="C55" s="20"/>
      <c r="D55" s="20"/>
      <c r="E55" s="20"/>
      <c r="F55" s="20"/>
      <c r="G55" s="20"/>
      <c r="H55" s="20"/>
      <c r="I55" s="21"/>
      <c r="J55" s="19"/>
      <c r="K55" s="3"/>
      <c r="L55" s="3"/>
      <c r="M55" s="3"/>
      <c r="N55" s="3"/>
      <c r="O55" s="3"/>
    </row>
    <row r="56" customFormat="false" ht="15" hidden="false" customHeight="false" outlineLevel="0" collapsed="false">
      <c r="A56" s="13"/>
      <c r="B56" s="13"/>
      <c r="C56" s="14"/>
      <c r="D56" s="14"/>
      <c r="E56" s="14"/>
      <c r="F56" s="14"/>
      <c r="G56" s="14"/>
      <c r="H56" s="14"/>
      <c r="I56" s="15"/>
      <c r="J56" s="13"/>
      <c r="K56" s="3"/>
      <c r="L56" s="3"/>
      <c r="M56" s="3"/>
      <c r="N56" s="3"/>
      <c r="O56" s="3"/>
    </row>
    <row r="57" customFormat="false" ht="15" hidden="false" customHeight="false" outlineLevel="0" collapsed="false">
      <c r="A57" s="19"/>
      <c r="B57" s="19"/>
      <c r="C57" s="20"/>
      <c r="D57" s="20"/>
      <c r="E57" s="20"/>
      <c r="F57" s="20"/>
      <c r="G57" s="20"/>
      <c r="H57" s="20"/>
      <c r="I57" s="21"/>
      <c r="J57" s="19"/>
      <c r="K57" s="3"/>
      <c r="L57" s="3"/>
      <c r="M57" s="3"/>
      <c r="N57" s="3"/>
      <c r="O57" s="3"/>
    </row>
    <row r="58" customFormat="false" ht="15" hidden="false" customHeight="false" outlineLevel="0" collapsed="false">
      <c r="A58" s="13"/>
      <c r="B58" s="13"/>
      <c r="C58" s="14"/>
      <c r="D58" s="14"/>
      <c r="E58" s="14"/>
      <c r="F58" s="14"/>
      <c r="G58" s="14"/>
      <c r="H58" s="14"/>
      <c r="I58" s="15"/>
      <c r="J58" s="13"/>
      <c r="K58" s="3"/>
      <c r="L58" s="3"/>
      <c r="M58" s="3"/>
      <c r="N58" s="3"/>
      <c r="O58" s="3"/>
    </row>
    <row r="59" customFormat="false" ht="15" hidden="false" customHeight="false" outlineLevel="0" collapsed="false">
      <c r="A59" s="19"/>
      <c r="B59" s="19"/>
      <c r="C59" s="20"/>
      <c r="D59" s="20"/>
      <c r="E59" s="20"/>
      <c r="F59" s="20"/>
      <c r="G59" s="20"/>
      <c r="H59" s="20"/>
      <c r="I59" s="21"/>
      <c r="J59" s="19"/>
      <c r="K59" s="3"/>
      <c r="L59" s="3"/>
      <c r="M59" s="3"/>
      <c r="N59" s="3"/>
      <c r="O59" s="3"/>
    </row>
    <row r="60" customFormat="false" ht="15" hidden="false" customHeight="false" outlineLevel="0" collapsed="false">
      <c r="A60" s="13"/>
      <c r="B60" s="13"/>
      <c r="C60" s="14"/>
      <c r="D60" s="14"/>
      <c r="E60" s="14"/>
      <c r="F60" s="14"/>
      <c r="G60" s="14"/>
      <c r="H60" s="14"/>
      <c r="I60" s="15"/>
      <c r="J60" s="13"/>
      <c r="K60" s="3"/>
      <c r="L60" s="3"/>
      <c r="M60" s="3"/>
      <c r="N60" s="3"/>
      <c r="O60" s="3"/>
    </row>
    <row r="61" customFormat="false" ht="15" hidden="false" customHeight="false" outlineLevel="0" collapsed="false">
      <c r="A61" s="19"/>
      <c r="B61" s="19"/>
      <c r="C61" s="20"/>
      <c r="D61" s="20"/>
      <c r="E61" s="20"/>
      <c r="F61" s="20"/>
      <c r="G61" s="20"/>
      <c r="H61" s="20"/>
      <c r="I61" s="21"/>
      <c r="J61" s="19"/>
      <c r="K61" s="3"/>
      <c r="L61" s="3"/>
      <c r="M61" s="3"/>
      <c r="N61" s="3"/>
      <c r="O61" s="3"/>
    </row>
    <row r="62" customFormat="false" ht="15" hidden="false" customHeight="false" outlineLevel="0" collapsed="false">
      <c r="A62" s="13"/>
      <c r="B62" s="13"/>
      <c r="C62" s="14"/>
      <c r="D62" s="14"/>
      <c r="E62" s="14"/>
      <c r="F62" s="14"/>
      <c r="G62" s="14"/>
      <c r="H62" s="14"/>
      <c r="I62" s="15"/>
      <c r="J62" s="13"/>
      <c r="K62" s="3"/>
      <c r="L62" s="3"/>
      <c r="M62" s="3"/>
      <c r="N62" s="3"/>
      <c r="O62" s="3"/>
    </row>
    <row r="63" customFormat="false" ht="15" hidden="false" customHeight="false" outlineLevel="0" collapsed="false">
      <c r="A63" s="19"/>
      <c r="B63" s="19"/>
      <c r="C63" s="20"/>
      <c r="D63" s="20"/>
      <c r="E63" s="20"/>
      <c r="F63" s="20"/>
      <c r="G63" s="20"/>
      <c r="H63" s="20"/>
      <c r="I63" s="21"/>
      <c r="J63" s="19"/>
      <c r="K63" s="3"/>
      <c r="L63" s="3"/>
      <c r="M63" s="3"/>
      <c r="N63" s="3"/>
      <c r="O63" s="3"/>
    </row>
    <row r="64" customFormat="false" ht="15" hidden="false" customHeight="false" outlineLevel="0" collapsed="false">
      <c r="A64" s="13"/>
      <c r="B64" s="13"/>
      <c r="C64" s="14"/>
      <c r="D64" s="14"/>
      <c r="E64" s="14"/>
      <c r="F64" s="14"/>
      <c r="G64" s="14"/>
      <c r="H64" s="14"/>
      <c r="I64" s="15"/>
      <c r="J64" s="13"/>
      <c r="K64" s="3"/>
      <c r="L64" s="3"/>
      <c r="M64" s="3"/>
      <c r="N64" s="3"/>
      <c r="O64" s="3"/>
    </row>
    <row r="65" customFormat="false" ht="15" hidden="false" customHeight="false" outlineLevel="0" collapsed="false">
      <c r="A65" s="19"/>
      <c r="B65" s="19"/>
      <c r="C65" s="20"/>
      <c r="D65" s="20"/>
      <c r="E65" s="20"/>
      <c r="F65" s="20"/>
      <c r="G65" s="20"/>
      <c r="H65" s="20"/>
      <c r="I65" s="21"/>
      <c r="J65" s="19"/>
      <c r="K65" s="3"/>
      <c r="L65" s="3"/>
      <c r="M65" s="3"/>
      <c r="N65" s="3"/>
      <c r="O65" s="3"/>
    </row>
    <row r="66" customFormat="false" ht="15" hidden="false" customHeight="false" outlineLevel="0" collapsed="false">
      <c r="A66" s="13"/>
      <c r="B66" s="13"/>
      <c r="C66" s="14"/>
      <c r="D66" s="14"/>
      <c r="E66" s="14"/>
      <c r="F66" s="14"/>
      <c r="G66" s="14"/>
      <c r="H66" s="14"/>
      <c r="I66" s="15"/>
      <c r="J66" s="13"/>
      <c r="K66" s="3"/>
      <c r="L66" s="3"/>
      <c r="M66" s="3"/>
      <c r="N66" s="3"/>
      <c r="O66" s="3"/>
    </row>
    <row r="67" customFormat="false" ht="15" hidden="false" customHeight="false" outlineLevel="0" collapsed="false">
      <c r="A67" s="19"/>
      <c r="B67" s="19"/>
      <c r="C67" s="20"/>
      <c r="D67" s="20"/>
      <c r="E67" s="20"/>
      <c r="F67" s="20"/>
      <c r="G67" s="20"/>
      <c r="H67" s="20"/>
      <c r="I67" s="21"/>
      <c r="J67" s="19"/>
      <c r="K67" s="3"/>
      <c r="L67" s="3"/>
      <c r="M67" s="3"/>
      <c r="N67" s="3"/>
      <c r="O67" s="3"/>
    </row>
    <row r="68" customFormat="false" ht="15" hidden="false" customHeight="false" outlineLevel="0" collapsed="false">
      <c r="A68" s="13"/>
      <c r="B68" s="13"/>
      <c r="C68" s="14"/>
      <c r="D68" s="14"/>
      <c r="E68" s="14"/>
      <c r="F68" s="14"/>
      <c r="G68" s="14"/>
      <c r="H68" s="14"/>
      <c r="I68" s="15"/>
      <c r="J68" s="13"/>
      <c r="K68" s="3"/>
      <c r="L68" s="3"/>
      <c r="M68" s="3"/>
      <c r="N68" s="3"/>
      <c r="O68" s="3"/>
    </row>
    <row r="69" customFormat="false" ht="15" hidden="false" customHeight="false" outlineLevel="0" collapsed="false">
      <c r="A69" s="19"/>
      <c r="B69" s="19"/>
      <c r="C69" s="20"/>
      <c r="D69" s="20"/>
      <c r="E69" s="20"/>
      <c r="F69" s="20"/>
      <c r="G69" s="20"/>
      <c r="H69" s="20"/>
      <c r="I69" s="21"/>
      <c r="J69" s="19"/>
      <c r="K69" s="3"/>
      <c r="L69" s="3"/>
      <c r="M69" s="3"/>
      <c r="N69" s="3"/>
      <c r="O69" s="3"/>
    </row>
    <row r="70" customFormat="false" ht="15" hidden="false" customHeight="false" outlineLevel="0" collapsed="false">
      <c r="A70" s="13"/>
      <c r="B70" s="13"/>
      <c r="C70" s="14"/>
      <c r="D70" s="14"/>
      <c r="E70" s="14"/>
      <c r="F70" s="14"/>
      <c r="G70" s="14"/>
      <c r="H70" s="14"/>
      <c r="I70" s="15"/>
      <c r="J70" s="13"/>
      <c r="K70" s="3"/>
      <c r="L70" s="3"/>
      <c r="M70" s="3"/>
      <c r="N70" s="3"/>
      <c r="O70" s="3"/>
    </row>
    <row r="71" customFormat="false" ht="15" hidden="false" customHeight="false" outlineLevel="0" collapsed="false">
      <c r="A71" s="19"/>
      <c r="B71" s="19"/>
      <c r="C71" s="20"/>
      <c r="D71" s="20"/>
      <c r="E71" s="20"/>
      <c r="F71" s="20"/>
      <c r="G71" s="20"/>
      <c r="H71" s="20"/>
      <c r="I71" s="21"/>
      <c r="J71" s="19"/>
      <c r="K71" s="3"/>
      <c r="L71" s="3"/>
      <c r="M71" s="3"/>
      <c r="N71" s="3"/>
      <c r="O71" s="3"/>
    </row>
    <row r="72" customFormat="false" ht="15" hidden="false" customHeight="false" outlineLevel="0" collapsed="false">
      <c r="A72" s="13"/>
      <c r="B72" s="13"/>
      <c r="C72" s="14"/>
      <c r="D72" s="14"/>
      <c r="E72" s="14"/>
      <c r="F72" s="14"/>
      <c r="G72" s="14"/>
      <c r="H72" s="14"/>
      <c r="I72" s="15"/>
      <c r="J72" s="13"/>
      <c r="K72" s="3"/>
      <c r="L72" s="3"/>
      <c r="M72" s="3"/>
      <c r="N72" s="3"/>
      <c r="O72" s="3"/>
    </row>
    <row r="73" customFormat="false" ht="15" hidden="false" customHeight="false" outlineLevel="0" collapsed="false">
      <c r="A73" s="19"/>
      <c r="B73" s="19"/>
      <c r="C73" s="20"/>
      <c r="D73" s="20"/>
      <c r="E73" s="20"/>
      <c r="F73" s="20"/>
      <c r="G73" s="20"/>
      <c r="H73" s="20"/>
      <c r="I73" s="21"/>
      <c r="J73" s="19"/>
      <c r="K73" s="3"/>
      <c r="L73" s="3"/>
      <c r="M73" s="3"/>
      <c r="N73" s="3"/>
      <c r="O73" s="3"/>
    </row>
    <row r="74" customFormat="false" ht="15" hidden="false" customHeight="false" outlineLevel="0" collapsed="false">
      <c r="A74" s="13"/>
      <c r="B74" s="13"/>
      <c r="C74" s="14"/>
      <c r="D74" s="14"/>
      <c r="E74" s="14"/>
      <c r="F74" s="14"/>
      <c r="G74" s="14"/>
      <c r="H74" s="14"/>
      <c r="I74" s="15"/>
      <c r="J74" s="13"/>
      <c r="K74" s="3"/>
      <c r="L74" s="3"/>
      <c r="M74" s="3"/>
      <c r="N74" s="3"/>
      <c r="O74" s="3"/>
    </row>
    <row r="75" customFormat="false" ht="15" hidden="false" customHeight="false" outlineLevel="0" collapsed="false">
      <c r="A75" s="19"/>
      <c r="B75" s="19"/>
      <c r="C75" s="20"/>
      <c r="D75" s="20"/>
      <c r="E75" s="20"/>
      <c r="F75" s="20"/>
      <c r="G75" s="20"/>
      <c r="H75" s="20"/>
      <c r="I75" s="21"/>
      <c r="J75" s="19"/>
      <c r="K75" s="3"/>
      <c r="L75" s="3"/>
      <c r="M75" s="3"/>
      <c r="N75" s="3"/>
      <c r="O75" s="3"/>
    </row>
    <row r="76" customFormat="false" ht="15" hidden="false" customHeight="false" outlineLevel="0" collapsed="false">
      <c r="A76" s="13"/>
      <c r="B76" s="13"/>
      <c r="C76" s="14"/>
      <c r="D76" s="14"/>
      <c r="E76" s="14"/>
      <c r="F76" s="14"/>
      <c r="G76" s="14"/>
      <c r="H76" s="14"/>
      <c r="I76" s="15"/>
      <c r="J76" s="13"/>
      <c r="K76" s="3"/>
      <c r="L76" s="3"/>
      <c r="M76" s="3"/>
      <c r="N76" s="3"/>
      <c r="O76" s="3"/>
    </row>
    <row r="77" customFormat="false" ht="15" hidden="false" customHeight="false" outlineLevel="0" collapsed="false">
      <c r="A77" s="19"/>
      <c r="B77" s="19"/>
      <c r="C77" s="20"/>
      <c r="D77" s="20"/>
      <c r="E77" s="20"/>
      <c r="F77" s="20"/>
      <c r="G77" s="20"/>
      <c r="H77" s="20"/>
      <c r="I77" s="21"/>
      <c r="J77" s="19"/>
      <c r="K77" s="3"/>
      <c r="L77" s="3"/>
      <c r="M77" s="3"/>
      <c r="N77" s="3"/>
      <c r="O77" s="3"/>
    </row>
    <row r="78" customFormat="false" ht="15" hidden="false" customHeight="false" outlineLevel="0" collapsed="false">
      <c r="A78" s="13"/>
      <c r="B78" s="13"/>
      <c r="C78" s="14"/>
      <c r="D78" s="14"/>
      <c r="E78" s="14"/>
      <c r="F78" s="14"/>
      <c r="G78" s="14"/>
      <c r="H78" s="14"/>
      <c r="I78" s="15"/>
      <c r="J78" s="13"/>
      <c r="K78" s="3"/>
      <c r="L78" s="3"/>
      <c r="M78" s="3"/>
      <c r="N78" s="3"/>
      <c r="O78" s="3"/>
    </row>
    <row r="79" customFormat="false" ht="15" hidden="false" customHeight="false" outlineLevel="0" collapsed="false">
      <c r="A79" s="19"/>
      <c r="B79" s="19"/>
      <c r="C79" s="20"/>
      <c r="D79" s="20"/>
      <c r="E79" s="20"/>
      <c r="F79" s="20"/>
      <c r="G79" s="20"/>
      <c r="H79" s="20"/>
      <c r="I79" s="21"/>
      <c r="J79" s="19"/>
      <c r="K79" s="3"/>
      <c r="L79" s="3"/>
      <c r="M79" s="3"/>
      <c r="N79" s="3"/>
      <c r="O79" s="3"/>
    </row>
    <row r="80" customFormat="false" ht="15" hidden="false" customHeight="false" outlineLevel="0" collapsed="false">
      <c r="A80" s="13"/>
      <c r="B80" s="13"/>
      <c r="C80" s="14"/>
      <c r="D80" s="14"/>
      <c r="E80" s="14"/>
      <c r="F80" s="14"/>
      <c r="G80" s="14"/>
      <c r="H80" s="14"/>
      <c r="I80" s="15"/>
      <c r="J80" s="13"/>
      <c r="K80" s="3"/>
      <c r="L80" s="3"/>
      <c r="M80" s="3"/>
      <c r="N80" s="3"/>
      <c r="O80" s="3"/>
    </row>
    <row r="81" customFormat="false" ht="15" hidden="false" customHeight="false" outlineLevel="0" collapsed="false">
      <c r="A81" s="19"/>
      <c r="B81" s="19"/>
      <c r="C81" s="20"/>
      <c r="D81" s="20"/>
      <c r="E81" s="20"/>
      <c r="F81" s="20"/>
      <c r="G81" s="20"/>
      <c r="H81" s="20"/>
      <c r="I81" s="21"/>
      <c r="J81" s="19"/>
      <c r="K81" s="3"/>
      <c r="L81" s="3"/>
      <c r="M81" s="3"/>
      <c r="N81" s="3"/>
      <c r="O81" s="3"/>
    </row>
    <row r="82" customFormat="false" ht="15" hidden="false" customHeight="false" outlineLevel="0" collapsed="false">
      <c r="A82" s="13"/>
      <c r="B82" s="13"/>
      <c r="C82" s="14"/>
      <c r="D82" s="14"/>
      <c r="E82" s="14"/>
      <c r="F82" s="14"/>
      <c r="G82" s="14"/>
      <c r="H82" s="14"/>
      <c r="I82" s="15"/>
      <c r="J82" s="13"/>
      <c r="K82" s="3"/>
      <c r="L82" s="3"/>
      <c r="M82" s="3"/>
      <c r="N82" s="3"/>
      <c r="O82" s="3"/>
    </row>
    <row r="83" customFormat="false" ht="15" hidden="false" customHeight="false" outlineLevel="0" collapsed="false">
      <c r="A83" s="19"/>
      <c r="B83" s="19"/>
      <c r="C83" s="20"/>
      <c r="D83" s="20"/>
      <c r="E83" s="20"/>
      <c r="F83" s="20"/>
      <c r="G83" s="20"/>
      <c r="H83" s="20"/>
      <c r="I83" s="21"/>
      <c r="J83" s="19"/>
      <c r="K83" s="3"/>
      <c r="L83" s="3"/>
      <c r="M83" s="3"/>
      <c r="N83" s="3"/>
      <c r="O83" s="3"/>
    </row>
    <row r="84" customFormat="false" ht="15" hidden="false" customHeight="false" outlineLevel="0" collapsed="false">
      <c r="A84" s="13"/>
      <c r="B84" s="13"/>
      <c r="C84" s="14"/>
      <c r="D84" s="14"/>
      <c r="E84" s="14"/>
      <c r="F84" s="14"/>
      <c r="G84" s="14"/>
      <c r="H84" s="14"/>
      <c r="I84" s="15"/>
      <c r="J84" s="13"/>
      <c r="K84" s="3"/>
      <c r="L84" s="3"/>
      <c r="M84" s="3"/>
      <c r="N84" s="3"/>
      <c r="O84" s="3"/>
    </row>
    <row r="85" customFormat="false" ht="15" hidden="false" customHeight="false" outlineLevel="0" collapsed="false">
      <c r="A85" s="19"/>
      <c r="B85" s="19"/>
      <c r="C85" s="20"/>
      <c r="D85" s="20"/>
      <c r="E85" s="20"/>
      <c r="F85" s="20"/>
      <c r="G85" s="20"/>
      <c r="H85" s="20"/>
      <c r="I85" s="21"/>
      <c r="J85" s="19"/>
      <c r="K85" s="3"/>
      <c r="L85" s="3"/>
      <c r="M85" s="3"/>
      <c r="N85" s="3"/>
      <c r="O85" s="3"/>
    </row>
    <row r="86" customFormat="false" ht="15" hidden="false" customHeight="false" outlineLevel="0" collapsed="false">
      <c r="A86" s="13"/>
      <c r="B86" s="13"/>
      <c r="C86" s="14"/>
      <c r="D86" s="14"/>
      <c r="E86" s="14"/>
      <c r="F86" s="14"/>
      <c r="G86" s="14"/>
      <c r="H86" s="14"/>
      <c r="I86" s="15"/>
      <c r="J86" s="13"/>
      <c r="K86" s="3"/>
      <c r="L86" s="3"/>
      <c r="M86" s="3"/>
      <c r="N86" s="3"/>
      <c r="O86" s="3"/>
    </row>
    <row r="87" customFormat="false" ht="15" hidden="false" customHeight="false" outlineLevel="0" collapsed="false">
      <c r="A87" s="19"/>
      <c r="B87" s="19"/>
      <c r="C87" s="20"/>
      <c r="D87" s="20"/>
      <c r="E87" s="20"/>
      <c r="F87" s="20"/>
      <c r="G87" s="20"/>
      <c r="H87" s="20"/>
      <c r="I87" s="21"/>
      <c r="J87" s="19"/>
      <c r="K87" s="3"/>
      <c r="L87" s="3"/>
      <c r="M87" s="3"/>
      <c r="N87" s="3"/>
      <c r="O87" s="3"/>
    </row>
    <row r="88" customFormat="false" ht="15" hidden="false" customHeight="false" outlineLevel="0" collapsed="false">
      <c r="A88" s="13"/>
      <c r="B88" s="13"/>
      <c r="C88" s="14"/>
      <c r="D88" s="14"/>
      <c r="E88" s="14"/>
      <c r="F88" s="14"/>
      <c r="G88" s="14"/>
      <c r="H88" s="14"/>
      <c r="I88" s="15"/>
      <c r="J88" s="13"/>
      <c r="K88" s="3"/>
      <c r="L88" s="3"/>
      <c r="M88" s="3"/>
      <c r="N88" s="3"/>
      <c r="O88" s="3"/>
    </row>
    <row r="89" customFormat="false" ht="15" hidden="false" customHeight="false" outlineLevel="0" collapsed="false">
      <c r="A89" s="19"/>
      <c r="B89" s="19"/>
      <c r="C89" s="20"/>
      <c r="D89" s="20"/>
      <c r="E89" s="20"/>
      <c r="F89" s="20"/>
      <c r="G89" s="20"/>
      <c r="H89" s="20"/>
      <c r="I89" s="21"/>
      <c r="J89" s="19"/>
      <c r="K89" s="3"/>
      <c r="L89" s="3"/>
      <c r="M89" s="3"/>
      <c r="N89" s="3"/>
      <c r="O89" s="3"/>
    </row>
    <row r="90" customFormat="false" ht="15" hidden="false" customHeight="false" outlineLevel="0" collapsed="false">
      <c r="A90" s="13"/>
      <c r="B90" s="13"/>
      <c r="C90" s="14"/>
      <c r="D90" s="14"/>
      <c r="E90" s="14"/>
      <c r="F90" s="14"/>
      <c r="G90" s="14"/>
      <c r="H90" s="14"/>
      <c r="I90" s="15"/>
      <c r="J90" s="13"/>
      <c r="K90" s="3"/>
      <c r="L90" s="3"/>
      <c r="M90" s="3"/>
      <c r="N90" s="3"/>
      <c r="O90" s="3"/>
    </row>
    <row r="91" customFormat="false" ht="15" hidden="false" customHeight="false" outlineLevel="0" collapsed="false">
      <c r="A91" s="19"/>
      <c r="B91" s="19"/>
      <c r="C91" s="20"/>
      <c r="D91" s="20"/>
      <c r="E91" s="20"/>
      <c r="F91" s="20"/>
      <c r="G91" s="20"/>
      <c r="H91" s="20"/>
      <c r="I91" s="21"/>
      <c r="J91" s="19"/>
      <c r="K91" s="3"/>
      <c r="L91" s="3"/>
      <c r="M91" s="3"/>
      <c r="N91" s="3"/>
      <c r="O91" s="3"/>
    </row>
    <row r="92" customFormat="false" ht="15" hidden="false" customHeight="false" outlineLevel="0" collapsed="false">
      <c r="A92" s="13"/>
      <c r="B92" s="13"/>
      <c r="C92" s="14"/>
      <c r="D92" s="14"/>
      <c r="E92" s="14"/>
      <c r="F92" s="14"/>
      <c r="G92" s="14"/>
      <c r="H92" s="14"/>
      <c r="I92" s="15"/>
      <c r="J92" s="13"/>
      <c r="K92" s="3"/>
      <c r="L92" s="3"/>
      <c r="M92" s="3"/>
      <c r="N92" s="3"/>
      <c r="O92" s="3"/>
    </row>
    <row r="93" customFormat="false" ht="15" hidden="false" customHeight="false" outlineLevel="0" collapsed="false">
      <c r="A93" s="19"/>
      <c r="B93" s="19"/>
      <c r="C93" s="20"/>
      <c r="D93" s="20"/>
      <c r="E93" s="20"/>
      <c r="F93" s="20"/>
      <c r="G93" s="20"/>
      <c r="H93" s="20"/>
      <c r="I93" s="21"/>
      <c r="J93" s="19"/>
      <c r="K93" s="3"/>
      <c r="L93" s="3"/>
      <c r="M93" s="3"/>
      <c r="N93" s="3"/>
      <c r="O93" s="3"/>
    </row>
    <row r="94" customFormat="false" ht="15" hidden="false" customHeight="false" outlineLevel="0" collapsed="false">
      <c r="A94" s="13"/>
      <c r="B94" s="13"/>
      <c r="C94" s="14"/>
      <c r="D94" s="14"/>
      <c r="E94" s="14"/>
      <c r="F94" s="14"/>
      <c r="G94" s="14"/>
      <c r="H94" s="14"/>
      <c r="I94" s="15"/>
      <c r="J94" s="13"/>
      <c r="K94" s="3"/>
      <c r="L94" s="3"/>
      <c r="M94" s="3"/>
      <c r="N94" s="3"/>
      <c r="O94" s="3"/>
    </row>
    <row r="95" customFormat="false" ht="15" hidden="false" customHeight="false" outlineLevel="0" collapsed="false">
      <c r="A95" s="19"/>
      <c r="B95" s="19"/>
      <c r="C95" s="20"/>
      <c r="D95" s="20"/>
      <c r="E95" s="20"/>
      <c r="F95" s="20"/>
      <c r="G95" s="20"/>
      <c r="H95" s="20"/>
      <c r="I95" s="21"/>
      <c r="J95" s="19"/>
      <c r="K95" s="3"/>
      <c r="L95" s="3"/>
      <c r="M95" s="3"/>
      <c r="N95" s="3"/>
      <c r="O95" s="3"/>
    </row>
    <row r="96" customFormat="false" ht="15" hidden="false" customHeight="false" outlineLevel="0" collapsed="false">
      <c r="A96" s="13"/>
      <c r="B96" s="13"/>
      <c r="C96" s="14"/>
      <c r="D96" s="14"/>
      <c r="E96" s="14"/>
      <c r="F96" s="14"/>
      <c r="G96" s="14"/>
      <c r="H96" s="14"/>
      <c r="I96" s="15"/>
      <c r="J96" s="13"/>
      <c r="K96" s="3"/>
      <c r="L96" s="3"/>
      <c r="M96" s="3"/>
      <c r="N96" s="3"/>
      <c r="O96" s="3"/>
    </row>
    <row r="97" customFormat="false" ht="15" hidden="false" customHeight="false" outlineLevel="0" collapsed="false">
      <c r="A97" s="19"/>
      <c r="B97" s="19"/>
      <c r="C97" s="20"/>
      <c r="D97" s="20"/>
      <c r="E97" s="20"/>
      <c r="F97" s="20"/>
      <c r="G97" s="20"/>
      <c r="H97" s="20"/>
      <c r="I97" s="21"/>
      <c r="J97" s="19"/>
      <c r="K97" s="3"/>
      <c r="L97" s="3"/>
      <c r="M97" s="3"/>
      <c r="N97" s="3"/>
      <c r="O97" s="3"/>
    </row>
    <row r="98" customFormat="false" ht="15" hidden="false" customHeight="false" outlineLevel="0" collapsed="false">
      <c r="A98" s="13"/>
      <c r="B98" s="13"/>
      <c r="C98" s="14"/>
      <c r="D98" s="14"/>
      <c r="E98" s="14"/>
      <c r="F98" s="14"/>
      <c r="G98" s="14"/>
      <c r="H98" s="14"/>
      <c r="I98" s="15"/>
      <c r="J98" s="13"/>
      <c r="K98" s="3"/>
      <c r="L98" s="3"/>
      <c r="M98" s="3"/>
      <c r="N98" s="3"/>
      <c r="O98" s="3"/>
    </row>
    <row r="99" customFormat="false" ht="15" hidden="false" customHeight="false" outlineLevel="0" collapsed="false">
      <c r="A99" s="19"/>
      <c r="B99" s="19"/>
      <c r="C99" s="20"/>
      <c r="D99" s="20"/>
      <c r="E99" s="20"/>
      <c r="F99" s="20"/>
      <c r="G99" s="20"/>
      <c r="H99" s="20"/>
      <c r="I99" s="21"/>
      <c r="J99" s="19"/>
      <c r="K99" s="3"/>
      <c r="L99" s="3"/>
      <c r="M99" s="3"/>
      <c r="N99" s="3"/>
      <c r="O99" s="3"/>
    </row>
    <row r="100" customFormat="false" ht="15" hidden="false" customHeight="false" outlineLevel="0" collapsed="false">
      <c r="A100" s="13"/>
      <c r="B100" s="13"/>
      <c r="C100" s="14"/>
      <c r="D100" s="14"/>
      <c r="E100" s="14"/>
      <c r="F100" s="14"/>
      <c r="G100" s="14"/>
      <c r="H100" s="14"/>
      <c r="I100" s="15"/>
      <c r="J100" s="13"/>
      <c r="K100" s="3"/>
      <c r="L100" s="3"/>
      <c r="M100" s="3"/>
      <c r="N100" s="3"/>
      <c r="O100" s="3"/>
    </row>
    <row r="101" customFormat="false" ht="15" hidden="false" customHeight="false" outlineLevel="0" collapsed="false">
      <c r="A101" s="19"/>
      <c r="B101" s="19"/>
      <c r="C101" s="20"/>
      <c r="D101" s="20"/>
      <c r="E101" s="20"/>
      <c r="F101" s="20"/>
      <c r="G101" s="20"/>
      <c r="H101" s="20"/>
      <c r="I101" s="21"/>
      <c r="J101" s="19"/>
      <c r="K101" s="3"/>
      <c r="L101" s="3"/>
      <c r="M101" s="3"/>
      <c r="N101" s="3"/>
      <c r="O101" s="3"/>
    </row>
    <row r="102" customFormat="false" ht="15" hidden="false" customHeight="false" outlineLevel="0" collapsed="false">
      <c r="A102" s="13"/>
      <c r="B102" s="13"/>
      <c r="C102" s="14"/>
      <c r="D102" s="14"/>
      <c r="E102" s="14"/>
      <c r="F102" s="14"/>
      <c r="G102" s="14"/>
      <c r="H102" s="14"/>
      <c r="I102" s="15"/>
      <c r="J102" s="13"/>
      <c r="K102" s="3"/>
      <c r="L102" s="3"/>
      <c r="M102" s="3"/>
      <c r="N102" s="3"/>
      <c r="O102" s="3"/>
    </row>
    <row r="103" customFormat="false" ht="15" hidden="false" customHeight="false" outlineLevel="0" collapsed="false">
      <c r="A103" s="19"/>
      <c r="B103" s="19"/>
      <c r="C103" s="20"/>
      <c r="D103" s="20"/>
      <c r="E103" s="20"/>
      <c r="F103" s="20"/>
      <c r="G103" s="20"/>
      <c r="H103" s="20"/>
      <c r="I103" s="21"/>
      <c r="J103" s="19"/>
      <c r="K103" s="3"/>
      <c r="L103" s="3"/>
      <c r="M103" s="3"/>
      <c r="N103" s="3"/>
      <c r="O103" s="3"/>
    </row>
    <row r="104" customFormat="false" ht="15" hidden="false" customHeight="false" outlineLevel="0" collapsed="false">
      <c r="A104" s="13"/>
      <c r="B104" s="13"/>
      <c r="C104" s="14"/>
      <c r="D104" s="14"/>
      <c r="E104" s="14"/>
      <c r="F104" s="14"/>
      <c r="G104" s="14"/>
      <c r="H104" s="14"/>
      <c r="I104" s="15"/>
      <c r="J104" s="13"/>
      <c r="K104" s="3"/>
      <c r="L104" s="3"/>
      <c r="M104" s="3"/>
      <c r="N104" s="3"/>
      <c r="O104" s="3"/>
    </row>
    <row r="105" customFormat="false" ht="15" hidden="false" customHeight="false" outlineLevel="0" collapsed="false">
      <c r="A105" s="19"/>
      <c r="B105" s="19"/>
      <c r="C105" s="20"/>
      <c r="D105" s="20"/>
      <c r="E105" s="20"/>
      <c r="F105" s="20"/>
      <c r="G105" s="20"/>
      <c r="H105" s="20"/>
      <c r="I105" s="21"/>
      <c r="J105" s="19"/>
      <c r="K105" s="3"/>
      <c r="L105" s="3"/>
      <c r="M105" s="3"/>
      <c r="N105" s="3"/>
      <c r="O105" s="3"/>
    </row>
    <row r="106" customFormat="false" ht="15" hidden="false" customHeight="false" outlineLevel="0" collapsed="false">
      <c r="A106" s="13"/>
      <c r="B106" s="13"/>
      <c r="C106" s="14"/>
      <c r="D106" s="14"/>
      <c r="E106" s="14"/>
      <c r="F106" s="14"/>
      <c r="G106" s="14"/>
      <c r="H106" s="14"/>
      <c r="I106" s="15"/>
      <c r="J106" s="13"/>
      <c r="K106" s="3"/>
      <c r="L106" s="3"/>
      <c r="M106" s="3"/>
      <c r="N106" s="3"/>
      <c r="O106" s="3"/>
    </row>
    <row r="107" customFormat="false" ht="15" hidden="false" customHeight="false" outlineLevel="0" collapsed="false">
      <c r="A107" s="19"/>
      <c r="B107" s="19"/>
      <c r="C107" s="20"/>
      <c r="D107" s="20"/>
      <c r="E107" s="20"/>
      <c r="F107" s="20"/>
      <c r="G107" s="20"/>
      <c r="H107" s="20"/>
      <c r="I107" s="21"/>
      <c r="J107" s="19"/>
      <c r="K107" s="3"/>
      <c r="L107" s="3"/>
      <c r="M107" s="3"/>
      <c r="N107" s="3"/>
      <c r="O107" s="3"/>
    </row>
    <row r="108" customFormat="false" ht="15" hidden="false" customHeight="false" outlineLevel="0" collapsed="false">
      <c r="A108" s="13"/>
      <c r="B108" s="13"/>
      <c r="C108" s="14"/>
      <c r="D108" s="14"/>
      <c r="E108" s="14"/>
      <c r="F108" s="14"/>
      <c r="G108" s="14"/>
      <c r="H108" s="14"/>
      <c r="I108" s="15"/>
      <c r="J108" s="13"/>
      <c r="K108" s="3"/>
      <c r="L108" s="3"/>
      <c r="M108" s="3"/>
      <c r="N108" s="3"/>
      <c r="O108" s="3"/>
    </row>
    <row r="109" customFormat="false" ht="15" hidden="false" customHeight="false" outlineLevel="0" collapsed="false">
      <c r="A109" s="19"/>
      <c r="B109" s="19"/>
      <c r="C109" s="20"/>
      <c r="D109" s="20"/>
      <c r="E109" s="20"/>
      <c r="F109" s="20"/>
      <c r="G109" s="20"/>
      <c r="H109" s="20"/>
      <c r="I109" s="21"/>
      <c r="J109" s="19"/>
      <c r="K109" s="3"/>
      <c r="L109" s="3"/>
      <c r="M109" s="3"/>
      <c r="N109" s="3"/>
      <c r="O109" s="3"/>
    </row>
    <row r="110" customFormat="false" ht="15" hidden="false" customHeight="false" outlineLevel="0" collapsed="false">
      <c r="A110" s="13"/>
      <c r="B110" s="13"/>
      <c r="C110" s="14"/>
      <c r="D110" s="14"/>
      <c r="E110" s="14"/>
      <c r="F110" s="14"/>
      <c r="G110" s="14"/>
      <c r="H110" s="14"/>
      <c r="I110" s="15"/>
      <c r="J110" s="13"/>
      <c r="K110" s="3"/>
      <c r="L110" s="3"/>
      <c r="M110" s="3"/>
      <c r="N110" s="3"/>
      <c r="O110" s="3"/>
    </row>
    <row r="111" customFormat="false" ht="15" hidden="false" customHeight="false" outlineLevel="0" collapsed="false">
      <c r="A111" s="19"/>
      <c r="B111" s="19"/>
      <c r="C111" s="20"/>
      <c r="D111" s="20"/>
      <c r="E111" s="20"/>
      <c r="F111" s="20"/>
      <c r="G111" s="20"/>
      <c r="H111" s="20"/>
      <c r="I111" s="21"/>
      <c r="J111" s="19"/>
      <c r="K111" s="3"/>
      <c r="L111" s="3"/>
      <c r="M111" s="3"/>
      <c r="N111" s="3"/>
      <c r="O111" s="3"/>
    </row>
    <row r="112" customFormat="false" ht="15" hidden="false" customHeight="false" outlineLevel="0" collapsed="false">
      <c r="A112" s="13"/>
      <c r="B112" s="13"/>
      <c r="C112" s="14"/>
      <c r="D112" s="14"/>
      <c r="E112" s="14"/>
      <c r="F112" s="14"/>
      <c r="G112" s="14"/>
      <c r="H112" s="14"/>
      <c r="I112" s="15"/>
      <c r="J112" s="13"/>
      <c r="K112" s="3"/>
      <c r="L112" s="3"/>
      <c r="M112" s="3"/>
      <c r="N112" s="3"/>
      <c r="O112" s="3"/>
    </row>
    <row r="113" customFormat="false" ht="15" hidden="false" customHeight="false" outlineLevel="0" collapsed="false">
      <c r="A113" s="19"/>
      <c r="B113" s="19"/>
      <c r="C113" s="20"/>
      <c r="D113" s="20"/>
      <c r="E113" s="20"/>
      <c r="F113" s="20"/>
      <c r="G113" s="20"/>
      <c r="H113" s="20"/>
      <c r="I113" s="21"/>
      <c r="J113" s="19"/>
      <c r="K113" s="3"/>
      <c r="L113" s="3"/>
      <c r="M113" s="3"/>
      <c r="N113" s="3"/>
      <c r="O113" s="3"/>
    </row>
    <row r="114" customFormat="false" ht="15" hidden="false" customHeight="false" outlineLevel="0" collapsed="false">
      <c r="A114" s="13"/>
      <c r="B114" s="13"/>
      <c r="C114" s="14"/>
      <c r="D114" s="14"/>
      <c r="E114" s="14"/>
      <c r="F114" s="14"/>
      <c r="G114" s="14"/>
      <c r="H114" s="14"/>
      <c r="I114" s="15"/>
      <c r="J114" s="13"/>
      <c r="K114" s="3"/>
      <c r="L114" s="3"/>
      <c r="M114" s="3"/>
      <c r="N114" s="3"/>
      <c r="O114" s="3"/>
    </row>
    <row r="115" customFormat="false" ht="15" hidden="false" customHeight="false" outlineLevel="0" collapsed="false">
      <c r="A115" s="19"/>
      <c r="B115" s="19"/>
      <c r="C115" s="20"/>
      <c r="D115" s="20"/>
      <c r="E115" s="20"/>
      <c r="F115" s="20"/>
      <c r="G115" s="20"/>
      <c r="H115" s="20"/>
      <c r="I115" s="21"/>
      <c r="J115" s="19"/>
      <c r="K115" s="3"/>
      <c r="L115" s="3"/>
      <c r="M115" s="3"/>
      <c r="N115" s="3"/>
      <c r="O115" s="3"/>
    </row>
    <row r="116" customFormat="false" ht="15" hidden="false" customHeight="false" outlineLevel="0" collapsed="false">
      <c r="A116" s="13"/>
      <c r="B116" s="13"/>
      <c r="C116" s="14"/>
      <c r="D116" s="14"/>
      <c r="E116" s="14"/>
      <c r="F116" s="14"/>
      <c r="G116" s="14"/>
      <c r="H116" s="14"/>
      <c r="I116" s="15"/>
      <c r="J116" s="13"/>
      <c r="K116" s="3"/>
      <c r="L116" s="3"/>
      <c r="M116" s="3"/>
      <c r="N116" s="3"/>
      <c r="O116" s="3"/>
    </row>
    <row r="117" customFormat="false" ht="15" hidden="false" customHeight="false" outlineLevel="0" collapsed="false">
      <c r="A117" s="19"/>
      <c r="B117" s="19"/>
      <c r="C117" s="20"/>
      <c r="D117" s="20"/>
      <c r="E117" s="20"/>
      <c r="F117" s="20"/>
      <c r="G117" s="20"/>
      <c r="H117" s="20"/>
      <c r="I117" s="21"/>
      <c r="J117" s="19"/>
      <c r="K117" s="3"/>
      <c r="L117" s="3"/>
      <c r="M117" s="3"/>
      <c r="N117" s="3"/>
      <c r="O117" s="3"/>
    </row>
    <row r="118" customFormat="false" ht="15" hidden="false" customHeight="false" outlineLevel="0" collapsed="false">
      <c r="A118" s="13"/>
      <c r="B118" s="13"/>
      <c r="C118" s="14"/>
      <c r="D118" s="14"/>
      <c r="E118" s="14"/>
      <c r="F118" s="14"/>
      <c r="G118" s="14"/>
      <c r="H118" s="14"/>
      <c r="I118" s="15"/>
      <c r="J118" s="13"/>
      <c r="K118" s="3"/>
      <c r="L118" s="3"/>
      <c r="M118" s="3"/>
      <c r="N118" s="3"/>
      <c r="O118" s="3"/>
    </row>
    <row r="119" customFormat="false" ht="15" hidden="false" customHeight="false" outlineLevel="0" collapsed="false">
      <c r="A119" s="19"/>
      <c r="B119" s="19"/>
      <c r="C119" s="20"/>
      <c r="D119" s="20"/>
      <c r="E119" s="20"/>
      <c r="F119" s="20"/>
      <c r="G119" s="20"/>
      <c r="H119" s="20"/>
      <c r="I119" s="21"/>
      <c r="J119" s="19"/>
      <c r="K119" s="3"/>
      <c r="L119" s="3"/>
      <c r="M119" s="3"/>
      <c r="N119" s="3"/>
      <c r="O119" s="3"/>
    </row>
    <row r="120" customFormat="false" ht="15" hidden="false" customHeight="false" outlineLevel="0" collapsed="false">
      <c r="A120" s="13"/>
      <c r="B120" s="13"/>
      <c r="C120" s="14"/>
      <c r="D120" s="14"/>
      <c r="E120" s="14"/>
      <c r="F120" s="14"/>
      <c r="G120" s="14"/>
      <c r="H120" s="14"/>
      <c r="I120" s="15"/>
      <c r="J120" s="13"/>
      <c r="K120" s="3"/>
      <c r="L120" s="3"/>
      <c r="M120" s="3"/>
      <c r="N120" s="3"/>
      <c r="O120" s="3"/>
    </row>
    <row r="121" customFormat="false" ht="15" hidden="false" customHeight="false" outlineLevel="0" collapsed="false">
      <c r="A121" s="19"/>
      <c r="B121" s="19"/>
      <c r="C121" s="20"/>
      <c r="D121" s="20"/>
      <c r="E121" s="20"/>
      <c r="F121" s="20"/>
      <c r="G121" s="20"/>
      <c r="H121" s="20"/>
      <c r="I121" s="21"/>
      <c r="J121" s="19"/>
      <c r="K121" s="3"/>
      <c r="L121" s="3"/>
      <c r="M121" s="3"/>
      <c r="N121" s="3"/>
      <c r="O121" s="3"/>
    </row>
    <row r="122" customFormat="false" ht="15" hidden="false" customHeight="false" outlineLevel="0" collapsed="false">
      <c r="A122" s="13"/>
      <c r="B122" s="13"/>
      <c r="C122" s="14"/>
      <c r="D122" s="14"/>
      <c r="E122" s="14"/>
      <c r="F122" s="14"/>
      <c r="G122" s="14"/>
      <c r="H122" s="14"/>
      <c r="I122" s="15"/>
      <c r="J122" s="13"/>
      <c r="K122" s="3"/>
      <c r="L122" s="3"/>
      <c r="M122" s="3"/>
      <c r="N122" s="3"/>
      <c r="O122" s="3"/>
    </row>
    <row r="123" customFormat="false" ht="15" hidden="false" customHeight="false" outlineLevel="0" collapsed="false">
      <c r="A123" s="19"/>
      <c r="B123" s="19"/>
      <c r="C123" s="20"/>
      <c r="D123" s="20"/>
      <c r="E123" s="20"/>
      <c r="F123" s="20"/>
      <c r="G123" s="20"/>
      <c r="H123" s="20"/>
      <c r="I123" s="21"/>
      <c r="J123" s="19"/>
      <c r="K123" s="3"/>
      <c r="L123" s="3"/>
      <c r="M123" s="3"/>
      <c r="N123" s="3"/>
      <c r="O123" s="3"/>
    </row>
    <row r="124" customFormat="false" ht="15" hidden="false" customHeight="false" outlineLevel="0" collapsed="false">
      <c r="A124" s="13"/>
      <c r="B124" s="13"/>
      <c r="C124" s="14"/>
      <c r="D124" s="14"/>
      <c r="E124" s="14"/>
      <c r="F124" s="14"/>
      <c r="G124" s="14"/>
      <c r="H124" s="14"/>
      <c r="I124" s="15"/>
      <c r="J124" s="13"/>
      <c r="K124" s="3"/>
      <c r="L124" s="3"/>
      <c r="M124" s="3"/>
      <c r="N124" s="3"/>
      <c r="O124" s="3"/>
    </row>
    <row r="125" customFormat="false" ht="15" hidden="false" customHeight="false" outlineLevel="0" collapsed="false">
      <c r="A125" s="19"/>
      <c r="B125" s="19"/>
      <c r="C125" s="20"/>
      <c r="D125" s="20"/>
      <c r="E125" s="20"/>
      <c r="F125" s="20"/>
      <c r="G125" s="20"/>
      <c r="H125" s="20"/>
      <c r="I125" s="21"/>
      <c r="J125" s="19"/>
      <c r="K125" s="3"/>
      <c r="L125" s="3"/>
      <c r="M125" s="3"/>
      <c r="N125" s="3"/>
      <c r="O125" s="3"/>
    </row>
    <row r="126" customFormat="false" ht="15" hidden="false" customHeight="false" outlineLevel="0" collapsed="false">
      <c r="A126" s="13"/>
      <c r="B126" s="13"/>
      <c r="C126" s="14"/>
      <c r="D126" s="14"/>
      <c r="E126" s="14"/>
      <c r="F126" s="14"/>
      <c r="G126" s="14"/>
      <c r="H126" s="14"/>
      <c r="I126" s="15"/>
      <c r="J126" s="13"/>
      <c r="K126" s="3"/>
      <c r="L126" s="3"/>
      <c r="M126" s="3"/>
      <c r="N126" s="3"/>
      <c r="O126" s="3"/>
    </row>
    <row r="127" customFormat="false" ht="15" hidden="false" customHeight="false" outlineLevel="0" collapsed="false">
      <c r="A127" s="19"/>
      <c r="B127" s="19"/>
      <c r="C127" s="20"/>
      <c r="D127" s="20"/>
      <c r="E127" s="20"/>
      <c r="F127" s="20"/>
      <c r="G127" s="20"/>
      <c r="H127" s="20"/>
      <c r="I127" s="21"/>
      <c r="J127" s="19"/>
      <c r="K127" s="3"/>
      <c r="L127" s="3"/>
      <c r="M127" s="3"/>
      <c r="N127" s="3"/>
      <c r="O127" s="3"/>
    </row>
    <row r="128" customFormat="false" ht="15" hidden="false" customHeight="false" outlineLevel="0" collapsed="false">
      <c r="A128" s="13"/>
      <c r="B128" s="13"/>
      <c r="C128" s="14"/>
      <c r="D128" s="14"/>
      <c r="E128" s="14"/>
      <c r="F128" s="14"/>
      <c r="G128" s="14"/>
      <c r="H128" s="14"/>
      <c r="I128" s="15"/>
      <c r="J128" s="13"/>
      <c r="K128" s="3"/>
      <c r="L128" s="3"/>
      <c r="M128" s="3"/>
      <c r="N128" s="3"/>
      <c r="O128" s="3"/>
    </row>
    <row r="129" customFormat="false" ht="15" hidden="false" customHeight="false" outlineLevel="0" collapsed="false">
      <c r="A129" s="19"/>
      <c r="B129" s="19"/>
      <c r="C129" s="20"/>
      <c r="D129" s="20"/>
      <c r="E129" s="20"/>
      <c r="F129" s="20"/>
      <c r="G129" s="20"/>
      <c r="H129" s="20"/>
      <c r="I129" s="21"/>
      <c r="J129" s="19"/>
      <c r="K129" s="3"/>
      <c r="L129" s="3"/>
      <c r="M129" s="3"/>
      <c r="N129" s="3"/>
      <c r="O129" s="3"/>
    </row>
    <row r="130" customFormat="false" ht="15" hidden="false" customHeight="false" outlineLevel="0" collapsed="false">
      <c r="A130" s="13"/>
      <c r="B130" s="13"/>
      <c r="C130" s="14"/>
      <c r="D130" s="14"/>
      <c r="E130" s="14"/>
      <c r="F130" s="14"/>
      <c r="G130" s="14"/>
      <c r="H130" s="14"/>
      <c r="I130" s="15"/>
      <c r="J130" s="13"/>
      <c r="K130" s="3"/>
      <c r="L130" s="3"/>
      <c r="M130" s="3"/>
      <c r="N130" s="3"/>
      <c r="O130" s="3"/>
    </row>
    <row r="131" customFormat="false" ht="15" hidden="false" customHeight="false" outlineLevel="0" collapsed="false">
      <c r="A131" s="19"/>
      <c r="B131" s="19"/>
      <c r="C131" s="20"/>
      <c r="D131" s="20"/>
      <c r="E131" s="20"/>
      <c r="F131" s="20"/>
      <c r="G131" s="20"/>
      <c r="H131" s="20"/>
      <c r="I131" s="21"/>
      <c r="J131" s="19"/>
      <c r="K131" s="3"/>
      <c r="L131" s="3"/>
      <c r="M131" s="3"/>
      <c r="N131" s="3"/>
      <c r="O131" s="3"/>
    </row>
    <row r="132" customFormat="false" ht="15" hidden="false" customHeight="false" outlineLevel="0" collapsed="false">
      <c r="A132" s="13"/>
      <c r="B132" s="13"/>
      <c r="C132" s="14"/>
      <c r="D132" s="14"/>
      <c r="E132" s="14"/>
      <c r="F132" s="14"/>
      <c r="G132" s="14"/>
      <c r="H132" s="14"/>
      <c r="I132" s="15"/>
      <c r="J132" s="13"/>
      <c r="K132" s="3"/>
      <c r="L132" s="3"/>
      <c r="M132" s="3"/>
      <c r="N132" s="3"/>
      <c r="O132" s="3"/>
    </row>
    <row r="133" customFormat="false" ht="15" hidden="false" customHeight="false" outlineLevel="0" collapsed="false">
      <c r="A133" s="19"/>
      <c r="B133" s="19"/>
      <c r="C133" s="20"/>
      <c r="D133" s="20"/>
      <c r="E133" s="20"/>
      <c r="F133" s="20"/>
      <c r="G133" s="20"/>
      <c r="H133" s="20"/>
      <c r="I133" s="21"/>
      <c r="J133" s="19"/>
      <c r="K133" s="3"/>
      <c r="L133" s="3"/>
      <c r="M133" s="3"/>
      <c r="N133" s="3"/>
      <c r="O133" s="3"/>
    </row>
    <row r="134" customFormat="false" ht="15" hidden="false" customHeight="false" outlineLevel="0" collapsed="false">
      <c r="A134" s="13"/>
      <c r="B134" s="13"/>
      <c r="C134" s="14"/>
      <c r="D134" s="14"/>
      <c r="E134" s="14"/>
      <c r="F134" s="14"/>
      <c r="G134" s="14"/>
      <c r="H134" s="14"/>
      <c r="I134" s="15"/>
      <c r="J134" s="13"/>
      <c r="K134" s="3"/>
      <c r="L134" s="3"/>
      <c r="M134" s="3"/>
      <c r="N134" s="3"/>
      <c r="O134" s="3"/>
    </row>
    <row r="135" customFormat="false" ht="15" hidden="false" customHeight="false" outlineLevel="0" collapsed="false">
      <c r="A135" s="19"/>
      <c r="B135" s="19"/>
      <c r="C135" s="20"/>
      <c r="D135" s="20"/>
      <c r="E135" s="20"/>
      <c r="F135" s="20"/>
      <c r="G135" s="20"/>
      <c r="H135" s="20"/>
      <c r="I135" s="21"/>
      <c r="J135" s="19"/>
      <c r="K135" s="3"/>
      <c r="L135" s="3"/>
      <c r="M135" s="3"/>
      <c r="N135" s="3"/>
      <c r="O135" s="3"/>
    </row>
    <row r="136" customFormat="false" ht="15" hidden="false" customHeight="false" outlineLevel="0" collapsed="false">
      <c r="A136" s="13"/>
      <c r="B136" s="13"/>
      <c r="C136" s="14"/>
      <c r="D136" s="14"/>
      <c r="E136" s="14"/>
      <c r="F136" s="14"/>
      <c r="G136" s="14"/>
      <c r="H136" s="14"/>
      <c r="I136" s="15"/>
      <c r="J136" s="13"/>
      <c r="K136" s="3"/>
      <c r="L136" s="3"/>
      <c r="M136" s="3"/>
      <c r="N136" s="3"/>
      <c r="O136" s="3"/>
    </row>
    <row r="137" customFormat="false" ht="15" hidden="false" customHeight="false" outlineLevel="0" collapsed="false">
      <c r="A137" s="19"/>
      <c r="B137" s="19"/>
      <c r="C137" s="20"/>
      <c r="D137" s="20"/>
      <c r="E137" s="20"/>
      <c r="F137" s="20"/>
      <c r="G137" s="20"/>
      <c r="H137" s="20"/>
      <c r="I137" s="21"/>
      <c r="J137" s="19"/>
      <c r="K137" s="3"/>
      <c r="L137" s="3"/>
      <c r="M137" s="3"/>
      <c r="N137" s="3"/>
      <c r="O137" s="3"/>
    </row>
    <row r="138" customFormat="false" ht="15" hidden="false" customHeight="false" outlineLevel="0" collapsed="false">
      <c r="A138" s="13"/>
      <c r="B138" s="13"/>
      <c r="C138" s="14"/>
      <c r="D138" s="14"/>
      <c r="E138" s="14"/>
      <c r="F138" s="14"/>
      <c r="G138" s="14"/>
      <c r="H138" s="14"/>
      <c r="I138" s="15"/>
      <c r="J138" s="13"/>
      <c r="K138" s="3"/>
      <c r="L138" s="3"/>
      <c r="M138" s="3"/>
      <c r="N138" s="3"/>
      <c r="O138" s="3"/>
    </row>
    <row r="139" customFormat="false" ht="15" hidden="false" customHeight="false" outlineLevel="0" collapsed="false">
      <c r="A139" s="19"/>
      <c r="B139" s="19"/>
      <c r="C139" s="20"/>
      <c r="D139" s="20"/>
      <c r="E139" s="20"/>
      <c r="F139" s="20"/>
      <c r="G139" s="20"/>
      <c r="H139" s="20"/>
      <c r="I139" s="21"/>
      <c r="J139" s="19"/>
      <c r="K139" s="3"/>
      <c r="L139" s="3"/>
      <c r="M139" s="3"/>
      <c r="N139" s="3"/>
      <c r="O139" s="3"/>
    </row>
    <row r="140" customFormat="false" ht="15" hidden="false" customHeight="false" outlineLevel="0" collapsed="false">
      <c r="A140" s="13"/>
      <c r="B140" s="13"/>
      <c r="C140" s="14"/>
      <c r="D140" s="14"/>
      <c r="E140" s="14"/>
      <c r="F140" s="14"/>
      <c r="G140" s="14"/>
      <c r="H140" s="14"/>
      <c r="I140" s="15"/>
      <c r="J140" s="13"/>
      <c r="K140" s="3"/>
      <c r="L140" s="3"/>
      <c r="M140" s="3"/>
      <c r="N140" s="3"/>
      <c r="O140" s="3"/>
    </row>
    <row r="141" customFormat="false" ht="15" hidden="false" customHeight="false" outlineLevel="0" collapsed="false">
      <c r="A141" s="19"/>
      <c r="B141" s="19"/>
      <c r="C141" s="20"/>
      <c r="D141" s="20"/>
      <c r="E141" s="20"/>
      <c r="F141" s="20"/>
      <c r="G141" s="20"/>
      <c r="H141" s="20"/>
      <c r="I141" s="21"/>
      <c r="J141" s="19"/>
      <c r="K141" s="3"/>
      <c r="L141" s="3"/>
      <c r="M141" s="3"/>
      <c r="N141" s="3"/>
      <c r="O141" s="3"/>
    </row>
    <row r="142" customFormat="false" ht="15" hidden="false" customHeight="false" outlineLevel="0" collapsed="false">
      <c r="A142" s="13"/>
      <c r="B142" s="13"/>
      <c r="C142" s="14"/>
      <c r="D142" s="14"/>
      <c r="E142" s="14"/>
      <c r="F142" s="14"/>
      <c r="G142" s="14"/>
      <c r="H142" s="14"/>
      <c r="I142" s="15"/>
      <c r="J142" s="13"/>
      <c r="K142" s="3"/>
      <c r="L142" s="3"/>
      <c r="M142" s="3"/>
      <c r="N142" s="3"/>
      <c r="O142" s="3"/>
    </row>
    <row r="143" customFormat="false" ht="15" hidden="false" customHeight="false" outlineLevel="0" collapsed="false">
      <c r="A143" s="19"/>
      <c r="B143" s="19"/>
      <c r="C143" s="20"/>
      <c r="D143" s="20"/>
      <c r="E143" s="20"/>
      <c r="F143" s="20"/>
      <c r="G143" s="20"/>
      <c r="H143" s="20"/>
      <c r="I143" s="21"/>
      <c r="J143" s="19"/>
      <c r="K143" s="3"/>
      <c r="L143" s="3"/>
      <c r="M143" s="3"/>
      <c r="N143" s="3"/>
      <c r="O143" s="3"/>
    </row>
    <row r="144" customFormat="false" ht="15" hidden="false" customHeight="false" outlineLevel="0" collapsed="false">
      <c r="A144" s="13"/>
      <c r="B144" s="13"/>
      <c r="C144" s="14"/>
      <c r="D144" s="14"/>
      <c r="E144" s="14"/>
      <c r="F144" s="14"/>
      <c r="G144" s="14"/>
      <c r="H144" s="14"/>
      <c r="I144" s="15"/>
      <c r="J144" s="13"/>
      <c r="K144" s="3"/>
      <c r="L144" s="3"/>
      <c r="M144" s="3"/>
      <c r="N144" s="3"/>
      <c r="O144" s="3"/>
    </row>
    <row r="145" customFormat="false" ht="15" hidden="false" customHeight="false" outlineLevel="0" collapsed="false">
      <c r="A145" s="19"/>
      <c r="B145" s="19"/>
      <c r="C145" s="20"/>
      <c r="D145" s="20"/>
      <c r="E145" s="20"/>
      <c r="F145" s="20"/>
      <c r="G145" s="20"/>
      <c r="H145" s="20"/>
      <c r="I145" s="21"/>
      <c r="J145" s="19"/>
      <c r="K145" s="3"/>
      <c r="L145" s="3"/>
      <c r="M145" s="3"/>
      <c r="N145" s="3"/>
      <c r="O145" s="3"/>
    </row>
    <row r="146" customFormat="false" ht="15" hidden="false" customHeight="false" outlineLevel="0" collapsed="false">
      <c r="A146" s="13"/>
      <c r="B146" s="13"/>
      <c r="C146" s="14"/>
      <c r="D146" s="14"/>
      <c r="E146" s="14"/>
      <c r="F146" s="14"/>
      <c r="G146" s="14"/>
      <c r="H146" s="14"/>
      <c r="I146" s="15"/>
      <c r="J146" s="13"/>
      <c r="K146" s="3"/>
      <c r="L146" s="3"/>
      <c r="M146" s="3"/>
      <c r="N146" s="3"/>
      <c r="O146" s="3"/>
    </row>
    <row r="147" customFormat="false" ht="15" hidden="false" customHeight="false" outlineLevel="0" collapsed="false">
      <c r="A147" s="19"/>
      <c r="B147" s="19"/>
      <c r="C147" s="20"/>
      <c r="D147" s="20"/>
      <c r="E147" s="20"/>
      <c r="F147" s="20"/>
      <c r="G147" s="20"/>
      <c r="H147" s="20"/>
      <c r="I147" s="21"/>
      <c r="J147" s="19"/>
      <c r="K147" s="3"/>
      <c r="L147" s="3"/>
      <c r="M147" s="3"/>
      <c r="N147" s="3"/>
      <c r="O147" s="3"/>
    </row>
    <row r="148" customFormat="false" ht="15" hidden="false" customHeight="false" outlineLevel="0" collapsed="false">
      <c r="A148" s="13"/>
      <c r="B148" s="13"/>
      <c r="C148" s="14"/>
      <c r="D148" s="14"/>
      <c r="E148" s="14"/>
      <c r="F148" s="14"/>
      <c r="G148" s="14"/>
      <c r="H148" s="14"/>
      <c r="I148" s="15"/>
      <c r="J148" s="13"/>
      <c r="K148" s="3"/>
      <c r="L148" s="3"/>
      <c r="M148" s="3"/>
      <c r="N148" s="3"/>
      <c r="O148" s="3"/>
    </row>
    <row r="149" customFormat="false" ht="15" hidden="false" customHeight="false" outlineLevel="0" collapsed="false">
      <c r="A149" s="19"/>
      <c r="B149" s="19"/>
      <c r="C149" s="20"/>
      <c r="D149" s="20"/>
      <c r="E149" s="20"/>
      <c r="F149" s="20"/>
      <c r="G149" s="20"/>
      <c r="H149" s="20"/>
      <c r="I149" s="21"/>
      <c r="J149" s="19"/>
      <c r="K149" s="3"/>
      <c r="L149" s="3"/>
      <c r="M149" s="3"/>
      <c r="N149" s="3"/>
      <c r="O149" s="3"/>
    </row>
    <row r="150" customFormat="false" ht="15" hidden="false" customHeight="false" outlineLevel="0" collapsed="false">
      <c r="A150" s="13"/>
      <c r="B150" s="13"/>
      <c r="C150" s="14"/>
      <c r="D150" s="14"/>
      <c r="E150" s="14"/>
      <c r="F150" s="14"/>
      <c r="G150" s="14"/>
      <c r="H150" s="14"/>
      <c r="I150" s="15"/>
      <c r="J150" s="13"/>
      <c r="K150" s="3"/>
      <c r="L150" s="3"/>
      <c r="M150" s="3"/>
      <c r="N150" s="3"/>
      <c r="O150" s="3"/>
    </row>
    <row r="151" customFormat="false" ht="15" hidden="false" customHeight="false" outlineLevel="0" collapsed="false">
      <c r="A151" s="19"/>
      <c r="B151" s="19"/>
      <c r="C151" s="20"/>
      <c r="D151" s="20"/>
      <c r="E151" s="20"/>
      <c r="F151" s="20"/>
      <c r="G151" s="20"/>
      <c r="H151" s="20"/>
      <c r="I151" s="21"/>
      <c r="J151" s="19"/>
      <c r="K151" s="3"/>
      <c r="L151" s="3"/>
      <c r="M151" s="3"/>
      <c r="N151" s="3"/>
      <c r="O151" s="3"/>
    </row>
    <row r="152" customFormat="false" ht="15" hidden="false" customHeight="false" outlineLevel="0" collapsed="false">
      <c r="A152" s="13"/>
      <c r="B152" s="13"/>
      <c r="C152" s="14"/>
      <c r="D152" s="14"/>
      <c r="E152" s="14"/>
      <c r="F152" s="14"/>
      <c r="G152" s="14"/>
      <c r="H152" s="14"/>
      <c r="I152" s="15"/>
      <c r="J152" s="13"/>
      <c r="K152" s="3"/>
      <c r="L152" s="3"/>
      <c r="M152" s="3"/>
      <c r="N152" s="3"/>
      <c r="O152" s="3"/>
    </row>
    <row r="153" customFormat="false" ht="15" hidden="false" customHeight="false" outlineLevel="0" collapsed="false">
      <c r="A153" s="19"/>
      <c r="B153" s="19"/>
      <c r="C153" s="20"/>
      <c r="D153" s="20"/>
      <c r="E153" s="20"/>
      <c r="F153" s="20"/>
      <c r="G153" s="20"/>
      <c r="H153" s="20"/>
      <c r="I153" s="21"/>
      <c r="J153" s="19"/>
      <c r="K153" s="3"/>
      <c r="L153" s="3"/>
      <c r="M153" s="3"/>
      <c r="N153" s="3"/>
      <c r="O153" s="3"/>
    </row>
    <row r="154" customFormat="false" ht="15" hidden="false" customHeight="false" outlineLevel="0" collapsed="false">
      <c r="A154" s="13"/>
      <c r="B154" s="13"/>
      <c r="C154" s="14"/>
      <c r="D154" s="14"/>
      <c r="E154" s="14"/>
      <c r="F154" s="14"/>
      <c r="G154" s="14"/>
      <c r="H154" s="14"/>
      <c r="I154" s="15"/>
      <c r="J154" s="13"/>
      <c r="K154" s="3"/>
      <c r="L154" s="3"/>
      <c r="M154" s="3"/>
      <c r="N154" s="3"/>
      <c r="O154" s="3"/>
    </row>
    <row r="155" customFormat="false" ht="15" hidden="false" customHeight="false" outlineLevel="0" collapsed="false">
      <c r="A155" s="19"/>
      <c r="B155" s="19"/>
      <c r="C155" s="20"/>
      <c r="D155" s="20"/>
      <c r="E155" s="20"/>
      <c r="F155" s="20"/>
      <c r="G155" s="20"/>
      <c r="H155" s="20"/>
      <c r="I155" s="21"/>
      <c r="J155" s="19"/>
      <c r="K155" s="3"/>
      <c r="L155" s="3"/>
      <c r="M155" s="3"/>
      <c r="N155" s="3"/>
      <c r="O155" s="3"/>
    </row>
    <row r="156" customFormat="false" ht="15" hidden="false" customHeight="false" outlineLevel="0" collapsed="false">
      <c r="A156" s="13"/>
      <c r="B156" s="13"/>
      <c r="C156" s="14"/>
      <c r="D156" s="14"/>
      <c r="E156" s="14"/>
      <c r="F156" s="14"/>
      <c r="G156" s="14"/>
      <c r="H156" s="14"/>
      <c r="I156" s="15"/>
      <c r="J156" s="13"/>
      <c r="K156" s="3"/>
      <c r="L156" s="3"/>
      <c r="M156" s="3"/>
      <c r="N156" s="3"/>
      <c r="O156" s="3"/>
    </row>
    <row r="157" customFormat="false" ht="15" hidden="false" customHeight="false" outlineLevel="0" collapsed="false">
      <c r="A157" s="19"/>
      <c r="B157" s="19"/>
      <c r="C157" s="20"/>
      <c r="D157" s="20"/>
      <c r="E157" s="20"/>
      <c r="F157" s="20"/>
      <c r="G157" s="20"/>
      <c r="H157" s="20"/>
      <c r="I157" s="21"/>
      <c r="J157" s="19"/>
      <c r="K157" s="3"/>
      <c r="L157" s="3"/>
      <c r="M157" s="3"/>
      <c r="N157" s="3"/>
      <c r="O157" s="3"/>
    </row>
    <row r="158" customFormat="false" ht="15" hidden="false" customHeight="false" outlineLevel="0" collapsed="false">
      <c r="A158" s="13"/>
      <c r="B158" s="13"/>
      <c r="C158" s="14"/>
      <c r="D158" s="14"/>
      <c r="E158" s="14"/>
      <c r="F158" s="14"/>
      <c r="G158" s="14"/>
      <c r="H158" s="14"/>
      <c r="I158" s="15"/>
      <c r="J158" s="13"/>
      <c r="K158" s="3"/>
      <c r="L158" s="3"/>
      <c r="M158" s="3"/>
      <c r="N158" s="3"/>
      <c r="O158" s="3"/>
    </row>
    <row r="159" customFormat="false" ht="15" hidden="false" customHeight="false" outlineLevel="0" collapsed="false">
      <c r="A159" s="19"/>
      <c r="B159" s="19"/>
      <c r="C159" s="20"/>
      <c r="D159" s="20"/>
      <c r="E159" s="20"/>
      <c r="F159" s="20"/>
      <c r="G159" s="20"/>
      <c r="H159" s="20"/>
      <c r="I159" s="21"/>
      <c r="J159" s="19"/>
      <c r="K159" s="3"/>
      <c r="L159" s="3"/>
      <c r="M159" s="3"/>
      <c r="N159" s="3"/>
      <c r="O159" s="3"/>
    </row>
    <row r="160" customFormat="false" ht="15" hidden="false" customHeight="false" outlineLevel="0" collapsed="false">
      <c r="A160" s="13"/>
      <c r="B160" s="13"/>
      <c r="C160" s="14"/>
      <c r="D160" s="14"/>
      <c r="E160" s="14"/>
      <c r="F160" s="14"/>
      <c r="G160" s="14"/>
      <c r="H160" s="14"/>
      <c r="I160" s="15"/>
      <c r="J160" s="13"/>
      <c r="K160" s="3"/>
      <c r="L160" s="3"/>
      <c r="M160" s="3"/>
      <c r="N160" s="3"/>
      <c r="O160" s="3"/>
    </row>
    <row r="161" customFormat="false" ht="15" hidden="false" customHeight="false" outlineLevel="0" collapsed="false">
      <c r="A161" s="19"/>
      <c r="B161" s="19"/>
      <c r="C161" s="20"/>
      <c r="D161" s="20"/>
      <c r="E161" s="20"/>
      <c r="F161" s="20"/>
      <c r="G161" s="20"/>
      <c r="H161" s="20"/>
      <c r="I161" s="21"/>
      <c r="J161" s="19"/>
      <c r="K161" s="3"/>
      <c r="L161" s="3"/>
      <c r="M161" s="3"/>
      <c r="N161" s="3"/>
      <c r="O161" s="3"/>
    </row>
    <row r="162" customFormat="false" ht="15" hidden="false" customHeight="false" outlineLevel="0" collapsed="false">
      <c r="A162" s="13"/>
      <c r="B162" s="13"/>
      <c r="C162" s="14"/>
      <c r="D162" s="14"/>
      <c r="E162" s="14"/>
      <c r="F162" s="14"/>
      <c r="G162" s="14"/>
      <c r="H162" s="14"/>
      <c r="I162" s="15"/>
      <c r="J162" s="13"/>
      <c r="K162" s="3"/>
      <c r="L162" s="3"/>
      <c r="M162" s="3"/>
      <c r="N162" s="3"/>
      <c r="O162" s="3"/>
    </row>
    <row r="163" customFormat="false" ht="15" hidden="false" customHeight="false" outlineLevel="0" collapsed="false">
      <c r="A163" s="19"/>
      <c r="B163" s="19"/>
      <c r="C163" s="20"/>
      <c r="D163" s="20"/>
      <c r="E163" s="20"/>
      <c r="F163" s="20"/>
      <c r="G163" s="20"/>
      <c r="H163" s="20"/>
      <c r="I163" s="21"/>
      <c r="J163" s="19"/>
      <c r="K163" s="3"/>
      <c r="L163" s="3"/>
      <c r="M163" s="3"/>
      <c r="N163" s="3"/>
      <c r="O163" s="3"/>
    </row>
    <row r="164" customFormat="false" ht="15" hidden="false" customHeight="false" outlineLevel="0" collapsed="false">
      <c r="A164" s="13"/>
      <c r="B164" s="13"/>
      <c r="C164" s="14"/>
      <c r="D164" s="14"/>
      <c r="E164" s="14"/>
      <c r="F164" s="14"/>
      <c r="G164" s="14"/>
      <c r="H164" s="14"/>
      <c r="I164" s="15"/>
      <c r="J164" s="13"/>
      <c r="K164" s="3"/>
      <c r="L164" s="3"/>
      <c r="M164" s="3"/>
      <c r="N164" s="3"/>
      <c r="O164" s="3"/>
    </row>
    <row r="165" customFormat="false" ht="15" hidden="false" customHeight="false" outlineLevel="0" collapsed="false">
      <c r="A165" s="19"/>
      <c r="B165" s="19"/>
      <c r="C165" s="20"/>
      <c r="D165" s="20"/>
      <c r="E165" s="20"/>
      <c r="F165" s="20"/>
      <c r="G165" s="20"/>
      <c r="H165" s="20"/>
      <c r="I165" s="21"/>
      <c r="J165" s="19"/>
      <c r="K165" s="3"/>
      <c r="L165" s="3"/>
      <c r="M165" s="3"/>
      <c r="N165" s="3"/>
      <c r="O165" s="3"/>
    </row>
    <row r="166" customFormat="false" ht="15" hidden="false" customHeight="false" outlineLevel="0" collapsed="false">
      <c r="A166" s="13"/>
      <c r="B166" s="13"/>
      <c r="C166" s="14"/>
      <c r="D166" s="14"/>
      <c r="E166" s="14"/>
      <c r="F166" s="14"/>
      <c r="G166" s="14"/>
      <c r="H166" s="14"/>
      <c r="I166" s="15"/>
      <c r="J166" s="13"/>
      <c r="K166" s="3"/>
      <c r="L166" s="3"/>
      <c r="M166" s="3"/>
      <c r="N166" s="3"/>
      <c r="O166" s="3"/>
    </row>
    <row r="167" customFormat="false" ht="15" hidden="false" customHeight="false" outlineLevel="0" collapsed="false">
      <c r="A167" s="19"/>
      <c r="B167" s="19"/>
      <c r="C167" s="20"/>
      <c r="D167" s="20"/>
      <c r="E167" s="20"/>
      <c r="F167" s="20"/>
      <c r="G167" s="20"/>
      <c r="H167" s="20"/>
      <c r="I167" s="21"/>
      <c r="J167" s="19"/>
      <c r="K167" s="3"/>
      <c r="L167" s="3"/>
      <c r="M167" s="3"/>
      <c r="N167" s="3"/>
      <c r="O167" s="3"/>
    </row>
    <row r="168" customFormat="false" ht="15" hidden="false" customHeight="false" outlineLevel="0" collapsed="false">
      <c r="A168" s="13"/>
      <c r="B168" s="13"/>
      <c r="C168" s="14"/>
      <c r="D168" s="14"/>
      <c r="E168" s="14"/>
      <c r="F168" s="14"/>
      <c r="G168" s="14"/>
      <c r="H168" s="14"/>
      <c r="I168" s="15"/>
      <c r="J168" s="13"/>
      <c r="K168" s="3"/>
      <c r="L168" s="3"/>
      <c r="M168" s="3"/>
      <c r="N168" s="3"/>
      <c r="O168" s="3"/>
    </row>
    <row r="169" customFormat="false" ht="15" hidden="false" customHeight="false" outlineLevel="0" collapsed="false">
      <c r="A169" s="19"/>
      <c r="B169" s="19"/>
      <c r="C169" s="20"/>
      <c r="D169" s="20"/>
      <c r="E169" s="20"/>
      <c r="F169" s="20"/>
      <c r="G169" s="20"/>
      <c r="H169" s="20"/>
      <c r="I169" s="21"/>
      <c r="J169" s="19"/>
      <c r="K169" s="3"/>
      <c r="L169" s="3"/>
      <c r="M169" s="3"/>
      <c r="N169" s="3"/>
      <c r="O169" s="3"/>
    </row>
    <row r="170" customFormat="false" ht="15" hidden="false" customHeight="false" outlineLevel="0" collapsed="false">
      <c r="A170" s="13"/>
      <c r="B170" s="13"/>
      <c r="C170" s="14"/>
      <c r="D170" s="14"/>
      <c r="E170" s="14"/>
      <c r="F170" s="14"/>
      <c r="G170" s="14"/>
      <c r="H170" s="14"/>
      <c r="I170" s="15"/>
      <c r="J170" s="13"/>
      <c r="K170" s="3"/>
      <c r="L170" s="3"/>
      <c r="M170" s="3"/>
      <c r="N170" s="3"/>
      <c r="O170" s="3"/>
    </row>
    <row r="171" customFormat="false" ht="15" hidden="false" customHeight="false" outlineLevel="0" collapsed="false">
      <c r="A171" s="19"/>
      <c r="B171" s="19"/>
      <c r="C171" s="20"/>
      <c r="D171" s="20"/>
      <c r="E171" s="20"/>
      <c r="F171" s="20"/>
      <c r="G171" s="20"/>
      <c r="H171" s="20"/>
      <c r="I171" s="21"/>
      <c r="J171" s="19"/>
      <c r="K171" s="3"/>
      <c r="L171" s="3"/>
      <c r="M171" s="3"/>
      <c r="N171" s="3"/>
      <c r="O171" s="3"/>
    </row>
    <row r="172" customFormat="false" ht="15" hidden="false" customHeight="false" outlineLevel="0" collapsed="false">
      <c r="A172" s="13"/>
      <c r="B172" s="13"/>
      <c r="C172" s="14"/>
      <c r="D172" s="14"/>
      <c r="E172" s="14"/>
      <c r="F172" s="14"/>
      <c r="G172" s="14"/>
      <c r="H172" s="14"/>
      <c r="I172" s="15"/>
      <c r="J172" s="13"/>
      <c r="K172" s="3"/>
      <c r="L172" s="3"/>
      <c r="M172" s="3"/>
      <c r="N172" s="3"/>
      <c r="O172" s="3"/>
    </row>
    <row r="173" customFormat="false" ht="15" hidden="false" customHeight="false" outlineLevel="0" collapsed="false">
      <c r="A173" s="19"/>
      <c r="B173" s="19"/>
      <c r="C173" s="20"/>
      <c r="D173" s="20"/>
      <c r="E173" s="20"/>
      <c r="F173" s="20"/>
      <c r="G173" s="20"/>
      <c r="H173" s="20"/>
      <c r="I173" s="21"/>
      <c r="J173" s="19"/>
      <c r="K173" s="3"/>
      <c r="L173" s="3"/>
      <c r="M173" s="3"/>
      <c r="N173" s="3"/>
      <c r="O173" s="3"/>
    </row>
    <row r="174" customFormat="false" ht="15" hidden="false" customHeight="false" outlineLevel="0" collapsed="false">
      <c r="A174" s="13"/>
      <c r="B174" s="13"/>
      <c r="C174" s="14"/>
      <c r="D174" s="14"/>
      <c r="E174" s="14"/>
      <c r="F174" s="14"/>
      <c r="G174" s="14"/>
      <c r="H174" s="14"/>
      <c r="I174" s="15"/>
      <c r="J174" s="13"/>
      <c r="K174" s="3"/>
      <c r="L174" s="3"/>
      <c r="M174" s="3"/>
      <c r="N174" s="3"/>
      <c r="O174" s="3"/>
    </row>
    <row r="175" customFormat="false" ht="15" hidden="false" customHeight="false" outlineLevel="0" collapsed="false">
      <c r="A175" s="19"/>
      <c r="B175" s="19"/>
      <c r="C175" s="20"/>
      <c r="D175" s="20"/>
      <c r="E175" s="20"/>
      <c r="F175" s="20"/>
      <c r="G175" s="20"/>
      <c r="H175" s="20"/>
      <c r="I175" s="21"/>
      <c r="J175" s="19"/>
      <c r="K175" s="3"/>
      <c r="L175" s="3"/>
      <c r="M175" s="3"/>
      <c r="N175" s="3"/>
      <c r="O175" s="3"/>
    </row>
    <row r="176" customFormat="false" ht="15" hidden="false" customHeight="false" outlineLevel="0" collapsed="false">
      <c r="A176" s="13"/>
      <c r="B176" s="13"/>
      <c r="C176" s="14"/>
      <c r="D176" s="14"/>
      <c r="E176" s="14"/>
      <c r="F176" s="14"/>
      <c r="G176" s="14"/>
      <c r="H176" s="14"/>
      <c r="I176" s="15"/>
      <c r="J176" s="13"/>
      <c r="K176" s="3"/>
      <c r="L176" s="3"/>
      <c r="M176" s="3"/>
      <c r="N176" s="3"/>
      <c r="O176" s="3"/>
    </row>
    <row r="177" customFormat="false" ht="15" hidden="false" customHeight="false" outlineLevel="0" collapsed="false">
      <c r="A177" s="19"/>
      <c r="B177" s="19"/>
      <c r="C177" s="20"/>
      <c r="D177" s="20"/>
      <c r="E177" s="20"/>
      <c r="F177" s="20"/>
      <c r="G177" s="20"/>
      <c r="H177" s="20"/>
      <c r="I177" s="21"/>
      <c r="J177" s="19"/>
      <c r="K177" s="3"/>
      <c r="L177" s="3"/>
      <c r="M177" s="3"/>
      <c r="N177" s="3"/>
      <c r="O177" s="3"/>
    </row>
    <row r="178" customFormat="false" ht="15" hidden="false" customHeight="false" outlineLevel="0" collapsed="false">
      <c r="A178" s="13"/>
      <c r="B178" s="13"/>
      <c r="C178" s="14"/>
      <c r="D178" s="14"/>
      <c r="E178" s="14"/>
      <c r="F178" s="14"/>
      <c r="G178" s="14"/>
      <c r="H178" s="14"/>
      <c r="I178" s="15"/>
      <c r="J178" s="13"/>
      <c r="K178" s="3"/>
      <c r="L178" s="3"/>
      <c r="M178" s="3"/>
      <c r="N178" s="3"/>
      <c r="O178" s="3"/>
    </row>
    <row r="179" customFormat="false" ht="15" hidden="false" customHeight="false" outlineLevel="0" collapsed="false">
      <c r="A179" s="19"/>
      <c r="B179" s="19"/>
      <c r="C179" s="20"/>
      <c r="D179" s="20"/>
      <c r="E179" s="20"/>
      <c r="F179" s="20"/>
      <c r="G179" s="20"/>
      <c r="H179" s="20"/>
      <c r="I179" s="21"/>
      <c r="J179" s="19"/>
      <c r="K179" s="3"/>
      <c r="L179" s="3"/>
      <c r="M179" s="3"/>
      <c r="N179" s="3"/>
      <c r="O179" s="3"/>
    </row>
    <row r="180" customFormat="false" ht="15" hidden="false" customHeight="false" outlineLevel="0" collapsed="false">
      <c r="A180" s="13"/>
      <c r="B180" s="13"/>
      <c r="C180" s="14"/>
      <c r="D180" s="14"/>
      <c r="E180" s="14"/>
      <c r="F180" s="14"/>
      <c r="G180" s="14"/>
      <c r="H180" s="14"/>
      <c r="I180" s="15"/>
      <c r="J180" s="13"/>
      <c r="K180" s="3"/>
      <c r="L180" s="3"/>
      <c r="M180" s="3"/>
      <c r="N180" s="3"/>
      <c r="O180" s="3"/>
    </row>
    <row r="181" customFormat="false" ht="15" hidden="false" customHeight="false" outlineLevel="0" collapsed="false">
      <c r="A181" s="19"/>
      <c r="B181" s="19"/>
      <c r="C181" s="20"/>
      <c r="D181" s="20"/>
      <c r="E181" s="20"/>
      <c r="F181" s="20"/>
      <c r="G181" s="20"/>
      <c r="H181" s="20"/>
      <c r="I181" s="21"/>
      <c r="J181" s="19"/>
      <c r="K181" s="3"/>
      <c r="L181" s="3"/>
      <c r="M181" s="3"/>
      <c r="N181" s="3"/>
      <c r="O181" s="3"/>
    </row>
    <row r="182" customFormat="false" ht="15" hidden="false" customHeight="false" outlineLevel="0" collapsed="false">
      <c r="A182" s="13"/>
      <c r="B182" s="13"/>
      <c r="C182" s="14"/>
      <c r="D182" s="14"/>
      <c r="E182" s="14"/>
      <c r="F182" s="14"/>
      <c r="G182" s="14"/>
      <c r="H182" s="14"/>
      <c r="I182" s="15"/>
      <c r="J182" s="13"/>
      <c r="K182" s="3"/>
      <c r="L182" s="3"/>
      <c r="M182" s="3"/>
      <c r="N182" s="3"/>
      <c r="O182" s="3"/>
    </row>
    <row r="183" customFormat="false" ht="15" hidden="false" customHeight="false" outlineLevel="0" collapsed="false">
      <c r="A183" s="19"/>
      <c r="B183" s="19"/>
      <c r="C183" s="20"/>
      <c r="D183" s="20"/>
      <c r="E183" s="20"/>
      <c r="F183" s="20"/>
      <c r="G183" s="20"/>
      <c r="H183" s="20"/>
      <c r="I183" s="21"/>
      <c r="J183" s="19"/>
      <c r="K183" s="3"/>
      <c r="L183" s="3"/>
      <c r="M183" s="3"/>
      <c r="N183" s="3"/>
      <c r="O183" s="3"/>
    </row>
    <row r="184" customFormat="false" ht="15" hidden="false" customHeight="false" outlineLevel="0" collapsed="false">
      <c r="A184" s="13"/>
      <c r="B184" s="13"/>
      <c r="C184" s="14"/>
      <c r="D184" s="14"/>
      <c r="E184" s="14"/>
      <c r="F184" s="14"/>
      <c r="G184" s="14"/>
      <c r="H184" s="14"/>
      <c r="I184" s="15"/>
      <c r="J184" s="13"/>
      <c r="K184" s="3"/>
      <c r="L184" s="3"/>
      <c r="M184" s="3"/>
      <c r="N184" s="3"/>
      <c r="O184" s="3"/>
    </row>
    <row r="185" customFormat="false" ht="15" hidden="false" customHeight="false" outlineLevel="0" collapsed="false">
      <c r="A185" s="19"/>
      <c r="B185" s="19"/>
      <c r="C185" s="20"/>
      <c r="D185" s="20"/>
      <c r="E185" s="20"/>
      <c r="F185" s="20"/>
      <c r="G185" s="20"/>
      <c r="H185" s="20"/>
      <c r="I185" s="21"/>
      <c r="J185" s="19"/>
      <c r="K185" s="3"/>
      <c r="L185" s="3"/>
      <c r="M185" s="3"/>
      <c r="N185" s="3"/>
      <c r="O185" s="3"/>
    </row>
    <row r="186" customFormat="false" ht="15" hidden="false" customHeight="false" outlineLevel="0" collapsed="false">
      <c r="A186" s="13"/>
      <c r="B186" s="13"/>
      <c r="C186" s="14"/>
      <c r="D186" s="14"/>
      <c r="E186" s="14"/>
      <c r="F186" s="14"/>
      <c r="G186" s="14"/>
      <c r="H186" s="14"/>
      <c r="I186" s="15"/>
      <c r="J186" s="13"/>
      <c r="K186" s="3"/>
      <c r="L186" s="3"/>
      <c r="M186" s="3"/>
      <c r="N186" s="3"/>
      <c r="O186" s="3"/>
    </row>
    <row r="187" customFormat="false" ht="15" hidden="false" customHeight="false" outlineLevel="0" collapsed="false">
      <c r="A187" s="19"/>
      <c r="B187" s="19"/>
      <c r="C187" s="20"/>
      <c r="D187" s="20"/>
      <c r="E187" s="20"/>
      <c r="F187" s="20"/>
      <c r="G187" s="20"/>
      <c r="H187" s="20"/>
      <c r="I187" s="21"/>
      <c r="J187" s="19"/>
      <c r="K187" s="3"/>
      <c r="L187" s="3"/>
      <c r="M187" s="3"/>
      <c r="N187" s="3"/>
      <c r="O187" s="3"/>
    </row>
    <row r="188" customFormat="false" ht="15" hidden="false" customHeight="false" outlineLevel="0" collapsed="false">
      <c r="A188" s="13"/>
      <c r="B188" s="13"/>
      <c r="C188" s="14"/>
      <c r="D188" s="14"/>
      <c r="E188" s="14"/>
      <c r="F188" s="14"/>
      <c r="G188" s="14"/>
      <c r="H188" s="14"/>
      <c r="I188" s="15"/>
      <c r="J188" s="13"/>
      <c r="K188" s="3"/>
      <c r="L188" s="3"/>
      <c r="M188" s="3"/>
      <c r="N188" s="3"/>
      <c r="O188" s="3"/>
    </row>
    <row r="189" customFormat="false" ht="15" hidden="false" customHeight="false" outlineLevel="0" collapsed="false">
      <c r="A189" s="19"/>
      <c r="B189" s="19"/>
      <c r="C189" s="20"/>
      <c r="D189" s="20"/>
      <c r="E189" s="20"/>
      <c r="F189" s="20"/>
      <c r="G189" s="20"/>
      <c r="H189" s="20"/>
      <c r="I189" s="21"/>
      <c r="J189" s="19"/>
      <c r="K189" s="3"/>
      <c r="L189" s="3"/>
      <c r="M189" s="3"/>
      <c r="N189" s="3"/>
      <c r="O189" s="3"/>
    </row>
    <row r="190" customFormat="false" ht="15" hidden="false" customHeight="false" outlineLevel="0" collapsed="false">
      <c r="A190" s="13"/>
      <c r="B190" s="13"/>
      <c r="C190" s="14"/>
      <c r="D190" s="14"/>
      <c r="E190" s="14"/>
      <c r="F190" s="14"/>
      <c r="G190" s="14"/>
      <c r="H190" s="14"/>
      <c r="I190" s="15"/>
      <c r="J190" s="13"/>
      <c r="K190" s="3"/>
      <c r="L190" s="3"/>
      <c r="M190" s="3"/>
      <c r="N190" s="3"/>
      <c r="O190" s="3"/>
    </row>
    <row r="191" customFormat="false" ht="15" hidden="false" customHeight="false" outlineLevel="0" collapsed="false">
      <c r="A191" s="19"/>
      <c r="B191" s="19"/>
      <c r="C191" s="20"/>
      <c r="D191" s="20"/>
      <c r="E191" s="20"/>
      <c r="F191" s="20"/>
      <c r="G191" s="20"/>
      <c r="H191" s="20"/>
      <c r="I191" s="21"/>
      <c r="J191" s="19"/>
      <c r="K191" s="3"/>
      <c r="L191" s="3"/>
      <c r="M191" s="3"/>
      <c r="N191" s="3"/>
      <c r="O191" s="3"/>
    </row>
    <row r="192" customFormat="false" ht="15" hidden="false" customHeight="false" outlineLevel="0" collapsed="false">
      <c r="A192" s="13"/>
      <c r="B192" s="13"/>
      <c r="C192" s="14"/>
      <c r="D192" s="14"/>
      <c r="E192" s="14"/>
      <c r="F192" s="14"/>
      <c r="G192" s="14"/>
      <c r="H192" s="14"/>
      <c r="I192" s="15"/>
      <c r="J192" s="13"/>
      <c r="K192" s="3"/>
      <c r="L192" s="3"/>
      <c r="M192" s="3"/>
      <c r="N192" s="3"/>
      <c r="O192" s="3"/>
    </row>
    <row r="193" customFormat="false" ht="15" hidden="false" customHeight="false" outlineLevel="0" collapsed="false">
      <c r="A193" s="19"/>
      <c r="B193" s="19"/>
      <c r="C193" s="20"/>
      <c r="D193" s="20"/>
      <c r="E193" s="20"/>
      <c r="F193" s="20"/>
      <c r="G193" s="20"/>
      <c r="H193" s="20"/>
      <c r="I193" s="21"/>
      <c r="J193" s="19"/>
      <c r="K193" s="3"/>
      <c r="L193" s="3"/>
      <c r="M193" s="3"/>
      <c r="N193" s="3"/>
      <c r="O193" s="3"/>
    </row>
    <row r="194" customFormat="false" ht="15" hidden="false" customHeight="false" outlineLevel="0" collapsed="false">
      <c r="A194" s="13"/>
      <c r="B194" s="13"/>
      <c r="C194" s="14"/>
      <c r="D194" s="14"/>
      <c r="E194" s="14"/>
      <c r="F194" s="14"/>
      <c r="G194" s="14"/>
      <c r="H194" s="14"/>
      <c r="I194" s="15"/>
      <c r="J194" s="13"/>
      <c r="K194" s="3"/>
      <c r="L194" s="3"/>
      <c r="M194" s="3"/>
      <c r="N194" s="3"/>
      <c r="O194" s="3"/>
    </row>
    <row r="195" customFormat="false" ht="15" hidden="false" customHeight="false" outlineLevel="0" collapsed="false">
      <c r="A195" s="19"/>
      <c r="B195" s="19"/>
      <c r="C195" s="20"/>
      <c r="D195" s="20"/>
      <c r="E195" s="20"/>
      <c r="F195" s="20"/>
      <c r="G195" s="20"/>
      <c r="H195" s="20"/>
      <c r="I195" s="21"/>
      <c r="J195" s="19"/>
      <c r="K195" s="3"/>
      <c r="L195" s="3"/>
      <c r="M195" s="3"/>
      <c r="N195" s="3"/>
      <c r="O195" s="3"/>
    </row>
    <row r="196" customFormat="false" ht="15" hidden="false" customHeight="false" outlineLevel="0" collapsed="false">
      <c r="A196" s="13"/>
      <c r="B196" s="13"/>
      <c r="C196" s="14"/>
      <c r="D196" s="14"/>
      <c r="E196" s="14"/>
      <c r="F196" s="14"/>
      <c r="G196" s="14"/>
      <c r="H196" s="14"/>
      <c r="I196" s="15"/>
      <c r="J196" s="13"/>
      <c r="K196" s="3"/>
      <c r="L196" s="3"/>
      <c r="M196" s="3"/>
      <c r="N196" s="3"/>
      <c r="O196" s="3"/>
    </row>
    <row r="197" customFormat="false" ht="15" hidden="false" customHeight="false" outlineLevel="0" collapsed="false">
      <c r="A197" s="19"/>
      <c r="B197" s="19"/>
      <c r="C197" s="20"/>
      <c r="D197" s="20"/>
      <c r="E197" s="20"/>
      <c r="F197" s="20"/>
      <c r="G197" s="20"/>
      <c r="H197" s="20"/>
      <c r="I197" s="21"/>
      <c r="J197" s="19"/>
      <c r="K197" s="3"/>
      <c r="L197" s="3"/>
      <c r="M197" s="3"/>
      <c r="N197" s="3"/>
      <c r="O197" s="3"/>
    </row>
    <row r="198" customFormat="false" ht="15" hidden="false" customHeight="false" outlineLevel="0" collapsed="false">
      <c r="A198" s="13"/>
      <c r="B198" s="13"/>
      <c r="C198" s="14"/>
      <c r="D198" s="14"/>
      <c r="E198" s="14"/>
      <c r="F198" s="14"/>
      <c r="G198" s="14"/>
      <c r="H198" s="14"/>
      <c r="I198" s="15"/>
      <c r="J198" s="13"/>
      <c r="K198" s="3"/>
      <c r="L198" s="3"/>
      <c r="M198" s="3"/>
      <c r="N198" s="3"/>
      <c r="O198" s="3"/>
    </row>
    <row r="199" customFormat="false" ht="15" hidden="false" customHeight="false" outlineLevel="0" collapsed="false">
      <c r="A199" s="19"/>
      <c r="B199" s="19"/>
      <c r="C199" s="20"/>
      <c r="D199" s="20"/>
      <c r="E199" s="20"/>
      <c r="F199" s="20"/>
      <c r="G199" s="20"/>
      <c r="H199" s="20"/>
      <c r="I199" s="21"/>
      <c r="J199" s="19"/>
      <c r="K199" s="3"/>
      <c r="L199" s="3"/>
      <c r="M199" s="3"/>
      <c r="N199" s="3"/>
      <c r="O199" s="3"/>
    </row>
    <row r="200" customFormat="false" ht="15" hidden="false" customHeight="false" outlineLevel="0" collapsed="false">
      <c r="A200" s="13"/>
      <c r="B200" s="13"/>
      <c r="C200" s="14"/>
      <c r="D200" s="14"/>
      <c r="E200" s="14"/>
      <c r="F200" s="14"/>
      <c r="G200" s="14"/>
      <c r="H200" s="14"/>
      <c r="I200" s="15"/>
      <c r="J200" s="13"/>
      <c r="K200" s="3"/>
      <c r="L200" s="3"/>
      <c r="M200" s="3"/>
      <c r="N200" s="3"/>
      <c r="O200" s="3"/>
    </row>
    <row r="201" customFormat="false" ht="15" hidden="false" customHeight="false" outlineLevel="0" collapsed="false">
      <c r="A201" s="19"/>
      <c r="B201" s="19"/>
      <c r="C201" s="20"/>
      <c r="D201" s="20"/>
      <c r="E201" s="20"/>
      <c r="F201" s="20"/>
      <c r="G201" s="20"/>
      <c r="H201" s="20"/>
      <c r="I201" s="21"/>
      <c r="J201" s="19"/>
      <c r="K201" s="3"/>
      <c r="L201" s="3"/>
      <c r="M201" s="3"/>
      <c r="N201" s="3"/>
      <c r="O201" s="3"/>
    </row>
    <row r="202" customFormat="false" ht="15" hidden="false" customHeight="false" outlineLevel="0" collapsed="false">
      <c r="A202" s="13"/>
      <c r="B202" s="13"/>
      <c r="C202" s="14"/>
      <c r="D202" s="14"/>
      <c r="E202" s="14"/>
      <c r="F202" s="14"/>
      <c r="G202" s="14"/>
      <c r="H202" s="14"/>
      <c r="I202" s="15"/>
      <c r="J202" s="13"/>
      <c r="K202" s="3"/>
      <c r="L202" s="3"/>
      <c r="M202" s="3"/>
      <c r="N202" s="3"/>
      <c r="O202" s="3"/>
    </row>
    <row r="203" customFormat="false" ht="15" hidden="false" customHeight="false" outlineLevel="0" collapsed="false">
      <c r="A203" s="19"/>
      <c r="B203" s="19"/>
      <c r="C203" s="20"/>
      <c r="D203" s="20"/>
      <c r="E203" s="20"/>
      <c r="F203" s="20"/>
      <c r="G203" s="20"/>
      <c r="H203" s="20"/>
      <c r="I203" s="21"/>
      <c r="J203" s="19"/>
      <c r="K203" s="3"/>
      <c r="L203" s="3"/>
      <c r="M203" s="3"/>
      <c r="N203" s="3"/>
      <c r="O203" s="3"/>
    </row>
  </sheetData>
  <autoFilter ref="A3:J203"/>
  <mergeCells count="3">
    <mergeCell ref="A1:J1"/>
    <mergeCell ref="A2:J2"/>
    <mergeCell ref="L10:O12"/>
  </mergeCells>
  <dataValidations count="2">
    <dataValidation allowBlank="true" error="Pick a value from the list on the Lists tab." errorStyle="stop" errorTitle="Not a valid entry" operator="between" showDropDown="false" showErrorMessage="true" showInputMessage="false" sqref="J4:J203" type="list">
      <formula1>Lists!$B$4:$B$8</formula1>
      <formula2>0</formula2>
    </dataValidation>
    <dataValidation allowBlank="true" errorStyle="stop" operator="between" showDropDown="false" showErrorMessage="false" showInputMessage="false" sqref="B4:B203" type="list">
      <formula1>'TOR Register'!$A$4:$A$43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:Q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46"/>
    <col collapsed="false" customWidth="true" hidden="false" outlineLevel="0" max="13" min="11" style="0" width="12"/>
    <col collapsed="false" customWidth="true" hidden="false" outlineLevel="0" max="14" min="14" style="0" width="3"/>
    <col collapsed="false" customWidth="true" hidden="false" outlineLevel="0" max="15" min="15" style="0" width="10"/>
    <col collapsed="false" customWidth="true" hidden="false" outlineLevel="0" max="18" min="16" style="0" width="11"/>
  </cols>
  <sheetData>
    <row r="1" customFormat="false" ht="25.5" hidden="false" customHeight="true" outlineLevel="0" collapsed="false">
      <c r="A1" s="1" t="s">
        <v>273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/>
      <c r="O1" s="3"/>
      <c r="P1" s="3"/>
      <c r="Q1" s="3"/>
    </row>
    <row r="2" customFormat="false" ht="15" hidden="false" customHeight="false" outlineLevel="0" collapsed="false">
      <c r="A2" s="2" t="s">
        <v>274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31" t="s">
        <v>275</v>
      </c>
      <c r="P2" s="3"/>
      <c r="Q2" s="3"/>
    </row>
    <row r="3" customFormat="false" ht="31.5" hidden="false" customHeight="true" outlineLevel="0" collapsed="false">
      <c r="A3" s="12" t="s">
        <v>276</v>
      </c>
      <c r="B3" s="12" t="s">
        <v>69</v>
      </c>
      <c r="C3" s="12" t="s">
        <v>277</v>
      </c>
      <c r="D3" s="12" t="s">
        <v>278</v>
      </c>
      <c r="E3" s="12" t="s">
        <v>279</v>
      </c>
      <c r="F3" s="12" t="s">
        <v>280</v>
      </c>
      <c r="G3" s="12" t="s">
        <v>281</v>
      </c>
      <c r="H3" s="12" t="s">
        <v>282</v>
      </c>
      <c r="I3" s="12" t="s">
        <v>283</v>
      </c>
      <c r="J3" s="12" t="s">
        <v>284</v>
      </c>
      <c r="K3" s="12" t="s">
        <v>181</v>
      </c>
      <c r="L3" s="12" t="s">
        <v>285</v>
      </c>
      <c r="M3" s="12" t="s">
        <v>286</v>
      </c>
      <c r="N3" s="3"/>
      <c r="O3" s="12" t="s">
        <v>182</v>
      </c>
      <c r="P3" s="12" t="s">
        <v>287</v>
      </c>
      <c r="Q3" s="12" t="s">
        <v>288</v>
      </c>
    </row>
    <row r="4" customFormat="false" ht="22.35" hidden="false" customHeight="false" outlineLevel="0" collapsed="false">
      <c r="A4" s="13" t="s">
        <v>289</v>
      </c>
      <c r="B4" s="13" t="s">
        <v>83</v>
      </c>
      <c r="C4" s="13" t="s">
        <v>290</v>
      </c>
      <c r="D4" s="18" t="s">
        <v>291</v>
      </c>
      <c r="E4" s="13" t="n">
        <v>3</v>
      </c>
      <c r="F4" s="13" t="n">
        <v>4</v>
      </c>
      <c r="G4" s="33" t="n">
        <f aca="false">IF($E4="","",$E4*$F4)</f>
        <v>12</v>
      </c>
      <c r="H4" s="36" t="str">
        <f aca="false">IF($G4="","",IF($G4&gt;=15,"High",IF($G4&gt;=8,"Medium","Low")))</f>
        <v>Medium</v>
      </c>
      <c r="I4" s="14" t="s">
        <v>87</v>
      </c>
      <c r="J4" s="18" t="s">
        <v>292</v>
      </c>
      <c r="K4" s="13" t="s">
        <v>293</v>
      </c>
      <c r="L4" s="15" t="n">
        <v>46126</v>
      </c>
      <c r="M4" s="15" t="n">
        <v>46295</v>
      </c>
      <c r="N4" s="3"/>
      <c r="O4" s="32" t="s">
        <v>83</v>
      </c>
      <c r="P4" s="33" t="n">
        <f aca="false">COUNTIFS($B$4:$B$203,$O4,$K$4:$K$203,"Open")+COUNTIFS($B$4:$B$203,$O4,$K$4:$K$203,"Mitigating")</f>
        <v>3</v>
      </c>
      <c r="Q4" s="33" t="n">
        <f aca="false">COUNTIFS($B$4:$B$203,$O4,$H$4:$H$203,"High",$K$4:$K$203,"&lt;&gt;Closed")</f>
        <v>1</v>
      </c>
    </row>
    <row r="5" customFormat="false" ht="22.35" hidden="false" customHeight="false" outlineLevel="0" collapsed="false">
      <c r="A5" s="19" t="s">
        <v>294</v>
      </c>
      <c r="B5" s="19" t="s">
        <v>83</v>
      </c>
      <c r="C5" s="19" t="s">
        <v>295</v>
      </c>
      <c r="D5" s="24" t="s">
        <v>296</v>
      </c>
      <c r="E5" s="19" t="n">
        <v>5</v>
      </c>
      <c r="F5" s="19" t="n">
        <v>3</v>
      </c>
      <c r="G5" s="37" t="n">
        <f aca="false">IF($E5="","",$E5*$F5)</f>
        <v>15</v>
      </c>
      <c r="H5" s="38" t="str">
        <f aca="false">IF($G5="","",IF($G5&gt;=15,"High",IF($G5&gt;=8,"Medium","Low")))</f>
        <v>High</v>
      </c>
      <c r="I5" s="20" t="s">
        <v>87</v>
      </c>
      <c r="J5" s="24" t="s">
        <v>297</v>
      </c>
      <c r="K5" s="19" t="s">
        <v>298</v>
      </c>
      <c r="L5" s="21" t="n">
        <v>46154</v>
      </c>
      <c r="M5" s="21" t="n">
        <v>46280</v>
      </c>
      <c r="N5" s="3"/>
      <c r="O5" s="32" t="s">
        <v>91</v>
      </c>
      <c r="P5" s="33" t="n">
        <f aca="false">COUNTIFS($B$4:$B$203,$O5,$K$4:$K$203,"Open")+COUNTIFS($B$4:$B$203,$O5,$K$4:$K$203,"Mitigating")</f>
        <v>5</v>
      </c>
      <c r="Q5" s="33" t="n">
        <f aca="false">COUNTIFS($B$4:$B$203,$O5,$H$4:$H$203,"High",$K$4:$K$203,"&lt;&gt;Closed")</f>
        <v>0</v>
      </c>
    </row>
    <row r="6" customFormat="false" ht="15" hidden="false" customHeight="false" outlineLevel="0" collapsed="false">
      <c r="A6" s="13" t="s">
        <v>299</v>
      </c>
      <c r="B6" s="13" t="s">
        <v>83</v>
      </c>
      <c r="C6" s="13" t="s">
        <v>290</v>
      </c>
      <c r="D6" s="18" t="s">
        <v>300</v>
      </c>
      <c r="E6" s="13" t="n">
        <v>3</v>
      </c>
      <c r="F6" s="13" t="n">
        <v>3</v>
      </c>
      <c r="G6" s="33" t="n">
        <f aca="false">IF($E6="","",$E6*$F6)</f>
        <v>9</v>
      </c>
      <c r="H6" s="36" t="str">
        <f aca="false">IF($G6="","",IF($G6&gt;=15,"High",IF($G6&gt;=8,"Medium","Low")))</f>
        <v>Medium</v>
      </c>
      <c r="I6" s="14" t="s">
        <v>86</v>
      </c>
      <c r="J6" s="18" t="s">
        <v>301</v>
      </c>
      <c r="K6" s="13" t="s">
        <v>298</v>
      </c>
      <c r="L6" s="15" t="n">
        <v>46211</v>
      </c>
      <c r="M6" s="15" t="n">
        <v>46295</v>
      </c>
      <c r="N6" s="3"/>
      <c r="O6" s="32" t="s">
        <v>99</v>
      </c>
      <c r="P6" s="33" t="n">
        <f aca="false">COUNTIFS($B$4:$B$203,$O6,$K$4:$K$203,"Open")+COUNTIFS($B$4:$B$203,$O6,$K$4:$K$203,"Mitigating")</f>
        <v>9</v>
      </c>
      <c r="Q6" s="33" t="n">
        <f aca="false">COUNTIFS($B$4:$B$203,$O6,$H$4:$H$203,"High",$K$4:$K$203,"&lt;&gt;Closed")</f>
        <v>3</v>
      </c>
    </row>
    <row r="7" customFormat="false" ht="15" hidden="false" customHeight="false" outlineLevel="0" collapsed="false">
      <c r="A7" s="19" t="s">
        <v>302</v>
      </c>
      <c r="B7" s="19" t="s">
        <v>91</v>
      </c>
      <c r="C7" s="19" t="s">
        <v>290</v>
      </c>
      <c r="D7" s="24" t="s">
        <v>303</v>
      </c>
      <c r="E7" s="19" t="n">
        <v>2</v>
      </c>
      <c r="F7" s="19" t="n">
        <v>5</v>
      </c>
      <c r="G7" s="37" t="n">
        <f aca="false">IF($E7="","",$E7*$F7)</f>
        <v>10</v>
      </c>
      <c r="H7" s="38" t="str">
        <f aca="false">IF($G7="","",IF($G7&gt;=15,"High",IF($G7&gt;=8,"Medium","Low")))</f>
        <v>Medium</v>
      </c>
      <c r="I7" s="20" t="s">
        <v>95</v>
      </c>
      <c r="J7" s="24" t="s">
        <v>304</v>
      </c>
      <c r="K7" s="19" t="s">
        <v>293</v>
      </c>
      <c r="L7" s="21" t="n">
        <v>46148</v>
      </c>
      <c r="M7" s="21" t="n">
        <v>46310</v>
      </c>
      <c r="N7" s="3"/>
      <c r="O7" s="32" t="s">
        <v>107</v>
      </c>
      <c r="P7" s="33" t="n">
        <f aca="false">COUNTIFS($B$4:$B$203,$O7,$K$4:$K$203,"Open")+COUNTIFS($B$4:$B$203,$O7,$K$4:$K$203,"Mitigating")</f>
        <v>2</v>
      </c>
      <c r="Q7" s="33" t="n">
        <f aca="false">COUNTIFS($B$4:$B$203,$O7,$H$4:$H$203,"High",$K$4:$K$203,"&lt;&gt;Closed")</f>
        <v>0</v>
      </c>
    </row>
    <row r="8" customFormat="false" ht="22.35" hidden="false" customHeight="false" outlineLevel="0" collapsed="false">
      <c r="A8" s="13" t="s">
        <v>305</v>
      </c>
      <c r="B8" s="13" t="s">
        <v>91</v>
      </c>
      <c r="C8" s="13" t="s">
        <v>290</v>
      </c>
      <c r="D8" s="18" t="s">
        <v>306</v>
      </c>
      <c r="E8" s="13" t="n">
        <v>3</v>
      </c>
      <c r="F8" s="13" t="n">
        <v>3</v>
      </c>
      <c r="G8" s="33" t="n">
        <f aca="false">IF($E8="","",$E8*$F8)</f>
        <v>9</v>
      </c>
      <c r="H8" s="36" t="str">
        <f aca="false">IF($G8="","",IF($G8&gt;=15,"High",IF($G8&gt;=8,"Medium","Low")))</f>
        <v>Medium</v>
      </c>
      <c r="I8" s="14" t="s">
        <v>94</v>
      </c>
      <c r="J8" s="18" t="s">
        <v>307</v>
      </c>
      <c r="K8" s="13" t="s">
        <v>308</v>
      </c>
      <c r="L8" s="15" t="n">
        <v>46114</v>
      </c>
      <c r="M8" s="15" t="n">
        <v>46235</v>
      </c>
      <c r="N8" s="3"/>
      <c r="O8" s="32" t="s">
        <v>114</v>
      </c>
      <c r="P8" s="33" t="n">
        <f aca="false">COUNTIFS($B$4:$B$203,$O8,$K$4:$K$203,"Open")+COUNTIFS($B$4:$B$203,$O8,$K$4:$K$203,"Mitigating")</f>
        <v>3</v>
      </c>
      <c r="Q8" s="33" t="n">
        <f aca="false">COUNTIFS($B$4:$B$203,$O8,$H$4:$H$203,"High",$K$4:$K$203,"&lt;&gt;Closed")</f>
        <v>0</v>
      </c>
    </row>
    <row r="9" customFormat="false" ht="15" hidden="false" customHeight="false" outlineLevel="0" collapsed="false">
      <c r="A9" s="19" t="s">
        <v>309</v>
      </c>
      <c r="B9" s="19" t="s">
        <v>99</v>
      </c>
      <c r="C9" s="19" t="s">
        <v>295</v>
      </c>
      <c r="D9" s="24" t="s">
        <v>310</v>
      </c>
      <c r="E9" s="19" t="n">
        <v>5</v>
      </c>
      <c r="F9" s="19" t="n">
        <v>5</v>
      </c>
      <c r="G9" s="37" t="n">
        <f aca="false">IF($E9="","",$E9*$F9)</f>
        <v>25</v>
      </c>
      <c r="H9" s="38" t="str">
        <f aca="false">IF($G9="","",IF($G9&gt;=15,"High",IF($G9&gt;=8,"Medium","Low")))</f>
        <v>High</v>
      </c>
      <c r="I9" s="20" t="s">
        <v>102</v>
      </c>
      <c r="J9" s="24" t="s">
        <v>311</v>
      </c>
      <c r="K9" s="19" t="s">
        <v>298</v>
      </c>
      <c r="L9" s="21" t="n">
        <v>46183</v>
      </c>
      <c r="M9" s="21" t="n">
        <v>46280</v>
      </c>
      <c r="N9" s="3"/>
      <c r="O9" s="3"/>
      <c r="P9" s="3"/>
      <c r="Q9" s="3"/>
    </row>
    <row r="10" customFormat="false" ht="15" hidden="false" customHeight="false" outlineLevel="0" collapsed="false">
      <c r="A10" s="13" t="s">
        <v>312</v>
      </c>
      <c r="B10" s="13" t="s">
        <v>99</v>
      </c>
      <c r="C10" s="13" t="s">
        <v>295</v>
      </c>
      <c r="D10" s="18" t="s">
        <v>313</v>
      </c>
      <c r="E10" s="13" t="n">
        <v>5</v>
      </c>
      <c r="F10" s="13" t="n">
        <v>4</v>
      </c>
      <c r="G10" s="33" t="n">
        <f aca="false">IF($E10="","",$E10*$F10)</f>
        <v>20</v>
      </c>
      <c r="H10" s="36" t="str">
        <f aca="false">IF($G10="","",IF($G10&gt;=15,"High",IF($G10&gt;=8,"Medium","Low")))</f>
        <v>High</v>
      </c>
      <c r="I10" s="14" t="s">
        <v>102</v>
      </c>
      <c r="J10" s="18" t="s">
        <v>314</v>
      </c>
      <c r="K10" s="13" t="s">
        <v>298</v>
      </c>
      <c r="L10" s="15" t="n">
        <v>46206</v>
      </c>
      <c r="M10" s="15" t="n">
        <v>46277</v>
      </c>
      <c r="N10" s="3"/>
      <c r="O10" s="3"/>
      <c r="P10" s="3"/>
      <c r="Q10" s="3"/>
    </row>
    <row r="11" customFormat="false" ht="15" hidden="false" customHeight="false" outlineLevel="0" collapsed="false">
      <c r="A11" s="19" t="s">
        <v>315</v>
      </c>
      <c r="B11" s="19" t="s">
        <v>99</v>
      </c>
      <c r="C11" s="19" t="s">
        <v>290</v>
      </c>
      <c r="D11" s="24" t="s">
        <v>316</v>
      </c>
      <c r="E11" s="19" t="n">
        <v>3</v>
      </c>
      <c r="F11" s="19" t="n">
        <v>4</v>
      </c>
      <c r="G11" s="37" t="n">
        <f aca="false">IF($E11="","",$E11*$F11)</f>
        <v>12</v>
      </c>
      <c r="H11" s="38" t="str">
        <f aca="false">IF($G11="","",IF($G11&gt;=15,"High",IF($G11&gt;=8,"Medium","Low")))</f>
        <v>Medium</v>
      </c>
      <c r="I11" s="20" t="s">
        <v>103</v>
      </c>
      <c r="J11" s="24" t="s">
        <v>317</v>
      </c>
      <c r="K11" s="19" t="s">
        <v>298</v>
      </c>
      <c r="L11" s="21" t="n">
        <v>46133</v>
      </c>
      <c r="M11" s="21" t="n">
        <v>46325</v>
      </c>
      <c r="N11" s="3"/>
      <c r="O11" s="3"/>
      <c r="P11" s="3"/>
      <c r="Q11" s="3"/>
    </row>
    <row r="12" customFormat="false" ht="15" hidden="false" customHeight="false" outlineLevel="0" collapsed="false">
      <c r="A12" s="13" t="s">
        <v>318</v>
      </c>
      <c r="B12" s="13" t="s">
        <v>99</v>
      </c>
      <c r="C12" s="13" t="s">
        <v>290</v>
      </c>
      <c r="D12" s="18" t="s">
        <v>319</v>
      </c>
      <c r="E12" s="13" t="n">
        <v>4</v>
      </c>
      <c r="F12" s="13" t="n">
        <v>4</v>
      </c>
      <c r="G12" s="33" t="n">
        <f aca="false">IF($E12="","",$E12*$F12)</f>
        <v>16</v>
      </c>
      <c r="H12" s="36" t="str">
        <f aca="false">IF($G12="","",IF($G12&gt;=15,"High",IF($G12&gt;=8,"Medium","Low")))</f>
        <v>High</v>
      </c>
      <c r="I12" s="14" t="s">
        <v>102</v>
      </c>
      <c r="J12" s="18" t="s">
        <v>320</v>
      </c>
      <c r="K12" s="13" t="s">
        <v>298</v>
      </c>
      <c r="L12" s="15" t="n">
        <v>46198</v>
      </c>
      <c r="M12" s="15" t="n">
        <v>46280</v>
      </c>
      <c r="N12" s="3"/>
      <c r="O12" s="3"/>
      <c r="P12" s="3"/>
      <c r="Q12" s="3"/>
    </row>
    <row r="13" customFormat="false" ht="15" hidden="false" customHeight="false" outlineLevel="0" collapsed="false">
      <c r="A13" s="19" t="s">
        <v>321</v>
      </c>
      <c r="B13" s="19" t="s">
        <v>107</v>
      </c>
      <c r="C13" s="19" t="s">
        <v>290</v>
      </c>
      <c r="D13" s="24" t="s">
        <v>322</v>
      </c>
      <c r="E13" s="19" t="n">
        <v>2</v>
      </c>
      <c r="F13" s="19" t="n">
        <v>3</v>
      </c>
      <c r="G13" s="37" t="n">
        <f aca="false">IF($E13="","",$E13*$F13)</f>
        <v>6</v>
      </c>
      <c r="H13" s="38" t="str">
        <f aca="false">IF($G13="","",IF($G13&gt;=15,"High",IF($G13&gt;=8,"Medium","Low")))</f>
        <v>Low</v>
      </c>
      <c r="I13" s="20" t="s">
        <v>110</v>
      </c>
      <c r="J13" s="24" t="s">
        <v>323</v>
      </c>
      <c r="K13" s="19" t="s">
        <v>293</v>
      </c>
      <c r="L13" s="21" t="n">
        <v>46160</v>
      </c>
      <c r="M13" s="21" t="n">
        <v>46356</v>
      </c>
      <c r="N13" s="3"/>
      <c r="O13" s="3"/>
      <c r="P13" s="3"/>
      <c r="Q13" s="3"/>
    </row>
    <row r="14" customFormat="false" ht="15" hidden="false" customHeight="false" outlineLevel="0" collapsed="false">
      <c r="A14" s="13" t="s">
        <v>324</v>
      </c>
      <c r="B14" s="13" t="s">
        <v>107</v>
      </c>
      <c r="C14" s="13" t="s">
        <v>290</v>
      </c>
      <c r="D14" s="18" t="s">
        <v>325</v>
      </c>
      <c r="E14" s="13" t="n">
        <v>2</v>
      </c>
      <c r="F14" s="13" t="n">
        <v>3</v>
      </c>
      <c r="G14" s="33" t="n">
        <f aca="false">IF($E14="","",$E14*$F14)</f>
        <v>6</v>
      </c>
      <c r="H14" s="36" t="str">
        <f aca="false">IF($G14="","",IF($G14&gt;=15,"High",IF($G14&gt;=8,"Medium","Low")))</f>
        <v>Low</v>
      </c>
      <c r="I14" s="14" t="s">
        <v>254</v>
      </c>
      <c r="J14" s="18" t="s">
        <v>326</v>
      </c>
      <c r="K14" s="13" t="s">
        <v>298</v>
      </c>
      <c r="L14" s="15" t="n">
        <v>46218</v>
      </c>
      <c r="M14" s="15" t="n">
        <v>46374</v>
      </c>
      <c r="N14" s="3"/>
      <c r="O14" s="3"/>
      <c r="P14" s="3"/>
      <c r="Q14" s="3"/>
    </row>
    <row r="15" customFormat="false" ht="15" hidden="false" customHeight="false" outlineLevel="0" collapsed="false">
      <c r="A15" s="19" t="s">
        <v>327</v>
      </c>
      <c r="B15" s="19" t="s">
        <v>114</v>
      </c>
      <c r="C15" s="19" t="s">
        <v>290</v>
      </c>
      <c r="D15" s="24" t="s">
        <v>328</v>
      </c>
      <c r="E15" s="19" t="n">
        <v>2</v>
      </c>
      <c r="F15" s="19" t="n">
        <v>4</v>
      </c>
      <c r="G15" s="37" t="n">
        <f aca="false">IF($E15="","",$E15*$F15)</f>
        <v>8</v>
      </c>
      <c r="H15" s="38" t="str">
        <f aca="false">IF($G15="","",IF($G15&gt;=15,"High",IF($G15&gt;=8,"Medium","Low")))</f>
        <v>Medium</v>
      </c>
      <c r="I15" s="20" t="s">
        <v>117</v>
      </c>
      <c r="J15" s="24" t="s">
        <v>329</v>
      </c>
      <c r="K15" s="19" t="s">
        <v>308</v>
      </c>
      <c r="L15" s="21" t="n">
        <v>46162</v>
      </c>
      <c r="M15" s="21" t="n">
        <v>46248</v>
      </c>
      <c r="N15" s="3"/>
      <c r="O15" s="3"/>
      <c r="P15" s="3"/>
      <c r="Q15" s="3"/>
    </row>
    <row r="16" customFormat="false" ht="15" hidden="false" customHeight="false" outlineLevel="0" collapsed="false">
      <c r="A16" s="13" t="s">
        <v>330</v>
      </c>
      <c r="B16" s="13" t="s">
        <v>114</v>
      </c>
      <c r="C16" s="13" t="s">
        <v>290</v>
      </c>
      <c r="D16" s="18" t="s">
        <v>331</v>
      </c>
      <c r="E16" s="13" t="n">
        <v>3</v>
      </c>
      <c r="F16" s="13" t="n">
        <v>3</v>
      </c>
      <c r="G16" s="33" t="n">
        <f aca="false">IF($E16="","",$E16*$F16)</f>
        <v>9</v>
      </c>
      <c r="H16" s="36" t="str">
        <f aca="false">IF($G16="","",IF($G16&gt;=15,"High",IF($G16&gt;=8,"Medium","Low")))</f>
        <v>Medium</v>
      </c>
      <c r="I16" s="14" t="s">
        <v>117</v>
      </c>
      <c r="J16" s="18" t="s">
        <v>332</v>
      </c>
      <c r="K16" s="13" t="s">
        <v>293</v>
      </c>
      <c r="L16" s="15" t="n">
        <v>46203</v>
      </c>
      <c r="M16" s="15" t="n">
        <v>46295</v>
      </c>
      <c r="N16" s="3"/>
      <c r="O16" s="3"/>
      <c r="P16" s="3"/>
      <c r="Q16" s="3"/>
    </row>
    <row r="17" customFormat="false" ht="22.35" hidden="false" customHeight="false" outlineLevel="0" collapsed="false">
      <c r="A17" s="19" t="s">
        <v>333</v>
      </c>
      <c r="B17" s="19" t="s">
        <v>91</v>
      </c>
      <c r="C17" s="19" t="s">
        <v>290</v>
      </c>
      <c r="D17" s="24" t="s">
        <v>334</v>
      </c>
      <c r="E17" s="19" t="n">
        <v>3</v>
      </c>
      <c r="F17" s="19" t="n">
        <v>3</v>
      </c>
      <c r="G17" s="37" t="n">
        <f aca="false">IF($E17="","",$E17*$F17)</f>
        <v>9</v>
      </c>
      <c r="H17" s="38" t="str">
        <f aca="false">IF($G17="","",IF($G17&gt;=15,"High",IF($G17&gt;=8,"Medium","Low")))</f>
        <v>Medium</v>
      </c>
      <c r="I17" s="20" t="s">
        <v>95</v>
      </c>
      <c r="J17" s="24" t="s">
        <v>335</v>
      </c>
      <c r="K17" s="19" t="s">
        <v>298</v>
      </c>
      <c r="L17" s="21" t="n">
        <v>46181</v>
      </c>
      <c r="M17" s="21" t="n">
        <v>46325</v>
      </c>
      <c r="N17" s="3"/>
      <c r="O17" s="3"/>
      <c r="P17" s="3"/>
      <c r="Q17" s="3"/>
    </row>
    <row r="18" customFormat="false" ht="15" hidden="false" customHeight="false" outlineLevel="0" collapsed="false">
      <c r="A18" s="13" t="s">
        <v>336</v>
      </c>
      <c r="B18" s="13" t="s">
        <v>91</v>
      </c>
      <c r="C18" s="13" t="s">
        <v>290</v>
      </c>
      <c r="D18" s="18" t="s">
        <v>337</v>
      </c>
      <c r="E18" s="13" t="n">
        <v>3</v>
      </c>
      <c r="F18" s="13" t="n">
        <v>4</v>
      </c>
      <c r="G18" s="33" t="n">
        <f aca="false">IF($E18="","",$E18*$F18)</f>
        <v>12</v>
      </c>
      <c r="H18" s="36" t="str">
        <f aca="false">IF($G18="","",IF($G18&gt;=15,"High",IF($G18&gt;=8,"Medium","Low")))</f>
        <v>Medium</v>
      </c>
      <c r="I18" s="14" t="s">
        <v>218</v>
      </c>
      <c r="J18" s="18" t="s">
        <v>338</v>
      </c>
      <c r="K18" s="13" t="s">
        <v>293</v>
      </c>
      <c r="L18" s="15" t="n">
        <v>46204</v>
      </c>
      <c r="M18" s="15" t="n">
        <v>46353</v>
      </c>
      <c r="N18" s="3"/>
      <c r="O18" s="3"/>
      <c r="P18" s="3"/>
      <c r="Q18" s="3"/>
    </row>
    <row r="19" customFormat="false" ht="15" hidden="false" customHeight="false" outlineLevel="0" collapsed="false">
      <c r="A19" s="19" t="s">
        <v>339</v>
      </c>
      <c r="B19" s="19" t="s">
        <v>91</v>
      </c>
      <c r="C19" s="19" t="s">
        <v>295</v>
      </c>
      <c r="D19" s="24" t="s">
        <v>340</v>
      </c>
      <c r="E19" s="19" t="n">
        <v>4</v>
      </c>
      <c r="F19" s="19" t="n">
        <v>3</v>
      </c>
      <c r="G19" s="37" t="n">
        <f aca="false">IF($E19="","",$E19*$F19)</f>
        <v>12</v>
      </c>
      <c r="H19" s="38" t="str">
        <f aca="false">IF($G19="","",IF($G19&gt;=15,"High",IF($G19&gt;=8,"Medium","Low")))</f>
        <v>Medium</v>
      </c>
      <c r="I19" s="20" t="s">
        <v>218</v>
      </c>
      <c r="J19" s="24" t="s">
        <v>341</v>
      </c>
      <c r="K19" s="19" t="s">
        <v>298</v>
      </c>
      <c r="L19" s="21" t="n">
        <v>46225</v>
      </c>
      <c r="M19" s="21" t="n">
        <v>46295</v>
      </c>
      <c r="N19" s="3"/>
      <c r="O19" s="3"/>
      <c r="P19" s="3"/>
      <c r="Q19" s="3"/>
    </row>
    <row r="20" customFormat="false" ht="15" hidden="false" customHeight="false" outlineLevel="0" collapsed="false">
      <c r="A20" s="13" t="s">
        <v>342</v>
      </c>
      <c r="B20" s="13" t="s">
        <v>91</v>
      </c>
      <c r="C20" s="13" t="s">
        <v>290</v>
      </c>
      <c r="D20" s="18" t="s">
        <v>343</v>
      </c>
      <c r="E20" s="13" t="n">
        <v>2</v>
      </c>
      <c r="F20" s="13" t="n">
        <v>4</v>
      </c>
      <c r="G20" s="33" t="n">
        <f aca="false">IF($E20="","",$E20*$F20)</f>
        <v>8</v>
      </c>
      <c r="H20" s="36" t="str">
        <f aca="false">IF($G20="","",IF($G20&gt;=15,"High",IF($G20&gt;=8,"Medium","Low")))</f>
        <v>Medium</v>
      </c>
      <c r="I20" s="14" t="s">
        <v>95</v>
      </c>
      <c r="J20" s="18" t="s">
        <v>344</v>
      </c>
      <c r="K20" s="13" t="s">
        <v>293</v>
      </c>
      <c r="L20" s="15" t="n">
        <v>46239</v>
      </c>
      <c r="M20" s="15" t="n">
        <v>46374</v>
      </c>
      <c r="N20" s="3"/>
      <c r="O20" s="3"/>
      <c r="P20" s="3"/>
      <c r="Q20" s="3"/>
    </row>
    <row r="21" customFormat="false" ht="22.35" hidden="false" customHeight="false" outlineLevel="0" collapsed="false">
      <c r="A21" s="19" t="s">
        <v>345</v>
      </c>
      <c r="B21" s="19" t="s">
        <v>99</v>
      </c>
      <c r="C21" s="19" t="s">
        <v>290</v>
      </c>
      <c r="D21" s="24" t="s">
        <v>346</v>
      </c>
      <c r="E21" s="19" t="n">
        <v>3</v>
      </c>
      <c r="F21" s="19" t="n">
        <v>4</v>
      </c>
      <c r="G21" s="37" t="n">
        <f aca="false">IF($E21="","",$E21*$F21)</f>
        <v>12</v>
      </c>
      <c r="H21" s="38" t="str">
        <f aca="false">IF($G21="","",IF($G21&gt;=15,"High",IF($G21&gt;=8,"Medium","Low")))</f>
        <v>Medium</v>
      </c>
      <c r="I21" s="20" t="s">
        <v>103</v>
      </c>
      <c r="J21" s="24" t="s">
        <v>347</v>
      </c>
      <c r="K21" s="19" t="s">
        <v>293</v>
      </c>
      <c r="L21" s="21" t="n">
        <v>46190</v>
      </c>
      <c r="M21" s="21" t="n">
        <v>46310</v>
      </c>
      <c r="N21" s="3"/>
      <c r="O21" s="3"/>
      <c r="P21" s="3"/>
      <c r="Q21" s="3"/>
    </row>
    <row r="22" customFormat="false" ht="15" hidden="false" customHeight="false" outlineLevel="0" collapsed="false">
      <c r="A22" s="13" t="s">
        <v>348</v>
      </c>
      <c r="B22" s="13" t="s">
        <v>99</v>
      </c>
      <c r="C22" s="13" t="s">
        <v>290</v>
      </c>
      <c r="D22" s="18" t="s">
        <v>349</v>
      </c>
      <c r="E22" s="13" t="n">
        <v>3</v>
      </c>
      <c r="F22" s="13" t="n">
        <v>3</v>
      </c>
      <c r="G22" s="33" t="n">
        <f aca="false">IF($E22="","",$E22*$F22)</f>
        <v>9</v>
      </c>
      <c r="H22" s="36" t="str">
        <f aca="false">IF($G22="","",IF($G22&gt;=15,"High",IF($G22&gt;=8,"Medium","Low")))</f>
        <v>Medium</v>
      </c>
      <c r="I22" s="14" t="s">
        <v>103</v>
      </c>
      <c r="J22" s="18" t="s">
        <v>350</v>
      </c>
      <c r="K22" s="13" t="s">
        <v>298</v>
      </c>
      <c r="L22" s="15" t="n">
        <v>46212</v>
      </c>
      <c r="M22" s="15" t="n">
        <v>46311</v>
      </c>
      <c r="N22" s="3"/>
      <c r="O22" s="3"/>
      <c r="P22" s="3"/>
      <c r="Q22" s="3"/>
    </row>
    <row r="23" customFormat="false" ht="22.35" hidden="false" customHeight="false" outlineLevel="0" collapsed="false">
      <c r="A23" s="19" t="s">
        <v>351</v>
      </c>
      <c r="B23" s="19" t="s">
        <v>99</v>
      </c>
      <c r="C23" s="19" t="s">
        <v>295</v>
      </c>
      <c r="D23" s="24" t="s">
        <v>352</v>
      </c>
      <c r="E23" s="19" t="n">
        <v>4</v>
      </c>
      <c r="F23" s="19" t="n">
        <v>3</v>
      </c>
      <c r="G23" s="37" t="n">
        <f aca="false">IF($E23="","",$E23*$F23)</f>
        <v>12</v>
      </c>
      <c r="H23" s="38" t="str">
        <f aca="false">IF($G23="","",IF($G23&gt;=15,"High",IF($G23&gt;=8,"Medium","Low")))</f>
        <v>Medium</v>
      </c>
      <c r="I23" s="20" t="s">
        <v>234</v>
      </c>
      <c r="J23" s="24" t="s">
        <v>353</v>
      </c>
      <c r="K23" s="19" t="s">
        <v>298</v>
      </c>
      <c r="L23" s="21" t="n">
        <v>46246</v>
      </c>
      <c r="M23" s="21" t="n">
        <v>46291</v>
      </c>
      <c r="N23" s="3"/>
      <c r="O23" s="3"/>
      <c r="P23" s="3"/>
      <c r="Q23" s="3"/>
    </row>
    <row r="24" customFormat="false" ht="15" hidden="false" customHeight="false" outlineLevel="0" collapsed="false">
      <c r="A24" s="13" t="s">
        <v>354</v>
      </c>
      <c r="B24" s="13" t="s">
        <v>99</v>
      </c>
      <c r="C24" s="13" t="s">
        <v>290</v>
      </c>
      <c r="D24" s="18" t="s">
        <v>355</v>
      </c>
      <c r="E24" s="13" t="n">
        <v>3</v>
      </c>
      <c r="F24" s="13" t="n">
        <v>3</v>
      </c>
      <c r="G24" s="33" t="n">
        <f aca="false">IF($E24="","",$E24*$F24)</f>
        <v>9</v>
      </c>
      <c r="H24" s="36" t="str">
        <f aca="false">IF($G24="","",IF($G24&gt;=15,"High",IF($G24&gt;=8,"Medium","Low")))</f>
        <v>Medium</v>
      </c>
      <c r="I24" s="14" t="s">
        <v>102</v>
      </c>
      <c r="J24" s="18" t="s">
        <v>356</v>
      </c>
      <c r="K24" s="13" t="s">
        <v>298</v>
      </c>
      <c r="L24" s="15" t="n">
        <v>46237</v>
      </c>
      <c r="M24" s="15" t="n">
        <v>46295</v>
      </c>
      <c r="N24" s="3"/>
      <c r="O24" s="3"/>
      <c r="P24" s="3"/>
      <c r="Q24" s="3"/>
    </row>
    <row r="25" customFormat="false" ht="22.35" hidden="false" customHeight="false" outlineLevel="0" collapsed="false">
      <c r="A25" s="19" t="s">
        <v>357</v>
      </c>
      <c r="B25" s="19" t="s">
        <v>99</v>
      </c>
      <c r="C25" s="19" t="s">
        <v>290</v>
      </c>
      <c r="D25" s="24" t="s">
        <v>358</v>
      </c>
      <c r="E25" s="19" t="n">
        <v>2</v>
      </c>
      <c r="F25" s="19" t="n">
        <v>4</v>
      </c>
      <c r="G25" s="37" t="n">
        <f aca="false">IF($E25="","",$E25*$F25)</f>
        <v>8</v>
      </c>
      <c r="H25" s="38" t="str">
        <f aca="false">IF($G25="","",IF($G25&gt;=15,"High",IF($G25&gt;=8,"Medium","Low")))</f>
        <v>Medium</v>
      </c>
      <c r="I25" s="20" t="s">
        <v>102</v>
      </c>
      <c r="J25" s="24" t="s">
        <v>359</v>
      </c>
      <c r="K25" s="19" t="s">
        <v>293</v>
      </c>
      <c r="L25" s="21" t="n">
        <v>46253</v>
      </c>
      <c r="M25" s="21" t="n">
        <v>46356</v>
      </c>
      <c r="N25" s="3"/>
      <c r="O25" s="3"/>
      <c r="P25" s="3"/>
      <c r="Q25" s="3"/>
    </row>
    <row r="26" customFormat="false" ht="15" hidden="false" customHeight="false" outlineLevel="0" collapsed="false">
      <c r="A26" s="13" t="s">
        <v>360</v>
      </c>
      <c r="B26" s="13" t="s">
        <v>114</v>
      </c>
      <c r="C26" s="13" t="s">
        <v>290</v>
      </c>
      <c r="D26" s="18" t="s">
        <v>361</v>
      </c>
      <c r="E26" s="13" t="n">
        <v>3</v>
      </c>
      <c r="F26" s="13" t="n">
        <v>3</v>
      </c>
      <c r="G26" s="33" t="n">
        <f aca="false">IF($E26="","",$E26*$F26)</f>
        <v>9</v>
      </c>
      <c r="H26" s="36" t="str">
        <f aca="false">IF($G26="","",IF($G26&gt;=15,"High",IF($G26&gt;=8,"Medium","Low")))</f>
        <v>Medium</v>
      </c>
      <c r="I26" s="14" t="s">
        <v>117</v>
      </c>
      <c r="J26" s="18" t="s">
        <v>362</v>
      </c>
      <c r="K26" s="13" t="s">
        <v>298</v>
      </c>
      <c r="L26" s="15" t="n">
        <v>46217</v>
      </c>
      <c r="M26" s="15" t="n">
        <v>46295</v>
      </c>
      <c r="N26" s="3"/>
      <c r="O26" s="3"/>
      <c r="P26" s="3"/>
      <c r="Q26" s="3"/>
    </row>
    <row r="27" customFormat="false" ht="15" hidden="false" customHeight="false" outlineLevel="0" collapsed="false">
      <c r="A27" s="19" t="s">
        <v>363</v>
      </c>
      <c r="B27" s="19" t="s">
        <v>114</v>
      </c>
      <c r="C27" s="19" t="s">
        <v>290</v>
      </c>
      <c r="D27" s="24" t="s">
        <v>364</v>
      </c>
      <c r="E27" s="19" t="n">
        <v>2</v>
      </c>
      <c r="F27" s="19" t="n">
        <v>4</v>
      </c>
      <c r="G27" s="37" t="n">
        <f aca="false">IF($E27="","",$E27*$F27)</f>
        <v>8</v>
      </c>
      <c r="H27" s="38" t="str">
        <f aca="false">IF($G27="","",IF($G27&gt;=15,"High",IF($G27&gt;=8,"Medium","Low")))</f>
        <v>Medium</v>
      </c>
      <c r="I27" s="20" t="s">
        <v>117</v>
      </c>
      <c r="J27" s="24" t="s">
        <v>365</v>
      </c>
      <c r="K27" s="19" t="s">
        <v>293</v>
      </c>
      <c r="L27" s="21" t="n">
        <v>46241</v>
      </c>
      <c r="M27" s="21" t="n">
        <v>46291</v>
      </c>
      <c r="N27" s="3"/>
      <c r="O27" s="3"/>
      <c r="P27" s="3"/>
      <c r="Q27" s="3"/>
    </row>
    <row r="28" customFormat="false" ht="15" hidden="false" customHeight="false" outlineLevel="0" collapsed="false">
      <c r="A28" s="13"/>
      <c r="B28" s="13"/>
      <c r="C28" s="13"/>
      <c r="D28" s="14"/>
      <c r="E28" s="13"/>
      <c r="F28" s="13"/>
      <c r="G28" s="33" t="str">
        <f aca="false">IF($E28="","",$E28*$F28)</f>
        <v/>
      </c>
      <c r="H28" s="36" t="str">
        <f aca="false">IF($G28="","",IF($G28&gt;=15,"High",IF($G28&gt;=8,"Medium","Low")))</f>
        <v/>
      </c>
      <c r="I28" s="14"/>
      <c r="J28" s="14"/>
      <c r="K28" s="13"/>
      <c r="L28" s="15"/>
      <c r="M28" s="15"/>
      <c r="N28" s="3"/>
      <c r="O28" s="3"/>
      <c r="P28" s="3"/>
      <c r="Q28" s="3"/>
    </row>
    <row r="29" customFormat="false" ht="15" hidden="false" customHeight="false" outlineLevel="0" collapsed="false">
      <c r="A29" s="19"/>
      <c r="B29" s="19"/>
      <c r="C29" s="19"/>
      <c r="D29" s="20"/>
      <c r="E29" s="19"/>
      <c r="F29" s="19"/>
      <c r="G29" s="37" t="str">
        <f aca="false">IF($E29="","",$E29*$F29)</f>
        <v/>
      </c>
      <c r="H29" s="38" t="str">
        <f aca="false">IF($G29="","",IF($G29&gt;=15,"High",IF($G29&gt;=8,"Medium","Low")))</f>
        <v/>
      </c>
      <c r="I29" s="20"/>
      <c r="J29" s="20"/>
      <c r="K29" s="19"/>
      <c r="L29" s="21"/>
      <c r="M29" s="21"/>
      <c r="N29" s="3"/>
      <c r="O29" s="3"/>
      <c r="P29" s="3"/>
      <c r="Q29" s="3"/>
    </row>
    <row r="30" customFormat="false" ht="15" hidden="false" customHeight="false" outlineLevel="0" collapsed="false">
      <c r="A30" s="13"/>
      <c r="B30" s="13"/>
      <c r="C30" s="13"/>
      <c r="D30" s="14"/>
      <c r="E30" s="13"/>
      <c r="F30" s="13"/>
      <c r="G30" s="33" t="str">
        <f aca="false">IF($E30="","",$E30*$F30)</f>
        <v/>
      </c>
      <c r="H30" s="36" t="str">
        <f aca="false">IF($G30="","",IF($G30&gt;=15,"High",IF($G30&gt;=8,"Medium","Low")))</f>
        <v/>
      </c>
      <c r="I30" s="14"/>
      <c r="J30" s="14"/>
      <c r="K30" s="13"/>
      <c r="L30" s="15"/>
      <c r="M30" s="15"/>
      <c r="N30" s="3"/>
      <c r="O30" s="3"/>
      <c r="P30" s="3"/>
      <c r="Q30" s="3"/>
    </row>
    <row r="31" customFormat="false" ht="15" hidden="false" customHeight="false" outlineLevel="0" collapsed="false">
      <c r="A31" s="19"/>
      <c r="B31" s="19"/>
      <c r="C31" s="19"/>
      <c r="D31" s="20"/>
      <c r="E31" s="19"/>
      <c r="F31" s="19"/>
      <c r="G31" s="37" t="str">
        <f aca="false">IF($E31="","",$E31*$F31)</f>
        <v/>
      </c>
      <c r="H31" s="38" t="str">
        <f aca="false">IF($G31="","",IF($G31&gt;=15,"High",IF($G31&gt;=8,"Medium","Low")))</f>
        <v/>
      </c>
      <c r="I31" s="20"/>
      <c r="J31" s="20"/>
      <c r="K31" s="19"/>
      <c r="L31" s="21"/>
      <c r="M31" s="21"/>
      <c r="N31" s="3"/>
      <c r="O31" s="3"/>
      <c r="P31" s="3"/>
      <c r="Q31" s="3"/>
    </row>
    <row r="32" customFormat="false" ht="15" hidden="false" customHeight="false" outlineLevel="0" collapsed="false">
      <c r="A32" s="13"/>
      <c r="B32" s="13"/>
      <c r="C32" s="13"/>
      <c r="D32" s="14"/>
      <c r="E32" s="13"/>
      <c r="F32" s="13"/>
      <c r="G32" s="33" t="str">
        <f aca="false">IF($E32="","",$E32*$F32)</f>
        <v/>
      </c>
      <c r="H32" s="36" t="str">
        <f aca="false">IF($G32="","",IF($G32&gt;=15,"High",IF($G32&gt;=8,"Medium","Low")))</f>
        <v/>
      </c>
      <c r="I32" s="14"/>
      <c r="J32" s="14"/>
      <c r="K32" s="13"/>
      <c r="L32" s="15"/>
      <c r="M32" s="15"/>
      <c r="N32" s="3"/>
      <c r="O32" s="3"/>
      <c r="P32" s="3"/>
      <c r="Q32" s="3"/>
    </row>
    <row r="33" customFormat="false" ht="15" hidden="false" customHeight="false" outlineLevel="0" collapsed="false">
      <c r="A33" s="19"/>
      <c r="B33" s="19"/>
      <c r="C33" s="19"/>
      <c r="D33" s="20"/>
      <c r="E33" s="19"/>
      <c r="F33" s="19"/>
      <c r="G33" s="37" t="str">
        <f aca="false">IF($E33="","",$E33*$F33)</f>
        <v/>
      </c>
      <c r="H33" s="38" t="str">
        <f aca="false">IF($G33="","",IF($G33&gt;=15,"High",IF($G33&gt;=8,"Medium","Low")))</f>
        <v/>
      </c>
      <c r="I33" s="20"/>
      <c r="J33" s="20"/>
      <c r="K33" s="19"/>
      <c r="L33" s="21"/>
      <c r="M33" s="21"/>
      <c r="N33" s="3"/>
      <c r="O33" s="3"/>
      <c r="P33" s="3"/>
      <c r="Q33" s="3"/>
    </row>
    <row r="34" customFormat="false" ht="15" hidden="false" customHeight="false" outlineLevel="0" collapsed="false">
      <c r="A34" s="13"/>
      <c r="B34" s="13"/>
      <c r="C34" s="13"/>
      <c r="D34" s="14"/>
      <c r="E34" s="13"/>
      <c r="F34" s="13"/>
      <c r="G34" s="33" t="str">
        <f aca="false">IF($E34="","",$E34*$F34)</f>
        <v/>
      </c>
      <c r="H34" s="36" t="str">
        <f aca="false">IF($G34="","",IF($G34&gt;=15,"High",IF($G34&gt;=8,"Medium","Low")))</f>
        <v/>
      </c>
      <c r="I34" s="14"/>
      <c r="J34" s="14"/>
      <c r="K34" s="13"/>
      <c r="L34" s="15"/>
      <c r="M34" s="15"/>
      <c r="N34" s="3"/>
      <c r="O34" s="3"/>
      <c r="P34" s="3"/>
      <c r="Q34" s="3"/>
    </row>
    <row r="35" customFormat="false" ht="15" hidden="false" customHeight="false" outlineLevel="0" collapsed="false">
      <c r="A35" s="19"/>
      <c r="B35" s="19"/>
      <c r="C35" s="19"/>
      <c r="D35" s="20"/>
      <c r="E35" s="19"/>
      <c r="F35" s="19"/>
      <c r="G35" s="37" t="str">
        <f aca="false">IF($E35="","",$E35*$F35)</f>
        <v/>
      </c>
      <c r="H35" s="38" t="str">
        <f aca="false">IF($G35="","",IF($G35&gt;=15,"High",IF($G35&gt;=8,"Medium","Low")))</f>
        <v/>
      </c>
      <c r="I35" s="20"/>
      <c r="J35" s="20"/>
      <c r="K35" s="19"/>
      <c r="L35" s="21"/>
      <c r="M35" s="21"/>
      <c r="N35" s="3"/>
      <c r="O35" s="3"/>
      <c r="P35" s="3"/>
      <c r="Q35" s="3"/>
    </row>
    <row r="36" customFormat="false" ht="15" hidden="false" customHeight="false" outlineLevel="0" collapsed="false">
      <c r="A36" s="13"/>
      <c r="B36" s="13"/>
      <c r="C36" s="13"/>
      <c r="D36" s="14"/>
      <c r="E36" s="13"/>
      <c r="F36" s="13"/>
      <c r="G36" s="33" t="str">
        <f aca="false">IF($E36="","",$E36*$F36)</f>
        <v/>
      </c>
      <c r="H36" s="36" t="str">
        <f aca="false">IF($G36="","",IF($G36&gt;=15,"High",IF($G36&gt;=8,"Medium","Low")))</f>
        <v/>
      </c>
      <c r="I36" s="14"/>
      <c r="J36" s="14"/>
      <c r="K36" s="13"/>
      <c r="L36" s="15"/>
      <c r="M36" s="15"/>
      <c r="N36" s="3"/>
      <c r="O36" s="3"/>
      <c r="P36" s="3"/>
      <c r="Q36" s="3"/>
    </row>
    <row r="37" customFormat="false" ht="15" hidden="false" customHeight="false" outlineLevel="0" collapsed="false">
      <c r="A37" s="19"/>
      <c r="B37" s="19"/>
      <c r="C37" s="19"/>
      <c r="D37" s="20"/>
      <c r="E37" s="19"/>
      <c r="F37" s="19"/>
      <c r="G37" s="37" t="str">
        <f aca="false">IF($E37="","",$E37*$F37)</f>
        <v/>
      </c>
      <c r="H37" s="38" t="str">
        <f aca="false">IF($G37="","",IF($G37&gt;=15,"High",IF($G37&gt;=8,"Medium","Low")))</f>
        <v/>
      </c>
      <c r="I37" s="20"/>
      <c r="J37" s="20"/>
      <c r="K37" s="19"/>
      <c r="L37" s="21"/>
      <c r="M37" s="21"/>
      <c r="N37" s="3"/>
      <c r="O37" s="3"/>
      <c r="P37" s="3"/>
      <c r="Q37" s="3"/>
    </row>
    <row r="38" customFormat="false" ht="15" hidden="false" customHeight="false" outlineLevel="0" collapsed="false">
      <c r="A38" s="13"/>
      <c r="B38" s="13"/>
      <c r="C38" s="13"/>
      <c r="D38" s="14"/>
      <c r="E38" s="13"/>
      <c r="F38" s="13"/>
      <c r="G38" s="33" t="str">
        <f aca="false">IF($E38="","",$E38*$F38)</f>
        <v/>
      </c>
      <c r="H38" s="36" t="str">
        <f aca="false">IF($G38="","",IF($G38&gt;=15,"High",IF($G38&gt;=8,"Medium","Low")))</f>
        <v/>
      </c>
      <c r="I38" s="14"/>
      <c r="J38" s="14"/>
      <c r="K38" s="13"/>
      <c r="L38" s="15"/>
      <c r="M38" s="15"/>
      <c r="N38" s="3"/>
      <c r="O38" s="3"/>
      <c r="P38" s="3"/>
      <c r="Q38" s="3"/>
    </row>
    <row r="39" customFormat="false" ht="15" hidden="false" customHeight="false" outlineLevel="0" collapsed="false">
      <c r="A39" s="19"/>
      <c r="B39" s="19"/>
      <c r="C39" s="19"/>
      <c r="D39" s="20"/>
      <c r="E39" s="19"/>
      <c r="F39" s="19"/>
      <c r="G39" s="37" t="str">
        <f aca="false">IF($E39="","",$E39*$F39)</f>
        <v/>
      </c>
      <c r="H39" s="38" t="str">
        <f aca="false">IF($G39="","",IF($G39&gt;=15,"High",IF($G39&gt;=8,"Medium","Low")))</f>
        <v/>
      </c>
      <c r="I39" s="20"/>
      <c r="J39" s="20"/>
      <c r="K39" s="19"/>
      <c r="L39" s="21"/>
      <c r="M39" s="21"/>
      <c r="N39" s="3"/>
      <c r="O39" s="3"/>
      <c r="P39" s="3"/>
      <c r="Q39" s="3"/>
    </row>
    <row r="40" customFormat="false" ht="15" hidden="false" customHeight="false" outlineLevel="0" collapsed="false">
      <c r="A40" s="13"/>
      <c r="B40" s="13"/>
      <c r="C40" s="13"/>
      <c r="D40" s="14"/>
      <c r="E40" s="13"/>
      <c r="F40" s="13"/>
      <c r="G40" s="33" t="str">
        <f aca="false">IF($E40="","",$E40*$F40)</f>
        <v/>
      </c>
      <c r="H40" s="36" t="str">
        <f aca="false">IF($G40="","",IF($G40&gt;=15,"High",IF($G40&gt;=8,"Medium","Low")))</f>
        <v/>
      </c>
      <c r="I40" s="14"/>
      <c r="J40" s="14"/>
      <c r="K40" s="13"/>
      <c r="L40" s="15"/>
      <c r="M40" s="15"/>
      <c r="N40" s="3"/>
      <c r="O40" s="3"/>
      <c r="P40" s="3"/>
      <c r="Q40" s="3"/>
    </row>
    <row r="41" customFormat="false" ht="15" hidden="false" customHeight="false" outlineLevel="0" collapsed="false">
      <c r="A41" s="19"/>
      <c r="B41" s="19"/>
      <c r="C41" s="19"/>
      <c r="D41" s="20"/>
      <c r="E41" s="19"/>
      <c r="F41" s="19"/>
      <c r="G41" s="37" t="str">
        <f aca="false">IF($E41="","",$E41*$F41)</f>
        <v/>
      </c>
      <c r="H41" s="38" t="str">
        <f aca="false">IF($G41="","",IF($G41&gt;=15,"High",IF($G41&gt;=8,"Medium","Low")))</f>
        <v/>
      </c>
      <c r="I41" s="20"/>
      <c r="J41" s="20"/>
      <c r="K41" s="19"/>
      <c r="L41" s="21"/>
      <c r="M41" s="21"/>
      <c r="N41" s="3"/>
      <c r="O41" s="3"/>
      <c r="P41" s="3"/>
      <c r="Q41" s="3"/>
    </row>
    <row r="42" customFormat="false" ht="15" hidden="false" customHeight="false" outlineLevel="0" collapsed="false">
      <c r="A42" s="13"/>
      <c r="B42" s="13"/>
      <c r="C42" s="13"/>
      <c r="D42" s="14"/>
      <c r="E42" s="13"/>
      <c r="F42" s="13"/>
      <c r="G42" s="33" t="str">
        <f aca="false">IF($E42="","",$E42*$F42)</f>
        <v/>
      </c>
      <c r="H42" s="36" t="str">
        <f aca="false">IF($G42="","",IF($G42&gt;=15,"High",IF($G42&gt;=8,"Medium","Low")))</f>
        <v/>
      </c>
      <c r="I42" s="14"/>
      <c r="J42" s="14"/>
      <c r="K42" s="13"/>
      <c r="L42" s="15"/>
      <c r="M42" s="15"/>
      <c r="N42" s="3"/>
      <c r="O42" s="3"/>
      <c r="P42" s="3"/>
      <c r="Q42" s="3"/>
    </row>
    <row r="43" customFormat="false" ht="15" hidden="false" customHeight="false" outlineLevel="0" collapsed="false">
      <c r="A43" s="19"/>
      <c r="B43" s="19"/>
      <c r="C43" s="19"/>
      <c r="D43" s="20"/>
      <c r="E43" s="19"/>
      <c r="F43" s="19"/>
      <c r="G43" s="37" t="str">
        <f aca="false">IF($E43="","",$E43*$F43)</f>
        <v/>
      </c>
      <c r="H43" s="38" t="str">
        <f aca="false">IF($G43="","",IF($G43&gt;=15,"High",IF($G43&gt;=8,"Medium","Low")))</f>
        <v/>
      </c>
      <c r="I43" s="20"/>
      <c r="J43" s="20"/>
      <c r="K43" s="19"/>
      <c r="L43" s="21"/>
      <c r="M43" s="21"/>
      <c r="N43" s="3"/>
      <c r="O43" s="3"/>
      <c r="P43" s="3"/>
      <c r="Q43" s="3"/>
    </row>
    <row r="44" customFormat="false" ht="15" hidden="false" customHeight="false" outlineLevel="0" collapsed="false">
      <c r="A44" s="13"/>
      <c r="B44" s="13"/>
      <c r="C44" s="13"/>
      <c r="D44" s="14"/>
      <c r="E44" s="13"/>
      <c r="F44" s="13"/>
      <c r="G44" s="33" t="str">
        <f aca="false">IF($E44="","",$E44*$F44)</f>
        <v/>
      </c>
      <c r="H44" s="36" t="str">
        <f aca="false">IF($G44="","",IF($G44&gt;=15,"High",IF($G44&gt;=8,"Medium","Low")))</f>
        <v/>
      </c>
      <c r="I44" s="14"/>
      <c r="J44" s="14"/>
      <c r="K44" s="13"/>
      <c r="L44" s="15"/>
      <c r="M44" s="15"/>
      <c r="N44" s="3"/>
      <c r="O44" s="3"/>
      <c r="P44" s="3"/>
      <c r="Q44" s="3"/>
    </row>
    <row r="45" customFormat="false" ht="15" hidden="false" customHeight="false" outlineLevel="0" collapsed="false">
      <c r="A45" s="19"/>
      <c r="B45" s="19"/>
      <c r="C45" s="19"/>
      <c r="D45" s="20"/>
      <c r="E45" s="19"/>
      <c r="F45" s="19"/>
      <c r="G45" s="37" t="str">
        <f aca="false">IF($E45="","",$E45*$F45)</f>
        <v/>
      </c>
      <c r="H45" s="38" t="str">
        <f aca="false">IF($G45="","",IF($G45&gt;=15,"High",IF($G45&gt;=8,"Medium","Low")))</f>
        <v/>
      </c>
      <c r="I45" s="20"/>
      <c r="J45" s="20"/>
      <c r="K45" s="19"/>
      <c r="L45" s="21"/>
      <c r="M45" s="21"/>
      <c r="N45" s="3"/>
      <c r="O45" s="3"/>
      <c r="P45" s="3"/>
      <c r="Q45" s="3"/>
    </row>
    <row r="46" customFormat="false" ht="15" hidden="false" customHeight="false" outlineLevel="0" collapsed="false">
      <c r="A46" s="13"/>
      <c r="B46" s="13"/>
      <c r="C46" s="13"/>
      <c r="D46" s="14"/>
      <c r="E46" s="13"/>
      <c r="F46" s="13"/>
      <c r="G46" s="33" t="str">
        <f aca="false">IF($E46="","",$E46*$F46)</f>
        <v/>
      </c>
      <c r="H46" s="36" t="str">
        <f aca="false">IF($G46="","",IF($G46&gt;=15,"High",IF($G46&gt;=8,"Medium","Low")))</f>
        <v/>
      </c>
      <c r="I46" s="14"/>
      <c r="J46" s="14"/>
      <c r="K46" s="13"/>
      <c r="L46" s="15"/>
      <c r="M46" s="15"/>
      <c r="N46" s="3"/>
      <c r="O46" s="3"/>
      <c r="P46" s="3"/>
      <c r="Q46" s="3"/>
    </row>
    <row r="47" customFormat="false" ht="15" hidden="false" customHeight="false" outlineLevel="0" collapsed="false">
      <c r="A47" s="19"/>
      <c r="B47" s="19"/>
      <c r="C47" s="19"/>
      <c r="D47" s="20"/>
      <c r="E47" s="19"/>
      <c r="F47" s="19"/>
      <c r="G47" s="37" t="str">
        <f aca="false">IF($E47="","",$E47*$F47)</f>
        <v/>
      </c>
      <c r="H47" s="38" t="str">
        <f aca="false">IF($G47="","",IF($G47&gt;=15,"High",IF($G47&gt;=8,"Medium","Low")))</f>
        <v/>
      </c>
      <c r="I47" s="20"/>
      <c r="J47" s="20"/>
      <c r="K47" s="19"/>
      <c r="L47" s="21"/>
      <c r="M47" s="21"/>
      <c r="N47" s="3"/>
      <c r="O47" s="3"/>
      <c r="P47" s="3"/>
      <c r="Q47" s="3"/>
    </row>
    <row r="48" customFormat="false" ht="15" hidden="false" customHeight="false" outlineLevel="0" collapsed="false">
      <c r="A48" s="13"/>
      <c r="B48" s="13"/>
      <c r="C48" s="13"/>
      <c r="D48" s="14"/>
      <c r="E48" s="13"/>
      <c r="F48" s="13"/>
      <c r="G48" s="33" t="str">
        <f aca="false">IF($E48="","",$E48*$F48)</f>
        <v/>
      </c>
      <c r="H48" s="36" t="str">
        <f aca="false">IF($G48="","",IF($G48&gt;=15,"High",IF($G48&gt;=8,"Medium","Low")))</f>
        <v/>
      </c>
      <c r="I48" s="14"/>
      <c r="J48" s="14"/>
      <c r="K48" s="13"/>
      <c r="L48" s="15"/>
      <c r="M48" s="15"/>
      <c r="N48" s="3"/>
      <c r="O48" s="3"/>
      <c r="P48" s="3"/>
      <c r="Q48" s="3"/>
    </row>
    <row r="49" customFormat="false" ht="15" hidden="false" customHeight="false" outlineLevel="0" collapsed="false">
      <c r="A49" s="19"/>
      <c r="B49" s="19"/>
      <c r="C49" s="19"/>
      <c r="D49" s="20"/>
      <c r="E49" s="19"/>
      <c r="F49" s="19"/>
      <c r="G49" s="37" t="str">
        <f aca="false">IF($E49="","",$E49*$F49)</f>
        <v/>
      </c>
      <c r="H49" s="38" t="str">
        <f aca="false">IF($G49="","",IF($G49&gt;=15,"High",IF($G49&gt;=8,"Medium","Low")))</f>
        <v/>
      </c>
      <c r="I49" s="20"/>
      <c r="J49" s="20"/>
      <c r="K49" s="19"/>
      <c r="L49" s="21"/>
      <c r="M49" s="21"/>
      <c r="N49" s="3"/>
      <c r="O49" s="3"/>
      <c r="P49" s="3"/>
      <c r="Q49" s="3"/>
    </row>
    <row r="50" customFormat="false" ht="15" hidden="false" customHeight="false" outlineLevel="0" collapsed="false">
      <c r="A50" s="13"/>
      <c r="B50" s="13"/>
      <c r="C50" s="13"/>
      <c r="D50" s="14"/>
      <c r="E50" s="13"/>
      <c r="F50" s="13"/>
      <c r="G50" s="33" t="str">
        <f aca="false">IF($E50="","",$E50*$F50)</f>
        <v/>
      </c>
      <c r="H50" s="36" t="str">
        <f aca="false">IF($G50="","",IF($G50&gt;=15,"High",IF($G50&gt;=8,"Medium","Low")))</f>
        <v/>
      </c>
      <c r="I50" s="14"/>
      <c r="J50" s="14"/>
      <c r="K50" s="13"/>
      <c r="L50" s="15"/>
      <c r="M50" s="15"/>
      <c r="N50" s="3"/>
      <c r="O50" s="3"/>
      <c r="P50" s="3"/>
      <c r="Q50" s="3"/>
    </row>
    <row r="51" customFormat="false" ht="15" hidden="false" customHeight="false" outlineLevel="0" collapsed="false">
      <c r="A51" s="19"/>
      <c r="B51" s="19"/>
      <c r="C51" s="19"/>
      <c r="D51" s="20"/>
      <c r="E51" s="19"/>
      <c r="F51" s="19"/>
      <c r="G51" s="37" t="str">
        <f aca="false">IF($E51="","",$E51*$F51)</f>
        <v/>
      </c>
      <c r="H51" s="38" t="str">
        <f aca="false">IF($G51="","",IF($G51&gt;=15,"High",IF($G51&gt;=8,"Medium","Low")))</f>
        <v/>
      </c>
      <c r="I51" s="20"/>
      <c r="J51" s="20"/>
      <c r="K51" s="19"/>
      <c r="L51" s="21"/>
      <c r="M51" s="21"/>
      <c r="N51" s="3"/>
      <c r="O51" s="3"/>
      <c r="P51" s="3"/>
      <c r="Q51" s="3"/>
    </row>
    <row r="52" customFormat="false" ht="15" hidden="false" customHeight="false" outlineLevel="0" collapsed="false">
      <c r="A52" s="13"/>
      <c r="B52" s="13"/>
      <c r="C52" s="13"/>
      <c r="D52" s="14"/>
      <c r="E52" s="13"/>
      <c r="F52" s="13"/>
      <c r="G52" s="33" t="str">
        <f aca="false">IF($E52="","",$E52*$F52)</f>
        <v/>
      </c>
      <c r="H52" s="36" t="str">
        <f aca="false">IF($G52="","",IF($G52&gt;=15,"High",IF($G52&gt;=8,"Medium","Low")))</f>
        <v/>
      </c>
      <c r="I52" s="14"/>
      <c r="J52" s="14"/>
      <c r="K52" s="13"/>
      <c r="L52" s="15"/>
      <c r="M52" s="15"/>
      <c r="N52" s="3"/>
      <c r="O52" s="3"/>
      <c r="P52" s="3"/>
      <c r="Q52" s="3"/>
    </row>
    <row r="53" customFormat="false" ht="15" hidden="false" customHeight="false" outlineLevel="0" collapsed="false">
      <c r="A53" s="19"/>
      <c r="B53" s="19"/>
      <c r="C53" s="19"/>
      <c r="D53" s="20"/>
      <c r="E53" s="19"/>
      <c r="F53" s="19"/>
      <c r="G53" s="37" t="str">
        <f aca="false">IF($E53="","",$E53*$F53)</f>
        <v/>
      </c>
      <c r="H53" s="38" t="str">
        <f aca="false">IF($G53="","",IF($G53&gt;=15,"High",IF($G53&gt;=8,"Medium","Low")))</f>
        <v/>
      </c>
      <c r="I53" s="20"/>
      <c r="J53" s="20"/>
      <c r="K53" s="19"/>
      <c r="L53" s="21"/>
      <c r="M53" s="21"/>
      <c r="N53" s="3"/>
      <c r="O53" s="3"/>
      <c r="P53" s="3"/>
      <c r="Q53" s="3"/>
    </row>
    <row r="54" customFormat="false" ht="15" hidden="false" customHeight="false" outlineLevel="0" collapsed="false">
      <c r="A54" s="13"/>
      <c r="B54" s="13"/>
      <c r="C54" s="13"/>
      <c r="D54" s="14"/>
      <c r="E54" s="13"/>
      <c r="F54" s="13"/>
      <c r="G54" s="33" t="str">
        <f aca="false">IF($E54="","",$E54*$F54)</f>
        <v/>
      </c>
      <c r="H54" s="36" t="str">
        <f aca="false">IF($G54="","",IF($G54&gt;=15,"High",IF($G54&gt;=8,"Medium","Low")))</f>
        <v/>
      </c>
      <c r="I54" s="14"/>
      <c r="J54" s="14"/>
      <c r="K54" s="13"/>
      <c r="L54" s="15"/>
      <c r="M54" s="15"/>
      <c r="N54" s="3"/>
      <c r="O54" s="3"/>
      <c r="P54" s="3"/>
      <c r="Q54" s="3"/>
    </row>
    <row r="55" customFormat="false" ht="15" hidden="false" customHeight="false" outlineLevel="0" collapsed="false">
      <c r="A55" s="19"/>
      <c r="B55" s="19"/>
      <c r="C55" s="19"/>
      <c r="D55" s="20"/>
      <c r="E55" s="19"/>
      <c r="F55" s="19"/>
      <c r="G55" s="37" t="str">
        <f aca="false">IF($E55="","",$E55*$F55)</f>
        <v/>
      </c>
      <c r="H55" s="38" t="str">
        <f aca="false">IF($G55="","",IF($G55&gt;=15,"High",IF($G55&gt;=8,"Medium","Low")))</f>
        <v/>
      </c>
      <c r="I55" s="20"/>
      <c r="J55" s="20"/>
      <c r="K55" s="19"/>
      <c r="L55" s="21"/>
      <c r="M55" s="21"/>
      <c r="N55" s="3"/>
      <c r="O55" s="3"/>
      <c r="P55" s="3"/>
      <c r="Q55" s="3"/>
    </row>
    <row r="56" customFormat="false" ht="15" hidden="false" customHeight="false" outlineLevel="0" collapsed="false">
      <c r="A56" s="13"/>
      <c r="B56" s="13"/>
      <c r="C56" s="13"/>
      <c r="D56" s="14"/>
      <c r="E56" s="13"/>
      <c r="F56" s="13"/>
      <c r="G56" s="33" t="str">
        <f aca="false">IF($E56="","",$E56*$F56)</f>
        <v/>
      </c>
      <c r="H56" s="36" t="str">
        <f aca="false">IF($G56="","",IF($G56&gt;=15,"High",IF($G56&gt;=8,"Medium","Low")))</f>
        <v/>
      </c>
      <c r="I56" s="14"/>
      <c r="J56" s="14"/>
      <c r="K56" s="13"/>
      <c r="L56" s="15"/>
      <c r="M56" s="15"/>
      <c r="N56" s="3"/>
      <c r="O56" s="3"/>
      <c r="P56" s="3"/>
      <c r="Q56" s="3"/>
    </row>
    <row r="57" customFormat="false" ht="15" hidden="false" customHeight="false" outlineLevel="0" collapsed="false">
      <c r="A57" s="19"/>
      <c r="B57" s="19"/>
      <c r="C57" s="19"/>
      <c r="D57" s="20"/>
      <c r="E57" s="19"/>
      <c r="F57" s="19"/>
      <c r="G57" s="37" t="str">
        <f aca="false">IF($E57="","",$E57*$F57)</f>
        <v/>
      </c>
      <c r="H57" s="38" t="str">
        <f aca="false">IF($G57="","",IF($G57&gt;=15,"High",IF($G57&gt;=8,"Medium","Low")))</f>
        <v/>
      </c>
      <c r="I57" s="20"/>
      <c r="J57" s="20"/>
      <c r="K57" s="19"/>
      <c r="L57" s="21"/>
      <c r="M57" s="21"/>
      <c r="N57" s="3"/>
      <c r="O57" s="3"/>
      <c r="P57" s="3"/>
      <c r="Q57" s="3"/>
    </row>
    <row r="58" customFormat="false" ht="15" hidden="false" customHeight="false" outlineLevel="0" collapsed="false">
      <c r="A58" s="13"/>
      <c r="B58" s="13"/>
      <c r="C58" s="13"/>
      <c r="D58" s="14"/>
      <c r="E58" s="13"/>
      <c r="F58" s="13"/>
      <c r="G58" s="33" t="str">
        <f aca="false">IF($E58="","",$E58*$F58)</f>
        <v/>
      </c>
      <c r="H58" s="36" t="str">
        <f aca="false">IF($G58="","",IF($G58&gt;=15,"High",IF($G58&gt;=8,"Medium","Low")))</f>
        <v/>
      </c>
      <c r="I58" s="14"/>
      <c r="J58" s="14"/>
      <c r="K58" s="13"/>
      <c r="L58" s="15"/>
      <c r="M58" s="15"/>
      <c r="N58" s="3"/>
      <c r="O58" s="3"/>
      <c r="P58" s="3"/>
      <c r="Q58" s="3"/>
    </row>
    <row r="59" customFormat="false" ht="15" hidden="false" customHeight="false" outlineLevel="0" collapsed="false">
      <c r="A59" s="19"/>
      <c r="B59" s="19"/>
      <c r="C59" s="19"/>
      <c r="D59" s="20"/>
      <c r="E59" s="19"/>
      <c r="F59" s="19"/>
      <c r="G59" s="37" t="str">
        <f aca="false">IF($E59="","",$E59*$F59)</f>
        <v/>
      </c>
      <c r="H59" s="38" t="str">
        <f aca="false">IF($G59="","",IF($G59&gt;=15,"High",IF($G59&gt;=8,"Medium","Low")))</f>
        <v/>
      </c>
      <c r="I59" s="20"/>
      <c r="J59" s="20"/>
      <c r="K59" s="19"/>
      <c r="L59" s="21"/>
      <c r="M59" s="21"/>
      <c r="N59" s="3"/>
      <c r="O59" s="3"/>
      <c r="P59" s="3"/>
      <c r="Q59" s="3"/>
    </row>
    <row r="60" customFormat="false" ht="15" hidden="false" customHeight="false" outlineLevel="0" collapsed="false">
      <c r="A60" s="13"/>
      <c r="B60" s="13"/>
      <c r="C60" s="13"/>
      <c r="D60" s="14"/>
      <c r="E60" s="13"/>
      <c r="F60" s="13"/>
      <c r="G60" s="33" t="str">
        <f aca="false">IF($E60="","",$E60*$F60)</f>
        <v/>
      </c>
      <c r="H60" s="36" t="str">
        <f aca="false">IF($G60="","",IF($G60&gt;=15,"High",IF($G60&gt;=8,"Medium","Low")))</f>
        <v/>
      </c>
      <c r="I60" s="14"/>
      <c r="J60" s="14"/>
      <c r="K60" s="13"/>
      <c r="L60" s="15"/>
      <c r="M60" s="15"/>
      <c r="N60" s="3"/>
      <c r="O60" s="3"/>
      <c r="P60" s="3"/>
      <c r="Q60" s="3"/>
    </row>
    <row r="61" customFormat="false" ht="15" hidden="false" customHeight="false" outlineLevel="0" collapsed="false">
      <c r="A61" s="19"/>
      <c r="B61" s="19"/>
      <c r="C61" s="19"/>
      <c r="D61" s="20"/>
      <c r="E61" s="19"/>
      <c r="F61" s="19"/>
      <c r="G61" s="37" t="str">
        <f aca="false">IF($E61="","",$E61*$F61)</f>
        <v/>
      </c>
      <c r="H61" s="38" t="str">
        <f aca="false">IF($G61="","",IF($G61&gt;=15,"High",IF($G61&gt;=8,"Medium","Low")))</f>
        <v/>
      </c>
      <c r="I61" s="20"/>
      <c r="J61" s="20"/>
      <c r="K61" s="19"/>
      <c r="L61" s="21"/>
      <c r="M61" s="21"/>
      <c r="N61" s="3"/>
      <c r="O61" s="3"/>
      <c r="P61" s="3"/>
      <c r="Q61" s="3"/>
    </row>
    <row r="62" customFormat="false" ht="15" hidden="false" customHeight="false" outlineLevel="0" collapsed="false">
      <c r="A62" s="13"/>
      <c r="B62" s="13"/>
      <c r="C62" s="13"/>
      <c r="D62" s="14"/>
      <c r="E62" s="13"/>
      <c r="F62" s="13"/>
      <c r="G62" s="33" t="str">
        <f aca="false">IF($E62="","",$E62*$F62)</f>
        <v/>
      </c>
      <c r="H62" s="36" t="str">
        <f aca="false">IF($G62="","",IF($G62&gt;=15,"High",IF($G62&gt;=8,"Medium","Low")))</f>
        <v/>
      </c>
      <c r="I62" s="14"/>
      <c r="J62" s="14"/>
      <c r="K62" s="13"/>
      <c r="L62" s="15"/>
      <c r="M62" s="15"/>
      <c r="N62" s="3"/>
      <c r="O62" s="3"/>
      <c r="P62" s="3"/>
      <c r="Q62" s="3"/>
    </row>
    <row r="63" customFormat="false" ht="15" hidden="false" customHeight="false" outlineLevel="0" collapsed="false">
      <c r="A63" s="19"/>
      <c r="B63" s="19"/>
      <c r="C63" s="19"/>
      <c r="D63" s="20"/>
      <c r="E63" s="19"/>
      <c r="F63" s="19"/>
      <c r="G63" s="37" t="str">
        <f aca="false">IF($E63="","",$E63*$F63)</f>
        <v/>
      </c>
      <c r="H63" s="38" t="str">
        <f aca="false">IF($G63="","",IF($G63&gt;=15,"High",IF($G63&gt;=8,"Medium","Low")))</f>
        <v/>
      </c>
      <c r="I63" s="20"/>
      <c r="J63" s="20"/>
      <c r="K63" s="19"/>
      <c r="L63" s="21"/>
      <c r="M63" s="21"/>
      <c r="N63" s="3"/>
      <c r="O63" s="3"/>
      <c r="P63" s="3"/>
      <c r="Q63" s="3"/>
    </row>
    <row r="64" customFormat="false" ht="15" hidden="false" customHeight="false" outlineLevel="0" collapsed="false">
      <c r="A64" s="13"/>
      <c r="B64" s="13"/>
      <c r="C64" s="13"/>
      <c r="D64" s="14"/>
      <c r="E64" s="13"/>
      <c r="F64" s="13"/>
      <c r="G64" s="33" t="str">
        <f aca="false">IF($E64="","",$E64*$F64)</f>
        <v/>
      </c>
      <c r="H64" s="36" t="str">
        <f aca="false">IF($G64="","",IF($G64&gt;=15,"High",IF($G64&gt;=8,"Medium","Low")))</f>
        <v/>
      </c>
      <c r="I64" s="14"/>
      <c r="J64" s="14"/>
      <c r="K64" s="13"/>
      <c r="L64" s="15"/>
      <c r="M64" s="15"/>
      <c r="N64" s="3"/>
      <c r="O64" s="3"/>
      <c r="P64" s="3"/>
      <c r="Q64" s="3"/>
    </row>
    <row r="65" customFormat="false" ht="15" hidden="false" customHeight="false" outlineLevel="0" collapsed="false">
      <c r="A65" s="19"/>
      <c r="B65" s="19"/>
      <c r="C65" s="19"/>
      <c r="D65" s="20"/>
      <c r="E65" s="19"/>
      <c r="F65" s="19"/>
      <c r="G65" s="37" t="str">
        <f aca="false">IF($E65="","",$E65*$F65)</f>
        <v/>
      </c>
      <c r="H65" s="38" t="str">
        <f aca="false">IF($G65="","",IF($G65&gt;=15,"High",IF($G65&gt;=8,"Medium","Low")))</f>
        <v/>
      </c>
      <c r="I65" s="20"/>
      <c r="J65" s="20"/>
      <c r="K65" s="19"/>
      <c r="L65" s="21"/>
      <c r="M65" s="21"/>
      <c r="N65" s="3"/>
      <c r="O65" s="3"/>
      <c r="P65" s="3"/>
      <c r="Q65" s="3"/>
    </row>
    <row r="66" customFormat="false" ht="15" hidden="false" customHeight="false" outlineLevel="0" collapsed="false">
      <c r="A66" s="13"/>
      <c r="B66" s="13"/>
      <c r="C66" s="13"/>
      <c r="D66" s="14"/>
      <c r="E66" s="13"/>
      <c r="F66" s="13"/>
      <c r="G66" s="33" t="str">
        <f aca="false">IF($E66="","",$E66*$F66)</f>
        <v/>
      </c>
      <c r="H66" s="36" t="str">
        <f aca="false">IF($G66="","",IF($G66&gt;=15,"High",IF($G66&gt;=8,"Medium","Low")))</f>
        <v/>
      </c>
      <c r="I66" s="14"/>
      <c r="J66" s="14"/>
      <c r="K66" s="13"/>
      <c r="L66" s="15"/>
      <c r="M66" s="15"/>
      <c r="N66" s="3"/>
      <c r="O66" s="3"/>
      <c r="P66" s="3"/>
      <c r="Q66" s="3"/>
    </row>
    <row r="67" customFormat="false" ht="15" hidden="false" customHeight="false" outlineLevel="0" collapsed="false">
      <c r="A67" s="19"/>
      <c r="B67" s="19"/>
      <c r="C67" s="19"/>
      <c r="D67" s="20"/>
      <c r="E67" s="19"/>
      <c r="F67" s="19"/>
      <c r="G67" s="37" t="str">
        <f aca="false">IF($E67="","",$E67*$F67)</f>
        <v/>
      </c>
      <c r="H67" s="38" t="str">
        <f aca="false">IF($G67="","",IF($G67&gt;=15,"High",IF($G67&gt;=8,"Medium","Low")))</f>
        <v/>
      </c>
      <c r="I67" s="20"/>
      <c r="J67" s="20"/>
      <c r="K67" s="19"/>
      <c r="L67" s="21"/>
      <c r="M67" s="21"/>
      <c r="N67" s="3"/>
      <c r="O67" s="3"/>
      <c r="P67" s="3"/>
      <c r="Q67" s="3"/>
    </row>
    <row r="68" customFormat="false" ht="15" hidden="false" customHeight="false" outlineLevel="0" collapsed="false">
      <c r="A68" s="13"/>
      <c r="B68" s="13"/>
      <c r="C68" s="13"/>
      <c r="D68" s="14"/>
      <c r="E68" s="13"/>
      <c r="F68" s="13"/>
      <c r="G68" s="33" t="str">
        <f aca="false">IF($E68="","",$E68*$F68)</f>
        <v/>
      </c>
      <c r="H68" s="36" t="str">
        <f aca="false">IF($G68="","",IF($G68&gt;=15,"High",IF($G68&gt;=8,"Medium","Low")))</f>
        <v/>
      </c>
      <c r="I68" s="14"/>
      <c r="J68" s="14"/>
      <c r="K68" s="13"/>
      <c r="L68" s="15"/>
      <c r="M68" s="15"/>
      <c r="N68" s="3"/>
      <c r="O68" s="3"/>
      <c r="P68" s="3"/>
      <c r="Q68" s="3"/>
    </row>
    <row r="69" customFormat="false" ht="15" hidden="false" customHeight="false" outlineLevel="0" collapsed="false">
      <c r="A69" s="19"/>
      <c r="B69" s="19"/>
      <c r="C69" s="19"/>
      <c r="D69" s="20"/>
      <c r="E69" s="19"/>
      <c r="F69" s="19"/>
      <c r="G69" s="37" t="str">
        <f aca="false">IF($E69="","",$E69*$F69)</f>
        <v/>
      </c>
      <c r="H69" s="38" t="str">
        <f aca="false">IF($G69="","",IF($G69&gt;=15,"High",IF($G69&gt;=8,"Medium","Low")))</f>
        <v/>
      </c>
      <c r="I69" s="20"/>
      <c r="J69" s="20"/>
      <c r="K69" s="19"/>
      <c r="L69" s="21"/>
      <c r="M69" s="21"/>
      <c r="N69" s="3"/>
      <c r="O69" s="3"/>
      <c r="P69" s="3"/>
      <c r="Q69" s="3"/>
    </row>
    <row r="70" customFormat="false" ht="15" hidden="false" customHeight="false" outlineLevel="0" collapsed="false">
      <c r="A70" s="13"/>
      <c r="B70" s="13"/>
      <c r="C70" s="13"/>
      <c r="D70" s="14"/>
      <c r="E70" s="13"/>
      <c r="F70" s="13"/>
      <c r="G70" s="33" t="str">
        <f aca="false">IF($E70="","",$E70*$F70)</f>
        <v/>
      </c>
      <c r="H70" s="36" t="str">
        <f aca="false">IF($G70="","",IF($G70&gt;=15,"High",IF($G70&gt;=8,"Medium","Low")))</f>
        <v/>
      </c>
      <c r="I70" s="14"/>
      <c r="J70" s="14"/>
      <c r="K70" s="13"/>
      <c r="L70" s="15"/>
      <c r="M70" s="15"/>
      <c r="N70" s="3"/>
      <c r="O70" s="3"/>
      <c r="P70" s="3"/>
      <c r="Q70" s="3"/>
    </row>
    <row r="71" customFormat="false" ht="15" hidden="false" customHeight="false" outlineLevel="0" collapsed="false">
      <c r="A71" s="19"/>
      <c r="B71" s="19"/>
      <c r="C71" s="19"/>
      <c r="D71" s="20"/>
      <c r="E71" s="19"/>
      <c r="F71" s="19"/>
      <c r="G71" s="37" t="str">
        <f aca="false">IF($E71="","",$E71*$F71)</f>
        <v/>
      </c>
      <c r="H71" s="38" t="str">
        <f aca="false">IF($G71="","",IF($G71&gt;=15,"High",IF($G71&gt;=8,"Medium","Low")))</f>
        <v/>
      </c>
      <c r="I71" s="20"/>
      <c r="J71" s="20"/>
      <c r="K71" s="19"/>
      <c r="L71" s="21"/>
      <c r="M71" s="21"/>
      <c r="N71" s="3"/>
      <c r="O71" s="3"/>
      <c r="P71" s="3"/>
      <c r="Q71" s="3"/>
    </row>
    <row r="72" customFormat="false" ht="15" hidden="false" customHeight="false" outlineLevel="0" collapsed="false">
      <c r="A72" s="13"/>
      <c r="B72" s="13"/>
      <c r="C72" s="13"/>
      <c r="D72" s="14"/>
      <c r="E72" s="13"/>
      <c r="F72" s="13"/>
      <c r="G72" s="33" t="str">
        <f aca="false">IF($E72="","",$E72*$F72)</f>
        <v/>
      </c>
      <c r="H72" s="36" t="str">
        <f aca="false">IF($G72="","",IF($G72&gt;=15,"High",IF($G72&gt;=8,"Medium","Low")))</f>
        <v/>
      </c>
      <c r="I72" s="14"/>
      <c r="J72" s="14"/>
      <c r="K72" s="13"/>
      <c r="L72" s="15"/>
      <c r="M72" s="15"/>
      <c r="N72" s="3"/>
      <c r="O72" s="3"/>
      <c r="P72" s="3"/>
      <c r="Q72" s="3"/>
    </row>
    <row r="73" customFormat="false" ht="15" hidden="false" customHeight="false" outlineLevel="0" collapsed="false">
      <c r="A73" s="19"/>
      <c r="B73" s="19"/>
      <c r="C73" s="19"/>
      <c r="D73" s="20"/>
      <c r="E73" s="19"/>
      <c r="F73" s="19"/>
      <c r="G73" s="37" t="str">
        <f aca="false">IF($E73="","",$E73*$F73)</f>
        <v/>
      </c>
      <c r="H73" s="38" t="str">
        <f aca="false">IF($G73="","",IF($G73&gt;=15,"High",IF($G73&gt;=8,"Medium","Low")))</f>
        <v/>
      </c>
      <c r="I73" s="20"/>
      <c r="J73" s="20"/>
      <c r="K73" s="19"/>
      <c r="L73" s="21"/>
      <c r="M73" s="21"/>
      <c r="N73" s="3"/>
      <c r="O73" s="3"/>
      <c r="P73" s="3"/>
      <c r="Q73" s="3"/>
    </row>
    <row r="74" customFormat="false" ht="15" hidden="false" customHeight="false" outlineLevel="0" collapsed="false">
      <c r="A74" s="13"/>
      <c r="B74" s="13"/>
      <c r="C74" s="13"/>
      <c r="D74" s="14"/>
      <c r="E74" s="13"/>
      <c r="F74" s="13"/>
      <c r="G74" s="33" t="str">
        <f aca="false">IF($E74="","",$E74*$F74)</f>
        <v/>
      </c>
      <c r="H74" s="36" t="str">
        <f aca="false">IF($G74="","",IF($G74&gt;=15,"High",IF($G74&gt;=8,"Medium","Low")))</f>
        <v/>
      </c>
      <c r="I74" s="14"/>
      <c r="J74" s="14"/>
      <c r="K74" s="13"/>
      <c r="L74" s="15"/>
      <c r="M74" s="15"/>
      <c r="N74" s="3"/>
      <c r="O74" s="3"/>
      <c r="P74" s="3"/>
      <c r="Q74" s="3"/>
    </row>
    <row r="75" customFormat="false" ht="15" hidden="false" customHeight="false" outlineLevel="0" collapsed="false">
      <c r="A75" s="19"/>
      <c r="B75" s="19"/>
      <c r="C75" s="19"/>
      <c r="D75" s="20"/>
      <c r="E75" s="19"/>
      <c r="F75" s="19"/>
      <c r="G75" s="37" t="str">
        <f aca="false">IF($E75="","",$E75*$F75)</f>
        <v/>
      </c>
      <c r="H75" s="38" t="str">
        <f aca="false">IF($G75="","",IF($G75&gt;=15,"High",IF($G75&gt;=8,"Medium","Low")))</f>
        <v/>
      </c>
      <c r="I75" s="20"/>
      <c r="J75" s="20"/>
      <c r="K75" s="19"/>
      <c r="L75" s="21"/>
      <c r="M75" s="21"/>
      <c r="N75" s="3"/>
      <c r="O75" s="3"/>
      <c r="P75" s="3"/>
      <c r="Q75" s="3"/>
    </row>
    <row r="76" customFormat="false" ht="15" hidden="false" customHeight="false" outlineLevel="0" collapsed="false">
      <c r="A76" s="13"/>
      <c r="B76" s="13"/>
      <c r="C76" s="13"/>
      <c r="D76" s="14"/>
      <c r="E76" s="13"/>
      <c r="F76" s="13"/>
      <c r="G76" s="33" t="str">
        <f aca="false">IF($E76="","",$E76*$F76)</f>
        <v/>
      </c>
      <c r="H76" s="36" t="str">
        <f aca="false">IF($G76="","",IF($G76&gt;=15,"High",IF($G76&gt;=8,"Medium","Low")))</f>
        <v/>
      </c>
      <c r="I76" s="14"/>
      <c r="J76" s="14"/>
      <c r="K76" s="13"/>
      <c r="L76" s="15"/>
      <c r="M76" s="15"/>
      <c r="N76" s="3"/>
      <c r="O76" s="3"/>
      <c r="P76" s="3"/>
      <c r="Q76" s="3"/>
    </row>
    <row r="77" customFormat="false" ht="15" hidden="false" customHeight="false" outlineLevel="0" collapsed="false">
      <c r="A77" s="19"/>
      <c r="B77" s="19"/>
      <c r="C77" s="19"/>
      <c r="D77" s="20"/>
      <c r="E77" s="19"/>
      <c r="F77" s="19"/>
      <c r="G77" s="37" t="str">
        <f aca="false">IF($E77="","",$E77*$F77)</f>
        <v/>
      </c>
      <c r="H77" s="38" t="str">
        <f aca="false">IF($G77="","",IF($G77&gt;=15,"High",IF($G77&gt;=8,"Medium","Low")))</f>
        <v/>
      </c>
      <c r="I77" s="20"/>
      <c r="J77" s="20"/>
      <c r="K77" s="19"/>
      <c r="L77" s="21"/>
      <c r="M77" s="21"/>
      <c r="N77" s="3"/>
      <c r="O77" s="3"/>
      <c r="P77" s="3"/>
      <c r="Q77" s="3"/>
    </row>
    <row r="78" customFormat="false" ht="15" hidden="false" customHeight="false" outlineLevel="0" collapsed="false">
      <c r="A78" s="13"/>
      <c r="B78" s="13"/>
      <c r="C78" s="13"/>
      <c r="D78" s="14"/>
      <c r="E78" s="13"/>
      <c r="F78" s="13"/>
      <c r="G78" s="33" t="str">
        <f aca="false">IF($E78="","",$E78*$F78)</f>
        <v/>
      </c>
      <c r="H78" s="36" t="str">
        <f aca="false">IF($G78="","",IF($G78&gt;=15,"High",IF($G78&gt;=8,"Medium","Low")))</f>
        <v/>
      </c>
      <c r="I78" s="14"/>
      <c r="J78" s="14"/>
      <c r="K78" s="13"/>
      <c r="L78" s="15"/>
      <c r="M78" s="15"/>
      <c r="N78" s="3"/>
      <c r="O78" s="3"/>
      <c r="P78" s="3"/>
      <c r="Q78" s="3"/>
    </row>
    <row r="79" customFormat="false" ht="15" hidden="false" customHeight="false" outlineLevel="0" collapsed="false">
      <c r="A79" s="19"/>
      <c r="B79" s="19"/>
      <c r="C79" s="19"/>
      <c r="D79" s="20"/>
      <c r="E79" s="19"/>
      <c r="F79" s="19"/>
      <c r="G79" s="37" t="str">
        <f aca="false">IF($E79="","",$E79*$F79)</f>
        <v/>
      </c>
      <c r="H79" s="38" t="str">
        <f aca="false">IF($G79="","",IF($G79&gt;=15,"High",IF($G79&gt;=8,"Medium","Low")))</f>
        <v/>
      </c>
      <c r="I79" s="20"/>
      <c r="J79" s="20"/>
      <c r="K79" s="19"/>
      <c r="L79" s="21"/>
      <c r="M79" s="21"/>
      <c r="N79" s="3"/>
      <c r="O79" s="3"/>
      <c r="P79" s="3"/>
      <c r="Q79" s="3"/>
    </row>
    <row r="80" customFormat="false" ht="15" hidden="false" customHeight="false" outlineLevel="0" collapsed="false">
      <c r="A80" s="13"/>
      <c r="B80" s="13"/>
      <c r="C80" s="13"/>
      <c r="D80" s="14"/>
      <c r="E80" s="13"/>
      <c r="F80" s="13"/>
      <c r="G80" s="33" t="str">
        <f aca="false">IF($E80="","",$E80*$F80)</f>
        <v/>
      </c>
      <c r="H80" s="36" t="str">
        <f aca="false">IF($G80="","",IF($G80&gt;=15,"High",IF($G80&gt;=8,"Medium","Low")))</f>
        <v/>
      </c>
      <c r="I80" s="14"/>
      <c r="J80" s="14"/>
      <c r="K80" s="13"/>
      <c r="L80" s="15"/>
      <c r="M80" s="15"/>
      <c r="N80" s="3"/>
      <c r="O80" s="3"/>
      <c r="P80" s="3"/>
      <c r="Q80" s="3"/>
    </row>
    <row r="81" customFormat="false" ht="15" hidden="false" customHeight="false" outlineLevel="0" collapsed="false">
      <c r="A81" s="19"/>
      <c r="B81" s="19"/>
      <c r="C81" s="19"/>
      <c r="D81" s="20"/>
      <c r="E81" s="19"/>
      <c r="F81" s="19"/>
      <c r="G81" s="37" t="str">
        <f aca="false">IF($E81="","",$E81*$F81)</f>
        <v/>
      </c>
      <c r="H81" s="38" t="str">
        <f aca="false">IF($G81="","",IF($G81&gt;=15,"High",IF($G81&gt;=8,"Medium","Low")))</f>
        <v/>
      </c>
      <c r="I81" s="20"/>
      <c r="J81" s="20"/>
      <c r="K81" s="19"/>
      <c r="L81" s="21"/>
      <c r="M81" s="21"/>
      <c r="N81" s="3"/>
      <c r="O81" s="3"/>
      <c r="P81" s="3"/>
      <c r="Q81" s="3"/>
    </row>
    <row r="82" customFormat="false" ht="15" hidden="false" customHeight="false" outlineLevel="0" collapsed="false">
      <c r="A82" s="13"/>
      <c r="B82" s="13"/>
      <c r="C82" s="13"/>
      <c r="D82" s="14"/>
      <c r="E82" s="13"/>
      <c r="F82" s="13"/>
      <c r="G82" s="33" t="str">
        <f aca="false">IF($E82="","",$E82*$F82)</f>
        <v/>
      </c>
      <c r="H82" s="36" t="str">
        <f aca="false">IF($G82="","",IF($G82&gt;=15,"High",IF($G82&gt;=8,"Medium","Low")))</f>
        <v/>
      </c>
      <c r="I82" s="14"/>
      <c r="J82" s="14"/>
      <c r="K82" s="13"/>
      <c r="L82" s="15"/>
      <c r="M82" s="15"/>
      <c r="N82" s="3"/>
      <c r="O82" s="3"/>
      <c r="P82" s="3"/>
      <c r="Q82" s="3"/>
    </row>
    <row r="83" customFormat="false" ht="15" hidden="false" customHeight="false" outlineLevel="0" collapsed="false">
      <c r="A83" s="19"/>
      <c r="B83" s="19"/>
      <c r="C83" s="19"/>
      <c r="D83" s="20"/>
      <c r="E83" s="19"/>
      <c r="F83" s="19"/>
      <c r="G83" s="37" t="str">
        <f aca="false">IF($E83="","",$E83*$F83)</f>
        <v/>
      </c>
      <c r="H83" s="38" t="str">
        <f aca="false">IF($G83="","",IF($G83&gt;=15,"High",IF($G83&gt;=8,"Medium","Low")))</f>
        <v/>
      </c>
      <c r="I83" s="20"/>
      <c r="J83" s="20"/>
      <c r="K83" s="19"/>
      <c r="L83" s="21"/>
      <c r="M83" s="21"/>
      <c r="N83" s="3"/>
      <c r="O83" s="3"/>
      <c r="P83" s="3"/>
      <c r="Q83" s="3"/>
    </row>
    <row r="84" customFormat="false" ht="15" hidden="false" customHeight="false" outlineLevel="0" collapsed="false">
      <c r="A84" s="13"/>
      <c r="B84" s="13"/>
      <c r="C84" s="13"/>
      <c r="D84" s="14"/>
      <c r="E84" s="13"/>
      <c r="F84" s="13"/>
      <c r="G84" s="33" t="str">
        <f aca="false">IF($E84="","",$E84*$F84)</f>
        <v/>
      </c>
      <c r="H84" s="36" t="str">
        <f aca="false">IF($G84="","",IF($G84&gt;=15,"High",IF($G84&gt;=8,"Medium","Low")))</f>
        <v/>
      </c>
      <c r="I84" s="14"/>
      <c r="J84" s="14"/>
      <c r="K84" s="13"/>
      <c r="L84" s="15"/>
      <c r="M84" s="15"/>
      <c r="N84" s="3"/>
      <c r="O84" s="3"/>
      <c r="P84" s="3"/>
      <c r="Q84" s="3"/>
    </row>
    <row r="85" customFormat="false" ht="15" hidden="false" customHeight="false" outlineLevel="0" collapsed="false">
      <c r="A85" s="19"/>
      <c r="B85" s="19"/>
      <c r="C85" s="19"/>
      <c r="D85" s="20"/>
      <c r="E85" s="19"/>
      <c r="F85" s="19"/>
      <c r="G85" s="37" t="str">
        <f aca="false">IF($E85="","",$E85*$F85)</f>
        <v/>
      </c>
      <c r="H85" s="38" t="str">
        <f aca="false">IF($G85="","",IF($G85&gt;=15,"High",IF($G85&gt;=8,"Medium","Low")))</f>
        <v/>
      </c>
      <c r="I85" s="20"/>
      <c r="J85" s="20"/>
      <c r="K85" s="19"/>
      <c r="L85" s="21"/>
      <c r="M85" s="21"/>
      <c r="N85" s="3"/>
      <c r="O85" s="3"/>
      <c r="P85" s="3"/>
      <c r="Q85" s="3"/>
    </row>
    <row r="86" customFormat="false" ht="15" hidden="false" customHeight="false" outlineLevel="0" collapsed="false">
      <c r="A86" s="13"/>
      <c r="B86" s="13"/>
      <c r="C86" s="13"/>
      <c r="D86" s="14"/>
      <c r="E86" s="13"/>
      <c r="F86" s="13"/>
      <c r="G86" s="33" t="str">
        <f aca="false">IF($E86="","",$E86*$F86)</f>
        <v/>
      </c>
      <c r="H86" s="36" t="str">
        <f aca="false">IF($G86="","",IF($G86&gt;=15,"High",IF($G86&gt;=8,"Medium","Low")))</f>
        <v/>
      </c>
      <c r="I86" s="14"/>
      <c r="J86" s="14"/>
      <c r="K86" s="13"/>
      <c r="L86" s="15"/>
      <c r="M86" s="15"/>
      <c r="N86" s="3"/>
      <c r="O86" s="3"/>
      <c r="P86" s="3"/>
      <c r="Q86" s="3"/>
    </row>
    <row r="87" customFormat="false" ht="15" hidden="false" customHeight="false" outlineLevel="0" collapsed="false">
      <c r="A87" s="19"/>
      <c r="B87" s="19"/>
      <c r="C87" s="19"/>
      <c r="D87" s="20"/>
      <c r="E87" s="19"/>
      <c r="F87" s="19"/>
      <c r="G87" s="37" t="str">
        <f aca="false">IF($E87="","",$E87*$F87)</f>
        <v/>
      </c>
      <c r="H87" s="38" t="str">
        <f aca="false">IF($G87="","",IF($G87&gt;=15,"High",IF($G87&gt;=8,"Medium","Low")))</f>
        <v/>
      </c>
      <c r="I87" s="20"/>
      <c r="J87" s="20"/>
      <c r="K87" s="19"/>
      <c r="L87" s="21"/>
      <c r="M87" s="21"/>
      <c r="N87" s="3"/>
      <c r="O87" s="3"/>
      <c r="P87" s="3"/>
      <c r="Q87" s="3"/>
    </row>
    <row r="88" customFormat="false" ht="15" hidden="false" customHeight="false" outlineLevel="0" collapsed="false">
      <c r="A88" s="13"/>
      <c r="B88" s="13"/>
      <c r="C88" s="13"/>
      <c r="D88" s="14"/>
      <c r="E88" s="13"/>
      <c r="F88" s="13"/>
      <c r="G88" s="33" t="str">
        <f aca="false">IF($E88="","",$E88*$F88)</f>
        <v/>
      </c>
      <c r="H88" s="36" t="str">
        <f aca="false">IF($G88="","",IF($G88&gt;=15,"High",IF($G88&gt;=8,"Medium","Low")))</f>
        <v/>
      </c>
      <c r="I88" s="14"/>
      <c r="J88" s="14"/>
      <c r="K88" s="13"/>
      <c r="L88" s="15"/>
      <c r="M88" s="15"/>
      <c r="N88" s="3"/>
      <c r="O88" s="3"/>
      <c r="P88" s="3"/>
      <c r="Q88" s="3"/>
    </row>
    <row r="89" customFormat="false" ht="15" hidden="false" customHeight="false" outlineLevel="0" collapsed="false">
      <c r="A89" s="19"/>
      <c r="B89" s="19"/>
      <c r="C89" s="19"/>
      <c r="D89" s="20"/>
      <c r="E89" s="19"/>
      <c r="F89" s="19"/>
      <c r="G89" s="37" t="str">
        <f aca="false">IF($E89="","",$E89*$F89)</f>
        <v/>
      </c>
      <c r="H89" s="38" t="str">
        <f aca="false">IF($G89="","",IF($G89&gt;=15,"High",IF($G89&gt;=8,"Medium","Low")))</f>
        <v/>
      </c>
      <c r="I89" s="20"/>
      <c r="J89" s="20"/>
      <c r="K89" s="19"/>
      <c r="L89" s="21"/>
      <c r="M89" s="21"/>
      <c r="N89" s="3"/>
      <c r="O89" s="3"/>
      <c r="P89" s="3"/>
      <c r="Q89" s="3"/>
    </row>
    <row r="90" customFormat="false" ht="15" hidden="false" customHeight="false" outlineLevel="0" collapsed="false">
      <c r="A90" s="13"/>
      <c r="B90" s="13"/>
      <c r="C90" s="13"/>
      <c r="D90" s="14"/>
      <c r="E90" s="13"/>
      <c r="F90" s="13"/>
      <c r="G90" s="33" t="str">
        <f aca="false">IF($E90="","",$E90*$F90)</f>
        <v/>
      </c>
      <c r="H90" s="36" t="str">
        <f aca="false">IF($G90="","",IF($G90&gt;=15,"High",IF($G90&gt;=8,"Medium","Low")))</f>
        <v/>
      </c>
      <c r="I90" s="14"/>
      <c r="J90" s="14"/>
      <c r="K90" s="13"/>
      <c r="L90" s="15"/>
      <c r="M90" s="15"/>
      <c r="N90" s="3"/>
      <c r="O90" s="3"/>
      <c r="P90" s="3"/>
      <c r="Q90" s="3"/>
    </row>
    <row r="91" customFormat="false" ht="15" hidden="false" customHeight="false" outlineLevel="0" collapsed="false">
      <c r="A91" s="19"/>
      <c r="B91" s="19"/>
      <c r="C91" s="19"/>
      <c r="D91" s="20"/>
      <c r="E91" s="19"/>
      <c r="F91" s="19"/>
      <c r="G91" s="37" t="str">
        <f aca="false">IF($E91="","",$E91*$F91)</f>
        <v/>
      </c>
      <c r="H91" s="38" t="str">
        <f aca="false">IF($G91="","",IF($G91&gt;=15,"High",IF($G91&gt;=8,"Medium","Low")))</f>
        <v/>
      </c>
      <c r="I91" s="20"/>
      <c r="J91" s="20"/>
      <c r="K91" s="19"/>
      <c r="L91" s="21"/>
      <c r="M91" s="21"/>
      <c r="N91" s="3"/>
      <c r="O91" s="3"/>
      <c r="P91" s="3"/>
      <c r="Q91" s="3"/>
    </row>
    <row r="92" customFormat="false" ht="15" hidden="false" customHeight="false" outlineLevel="0" collapsed="false">
      <c r="A92" s="13"/>
      <c r="B92" s="13"/>
      <c r="C92" s="13"/>
      <c r="D92" s="14"/>
      <c r="E92" s="13"/>
      <c r="F92" s="13"/>
      <c r="G92" s="33" t="str">
        <f aca="false">IF($E92="","",$E92*$F92)</f>
        <v/>
      </c>
      <c r="H92" s="36" t="str">
        <f aca="false">IF($G92="","",IF($G92&gt;=15,"High",IF($G92&gt;=8,"Medium","Low")))</f>
        <v/>
      </c>
      <c r="I92" s="14"/>
      <c r="J92" s="14"/>
      <c r="K92" s="13"/>
      <c r="L92" s="15"/>
      <c r="M92" s="15"/>
      <c r="N92" s="3"/>
      <c r="O92" s="3"/>
      <c r="P92" s="3"/>
      <c r="Q92" s="3"/>
    </row>
    <row r="93" customFormat="false" ht="15" hidden="false" customHeight="false" outlineLevel="0" collapsed="false">
      <c r="A93" s="19"/>
      <c r="B93" s="19"/>
      <c r="C93" s="19"/>
      <c r="D93" s="20"/>
      <c r="E93" s="19"/>
      <c r="F93" s="19"/>
      <c r="G93" s="37" t="str">
        <f aca="false">IF($E93="","",$E93*$F93)</f>
        <v/>
      </c>
      <c r="H93" s="38" t="str">
        <f aca="false">IF($G93="","",IF($G93&gt;=15,"High",IF($G93&gt;=8,"Medium","Low")))</f>
        <v/>
      </c>
      <c r="I93" s="20"/>
      <c r="J93" s="20"/>
      <c r="K93" s="19"/>
      <c r="L93" s="21"/>
      <c r="M93" s="21"/>
      <c r="N93" s="3"/>
      <c r="O93" s="3"/>
      <c r="P93" s="3"/>
      <c r="Q93" s="3"/>
    </row>
    <row r="94" customFormat="false" ht="15" hidden="false" customHeight="false" outlineLevel="0" collapsed="false">
      <c r="A94" s="13"/>
      <c r="B94" s="13"/>
      <c r="C94" s="13"/>
      <c r="D94" s="14"/>
      <c r="E94" s="13"/>
      <c r="F94" s="13"/>
      <c r="G94" s="33" t="str">
        <f aca="false">IF($E94="","",$E94*$F94)</f>
        <v/>
      </c>
      <c r="H94" s="36" t="str">
        <f aca="false">IF($G94="","",IF($G94&gt;=15,"High",IF($G94&gt;=8,"Medium","Low")))</f>
        <v/>
      </c>
      <c r="I94" s="14"/>
      <c r="J94" s="14"/>
      <c r="K94" s="13"/>
      <c r="L94" s="15"/>
      <c r="M94" s="15"/>
      <c r="N94" s="3"/>
      <c r="O94" s="3"/>
      <c r="P94" s="3"/>
      <c r="Q94" s="3"/>
    </row>
    <row r="95" customFormat="false" ht="15" hidden="false" customHeight="false" outlineLevel="0" collapsed="false">
      <c r="A95" s="19"/>
      <c r="B95" s="19"/>
      <c r="C95" s="19"/>
      <c r="D95" s="20"/>
      <c r="E95" s="19"/>
      <c r="F95" s="19"/>
      <c r="G95" s="37" t="str">
        <f aca="false">IF($E95="","",$E95*$F95)</f>
        <v/>
      </c>
      <c r="H95" s="38" t="str">
        <f aca="false">IF($G95="","",IF($G95&gt;=15,"High",IF($G95&gt;=8,"Medium","Low")))</f>
        <v/>
      </c>
      <c r="I95" s="20"/>
      <c r="J95" s="20"/>
      <c r="K95" s="19"/>
      <c r="L95" s="21"/>
      <c r="M95" s="21"/>
      <c r="N95" s="3"/>
      <c r="O95" s="3"/>
      <c r="P95" s="3"/>
      <c r="Q95" s="3"/>
    </row>
    <row r="96" customFormat="false" ht="15" hidden="false" customHeight="false" outlineLevel="0" collapsed="false">
      <c r="A96" s="13"/>
      <c r="B96" s="13"/>
      <c r="C96" s="13"/>
      <c r="D96" s="14"/>
      <c r="E96" s="13"/>
      <c r="F96" s="13"/>
      <c r="G96" s="33" t="str">
        <f aca="false">IF($E96="","",$E96*$F96)</f>
        <v/>
      </c>
      <c r="H96" s="36" t="str">
        <f aca="false">IF($G96="","",IF($G96&gt;=15,"High",IF($G96&gt;=8,"Medium","Low")))</f>
        <v/>
      </c>
      <c r="I96" s="14"/>
      <c r="J96" s="14"/>
      <c r="K96" s="13"/>
      <c r="L96" s="15"/>
      <c r="M96" s="15"/>
      <c r="N96" s="3"/>
      <c r="O96" s="3"/>
      <c r="P96" s="3"/>
      <c r="Q96" s="3"/>
    </row>
    <row r="97" customFormat="false" ht="15" hidden="false" customHeight="false" outlineLevel="0" collapsed="false">
      <c r="A97" s="19"/>
      <c r="B97" s="19"/>
      <c r="C97" s="19"/>
      <c r="D97" s="20"/>
      <c r="E97" s="19"/>
      <c r="F97" s="19"/>
      <c r="G97" s="37" t="str">
        <f aca="false">IF($E97="","",$E97*$F97)</f>
        <v/>
      </c>
      <c r="H97" s="38" t="str">
        <f aca="false">IF($G97="","",IF($G97&gt;=15,"High",IF($G97&gt;=8,"Medium","Low")))</f>
        <v/>
      </c>
      <c r="I97" s="20"/>
      <c r="J97" s="20"/>
      <c r="K97" s="19"/>
      <c r="L97" s="21"/>
      <c r="M97" s="21"/>
      <c r="N97" s="3"/>
      <c r="O97" s="3"/>
      <c r="P97" s="3"/>
      <c r="Q97" s="3"/>
    </row>
    <row r="98" customFormat="false" ht="15" hidden="false" customHeight="false" outlineLevel="0" collapsed="false">
      <c r="A98" s="13"/>
      <c r="B98" s="13"/>
      <c r="C98" s="13"/>
      <c r="D98" s="14"/>
      <c r="E98" s="13"/>
      <c r="F98" s="13"/>
      <c r="G98" s="33" t="str">
        <f aca="false">IF($E98="","",$E98*$F98)</f>
        <v/>
      </c>
      <c r="H98" s="36" t="str">
        <f aca="false">IF($G98="","",IF($G98&gt;=15,"High",IF($G98&gt;=8,"Medium","Low")))</f>
        <v/>
      </c>
      <c r="I98" s="14"/>
      <c r="J98" s="14"/>
      <c r="K98" s="13"/>
      <c r="L98" s="15"/>
      <c r="M98" s="15"/>
      <c r="N98" s="3"/>
      <c r="O98" s="3"/>
      <c r="P98" s="3"/>
      <c r="Q98" s="3"/>
    </row>
    <row r="99" customFormat="false" ht="15" hidden="false" customHeight="false" outlineLevel="0" collapsed="false">
      <c r="A99" s="19"/>
      <c r="B99" s="19"/>
      <c r="C99" s="19"/>
      <c r="D99" s="20"/>
      <c r="E99" s="19"/>
      <c r="F99" s="19"/>
      <c r="G99" s="37" t="str">
        <f aca="false">IF($E99="","",$E99*$F99)</f>
        <v/>
      </c>
      <c r="H99" s="38" t="str">
        <f aca="false">IF($G99="","",IF($G99&gt;=15,"High",IF($G99&gt;=8,"Medium","Low")))</f>
        <v/>
      </c>
      <c r="I99" s="20"/>
      <c r="J99" s="20"/>
      <c r="K99" s="19"/>
      <c r="L99" s="21"/>
      <c r="M99" s="21"/>
      <c r="N99" s="3"/>
      <c r="O99" s="3"/>
      <c r="P99" s="3"/>
      <c r="Q99" s="3"/>
    </row>
    <row r="100" customFormat="false" ht="15" hidden="false" customHeight="false" outlineLevel="0" collapsed="false">
      <c r="A100" s="13"/>
      <c r="B100" s="13"/>
      <c r="C100" s="13"/>
      <c r="D100" s="14"/>
      <c r="E100" s="13"/>
      <c r="F100" s="13"/>
      <c r="G100" s="33" t="str">
        <f aca="false">IF($E100="","",$E100*$F100)</f>
        <v/>
      </c>
      <c r="H100" s="36" t="str">
        <f aca="false">IF($G100="","",IF($G100&gt;=15,"High",IF($G100&gt;=8,"Medium","Low")))</f>
        <v/>
      </c>
      <c r="I100" s="14"/>
      <c r="J100" s="14"/>
      <c r="K100" s="13"/>
      <c r="L100" s="15"/>
      <c r="M100" s="15"/>
      <c r="N100" s="3"/>
      <c r="O100" s="3"/>
      <c r="P100" s="3"/>
      <c r="Q100" s="3"/>
    </row>
    <row r="101" customFormat="false" ht="15" hidden="false" customHeight="false" outlineLevel="0" collapsed="false">
      <c r="A101" s="19"/>
      <c r="B101" s="19"/>
      <c r="C101" s="19"/>
      <c r="D101" s="20"/>
      <c r="E101" s="19"/>
      <c r="F101" s="19"/>
      <c r="G101" s="37" t="str">
        <f aca="false">IF($E101="","",$E101*$F101)</f>
        <v/>
      </c>
      <c r="H101" s="38" t="str">
        <f aca="false">IF($G101="","",IF($G101&gt;=15,"High",IF($G101&gt;=8,"Medium","Low")))</f>
        <v/>
      </c>
      <c r="I101" s="20"/>
      <c r="J101" s="20"/>
      <c r="K101" s="19"/>
      <c r="L101" s="21"/>
      <c r="M101" s="21"/>
      <c r="N101" s="3"/>
      <c r="O101" s="3"/>
      <c r="P101" s="3"/>
      <c r="Q101" s="3"/>
    </row>
    <row r="102" customFormat="false" ht="15" hidden="false" customHeight="false" outlineLevel="0" collapsed="false">
      <c r="A102" s="13"/>
      <c r="B102" s="13"/>
      <c r="C102" s="13"/>
      <c r="D102" s="14"/>
      <c r="E102" s="13"/>
      <c r="F102" s="13"/>
      <c r="G102" s="33" t="str">
        <f aca="false">IF($E102="","",$E102*$F102)</f>
        <v/>
      </c>
      <c r="H102" s="36" t="str">
        <f aca="false">IF($G102="","",IF($G102&gt;=15,"High",IF($G102&gt;=8,"Medium","Low")))</f>
        <v/>
      </c>
      <c r="I102" s="14"/>
      <c r="J102" s="14"/>
      <c r="K102" s="13"/>
      <c r="L102" s="15"/>
      <c r="M102" s="15"/>
      <c r="N102" s="3"/>
      <c r="O102" s="3"/>
      <c r="P102" s="3"/>
      <c r="Q102" s="3"/>
    </row>
    <row r="103" customFormat="false" ht="15" hidden="false" customHeight="false" outlineLevel="0" collapsed="false">
      <c r="A103" s="19"/>
      <c r="B103" s="19"/>
      <c r="C103" s="19"/>
      <c r="D103" s="20"/>
      <c r="E103" s="19"/>
      <c r="F103" s="19"/>
      <c r="G103" s="37" t="str">
        <f aca="false">IF($E103="","",$E103*$F103)</f>
        <v/>
      </c>
      <c r="H103" s="38" t="str">
        <f aca="false">IF($G103="","",IF($G103&gt;=15,"High",IF($G103&gt;=8,"Medium","Low")))</f>
        <v/>
      </c>
      <c r="I103" s="20"/>
      <c r="J103" s="20"/>
      <c r="K103" s="19"/>
      <c r="L103" s="21"/>
      <c r="M103" s="21"/>
      <c r="N103" s="3"/>
      <c r="O103" s="3"/>
      <c r="P103" s="3"/>
      <c r="Q103" s="3"/>
    </row>
    <row r="104" customFormat="false" ht="15" hidden="false" customHeight="false" outlineLevel="0" collapsed="false">
      <c r="A104" s="13"/>
      <c r="B104" s="13"/>
      <c r="C104" s="13"/>
      <c r="D104" s="14"/>
      <c r="E104" s="13"/>
      <c r="F104" s="13"/>
      <c r="G104" s="33" t="str">
        <f aca="false">IF($E104="","",$E104*$F104)</f>
        <v/>
      </c>
      <c r="H104" s="36" t="str">
        <f aca="false">IF($G104="","",IF($G104&gt;=15,"High",IF($G104&gt;=8,"Medium","Low")))</f>
        <v/>
      </c>
      <c r="I104" s="14"/>
      <c r="J104" s="14"/>
      <c r="K104" s="13"/>
      <c r="L104" s="15"/>
      <c r="M104" s="15"/>
      <c r="N104" s="3"/>
      <c r="O104" s="3"/>
      <c r="P104" s="3"/>
      <c r="Q104" s="3"/>
    </row>
    <row r="105" customFormat="false" ht="15" hidden="false" customHeight="false" outlineLevel="0" collapsed="false">
      <c r="A105" s="19"/>
      <c r="B105" s="19"/>
      <c r="C105" s="19"/>
      <c r="D105" s="20"/>
      <c r="E105" s="19"/>
      <c r="F105" s="19"/>
      <c r="G105" s="37" t="str">
        <f aca="false">IF($E105="","",$E105*$F105)</f>
        <v/>
      </c>
      <c r="H105" s="38" t="str">
        <f aca="false">IF($G105="","",IF($G105&gt;=15,"High",IF($G105&gt;=8,"Medium","Low")))</f>
        <v/>
      </c>
      <c r="I105" s="20"/>
      <c r="J105" s="20"/>
      <c r="K105" s="19"/>
      <c r="L105" s="21"/>
      <c r="M105" s="21"/>
      <c r="N105" s="3"/>
      <c r="O105" s="3"/>
      <c r="P105" s="3"/>
      <c r="Q105" s="3"/>
    </row>
    <row r="106" customFormat="false" ht="15" hidden="false" customHeight="false" outlineLevel="0" collapsed="false">
      <c r="A106" s="13"/>
      <c r="B106" s="13"/>
      <c r="C106" s="13"/>
      <c r="D106" s="14"/>
      <c r="E106" s="13"/>
      <c r="F106" s="13"/>
      <c r="G106" s="33" t="str">
        <f aca="false">IF($E106="","",$E106*$F106)</f>
        <v/>
      </c>
      <c r="H106" s="36" t="str">
        <f aca="false">IF($G106="","",IF($G106&gt;=15,"High",IF($G106&gt;=8,"Medium","Low")))</f>
        <v/>
      </c>
      <c r="I106" s="14"/>
      <c r="J106" s="14"/>
      <c r="K106" s="13"/>
      <c r="L106" s="15"/>
      <c r="M106" s="15"/>
      <c r="N106" s="3"/>
      <c r="O106" s="3"/>
      <c r="P106" s="3"/>
      <c r="Q106" s="3"/>
    </row>
    <row r="107" customFormat="false" ht="15" hidden="false" customHeight="false" outlineLevel="0" collapsed="false">
      <c r="A107" s="19"/>
      <c r="B107" s="19"/>
      <c r="C107" s="19"/>
      <c r="D107" s="20"/>
      <c r="E107" s="19"/>
      <c r="F107" s="19"/>
      <c r="G107" s="37" t="str">
        <f aca="false">IF($E107="","",$E107*$F107)</f>
        <v/>
      </c>
      <c r="H107" s="38" t="str">
        <f aca="false">IF($G107="","",IF($G107&gt;=15,"High",IF($G107&gt;=8,"Medium","Low")))</f>
        <v/>
      </c>
      <c r="I107" s="20"/>
      <c r="J107" s="20"/>
      <c r="K107" s="19"/>
      <c r="L107" s="21"/>
      <c r="M107" s="21"/>
      <c r="N107" s="3"/>
      <c r="O107" s="3"/>
      <c r="P107" s="3"/>
      <c r="Q107" s="3"/>
    </row>
    <row r="108" customFormat="false" ht="15" hidden="false" customHeight="false" outlineLevel="0" collapsed="false">
      <c r="A108" s="13"/>
      <c r="B108" s="13"/>
      <c r="C108" s="13"/>
      <c r="D108" s="14"/>
      <c r="E108" s="13"/>
      <c r="F108" s="13"/>
      <c r="G108" s="33" t="str">
        <f aca="false">IF($E108="","",$E108*$F108)</f>
        <v/>
      </c>
      <c r="H108" s="36" t="str">
        <f aca="false">IF($G108="","",IF($G108&gt;=15,"High",IF($G108&gt;=8,"Medium","Low")))</f>
        <v/>
      </c>
      <c r="I108" s="14"/>
      <c r="J108" s="14"/>
      <c r="K108" s="13"/>
      <c r="L108" s="15"/>
      <c r="M108" s="15"/>
      <c r="N108" s="3"/>
      <c r="O108" s="3"/>
      <c r="P108" s="3"/>
      <c r="Q108" s="3"/>
    </row>
    <row r="109" customFormat="false" ht="15" hidden="false" customHeight="false" outlineLevel="0" collapsed="false">
      <c r="A109" s="19"/>
      <c r="B109" s="19"/>
      <c r="C109" s="19"/>
      <c r="D109" s="20"/>
      <c r="E109" s="19"/>
      <c r="F109" s="19"/>
      <c r="G109" s="37" t="str">
        <f aca="false">IF($E109="","",$E109*$F109)</f>
        <v/>
      </c>
      <c r="H109" s="38" t="str">
        <f aca="false">IF($G109="","",IF($G109&gt;=15,"High",IF($G109&gt;=8,"Medium","Low")))</f>
        <v/>
      </c>
      <c r="I109" s="20"/>
      <c r="J109" s="20"/>
      <c r="K109" s="19"/>
      <c r="L109" s="21"/>
      <c r="M109" s="21"/>
      <c r="N109" s="3"/>
      <c r="O109" s="3"/>
      <c r="P109" s="3"/>
      <c r="Q109" s="3"/>
    </row>
    <row r="110" customFormat="false" ht="15" hidden="false" customHeight="false" outlineLevel="0" collapsed="false">
      <c r="A110" s="13"/>
      <c r="B110" s="13"/>
      <c r="C110" s="13"/>
      <c r="D110" s="14"/>
      <c r="E110" s="13"/>
      <c r="F110" s="13"/>
      <c r="G110" s="33" t="str">
        <f aca="false">IF($E110="","",$E110*$F110)</f>
        <v/>
      </c>
      <c r="H110" s="36" t="str">
        <f aca="false">IF($G110="","",IF($G110&gt;=15,"High",IF($G110&gt;=8,"Medium","Low")))</f>
        <v/>
      </c>
      <c r="I110" s="14"/>
      <c r="J110" s="14"/>
      <c r="K110" s="13"/>
      <c r="L110" s="15"/>
      <c r="M110" s="15"/>
      <c r="N110" s="3"/>
      <c r="O110" s="3"/>
      <c r="P110" s="3"/>
      <c r="Q110" s="3"/>
    </row>
    <row r="111" customFormat="false" ht="15" hidden="false" customHeight="false" outlineLevel="0" collapsed="false">
      <c r="A111" s="19"/>
      <c r="B111" s="19"/>
      <c r="C111" s="19"/>
      <c r="D111" s="20"/>
      <c r="E111" s="19"/>
      <c r="F111" s="19"/>
      <c r="G111" s="37" t="str">
        <f aca="false">IF($E111="","",$E111*$F111)</f>
        <v/>
      </c>
      <c r="H111" s="38" t="str">
        <f aca="false">IF($G111="","",IF($G111&gt;=15,"High",IF($G111&gt;=8,"Medium","Low")))</f>
        <v/>
      </c>
      <c r="I111" s="20"/>
      <c r="J111" s="20"/>
      <c r="K111" s="19"/>
      <c r="L111" s="21"/>
      <c r="M111" s="21"/>
      <c r="N111" s="3"/>
      <c r="O111" s="3"/>
      <c r="P111" s="3"/>
      <c r="Q111" s="3"/>
    </row>
    <row r="112" customFormat="false" ht="15" hidden="false" customHeight="false" outlineLevel="0" collapsed="false">
      <c r="A112" s="13"/>
      <c r="B112" s="13"/>
      <c r="C112" s="13"/>
      <c r="D112" s="14"/>
      <c r="E112" s="13"/>
      <c r="F112" s="13"/>
      <c r="G112" s="33" t="str">
        <f aca="false">IF($E112="","",$E112*$F112)</f>
        <v/>
      </c>
      <c r="H112" s="36" t="str">
        <f aca="false">IF($G112="","",IF($G112&gt;=15,"High",IF($G112&gt;=8,"Medium","Low")))</f>
        <v/>
      </c>
      <c r="I112" s="14"/>
      <c r="J112" s="14"/>
      <c r="K112" s="13"/>
      <c r="L112" s="15"/>
      <c r="M112" s="15"/>
      <c r="N112" s="3"/>
      <c r="O112" s="3"/>
      <c r="P112" s="3"/>
      <c r="Q112" s="3"/>
    </row>
    <row r="113" customFormat="false" ht="15" hidden="false" customHeight="false" outlineLevel="0" collapsed="false">
      <c r="A113" s="19"/>
      <c r="B113" s="19"/>
      <c r="C113" s="19"/>
      <c r="D113" s="20"/>
      <c r="E113" s="19"/>
      <c r="F113" s="19"/>
      <c r="G113" s="37" t="str">
        <f aca="false">IF($E113="","",$E113*$F113)</f>
        <v/>
      </c>
      <c r="H113" s="38" t="str">
        <f aca="false">IF($G113="","",IF($G113&gt;=15,"High",IF($G113&gt;=8,"Medium","Low")))</f>
        <v/>
      </c>
      <c r="I113" s="20"/>
      <c r="J113" s="20"/>
      <c r="K113" s="19"/>
      <c r="L113" s="21"/>
      <c r="M113" s="21"/>
      <c r="N113" s="3"/>
      <c r="O113" s="3"/>
      <c r="P113" s="3"/>
      <c r="Q113" s="3"/>
    </row>
    <row r="114" customFormat="false" ht="15" hidden="false" customHeight="false" outlineLevel="0" collapsed="false">
      <c r="A114" s="13"/>
      <c r="B114" s="13"/>
      <c r="C114" s="13"/>
      <c r="D114" s="14"/>
      <c r="E114" s="13"/>
      <c r="F114" s="13"/>
      <c r="G114" s="33" t="str">
        <f aca="false">IF($E114="","",$E114*$F114)</f>
        <v/>
      </c>
      <c r="H114" s="36" t="str">
        <f aca="false">IF($G114="","",IF($G114&gt;=15,"High",IF($G114&gt;=8,"Medium","Low")))</f>
        <v/>
      </c>
      <c r="I114" s="14"/>
      <c r="J114" s="14"/>
      <c r="K114" s="13"/>
      <c r="L114" s="15"/>
      <c r="M114" s="15"/>
      <c r="N114" s="3"/>
      <c r="O114" s="3"/>
      <c r="P114" s="3"/>
      <c r="Q114" s="3"/>
    </row>
    <row r="115" customFormat="false" ht="15" hidden="false" customHeight="false" outlineLevel="0" collapsed="false">
      <c r="A115" s="19"/>
      <c r="B115" s="19"/>
      <c r="C115" s="19"/>
      <c r="D115" s="20"/>
      <c r="E115" s="19"/>
      <c r="F115" s="19"/>
      <c r="G115" s="37" t="str">
        <f aca="false">IF($E115="","",$E115*$F115)</f>
        <v/>
      </c>
      <c r="H115" s="38" t="str">
        <f aca="false">IF($G115="","",IF($G115&gt;=15,"High",IF($G115&gt;=8,"Medium","Low")))</f>
        <v/>
      </c>
      <c r="I115" s="20"/>
      <c r="J115" s="20"/>
      <c r="K115" s="19"/>
      <c r="L115" s="21"/>
      <c r="M115" s="21"/>
      <c r="N115" s="3"/>
      <c r="O115" s="3"/>
      <c r="P115" s="3"/>
      <c r="Q115" s="3"/>
    </row>
    <row r="116" customFormat="false" ht="15" hidden="false" customHeight="false" outlineLevel="0" collapsed="false">
      <c r="A116" s="13"/>
      <c r="B116" s="13"/>
      <c r="C116" s="13"/>
      <c r="D116" s="14"/>
      <c r="E116" s="13"/>
      <c r="F116" s="13"/>
      <c r="G116" s="33" t="str">
        <f aca="false">IF($E116="","",$E116*$F116)</f>
        <v/>
      </c>
      <c r="H116" s="36" t="str">
        <f aca="false">IF($G116="","",IF($G116&gt;=15,"High",IF($G116&gt;=8,"Medium","Low")))</f>
        <v/>
      </c>
      <c r="I116" s="14"/>
      <c r="J116" s="14"/>
      <c r="K116" s="13"/>
      <c r="L116" s="15"/>
      <c r="M116" s="15"/>
      <c r="N116" s="3"/>
      <c r="O116" s="3"/>
      <c r="P116" s="3"/>
      <c r="Q116" s="3"/>
    </row>
    <row r="117" customFormat="false" ht="15" hidden="false" customHeight="false" outlineLevel="0" collapsed="false">
      <c r="A117" s="19"/>
      <c r="B117" s="19"/>
      <c r="C117" s="19"/>
      <c r="D117" s="20"/>
      <c r="E117" s="19"/>
      <c r="F117" s="19"/>
      <c r="G117" s="37" t="str">
        <f aca="false">IF($E117="","",$E117*$F117)</f>
        <v/>
      </c>
      <c r="H117" s="38" t="str">
        <f aca="false">IF($G117="","",IF($G117&gt;=15,"High",IF($G117&gt;=8,"Medium","Low")))</f>
        <v/>
      </c>
      <c r="I117" s="20"/>
      <c r="J117" s="20"/>
      <c r="K117" s="19"/>
      <c r="L117" s="21"/>
      <c r="M117" s="21"/>
      <c r="N117" s="3"/>
      <c r="O117" s="3"/>
      <c r="P117" s="3"/>
      <c r="Q117" s="3"/>
    </row>
    <row r="118" customFormat="false" ht="15" hidden="false" customHeight="false" outlineLevel="0" collapsed="false">
      <c r="A118" s="13"/>
      <c r="B118" s="13"/>
      <c r="C118" s="13"/>
      <c r="D118" s="14"/>
      <c r="E118" s="13"/>
      <c r="F118" s="13"/>
      <c r="G118" s="33" t="str">
        <f aca="false">IF($E118="","",$E118*$F118)</f>
        <v/>
      </c>
      <c r="H118" s="36" t="str">
        <f aca="false">IF($G118="","",IF($G118&gt;=15,"High",IF($G118&gt;=8,"Medium","Low")))</f>
        <v/>
      </c>
      <c r="I118" s="14"/>
      <c r="J118" s="14"/>
      <c r="K118" s="13"/>
      <c r="L118" s="15"/>
      <c r="M118" s="15"/>
      <c r="N118" s="3"/>
      <c r="O118" s="3"/>
      <c r="P118" s="3"/>
      <c r="Q118" s="3"/>
    </row>
    <row r="119" customFormat="false" ht="15" hidden="false" customHeight="false" outlineLevel="0" collapsed="false">
      <c r="A119" s="19"/>
      <c r="B119" s="19"/>
      <c r="C119" s="19"/>
      <c r="D119" s="20"/>
      <c r="E119" s="19"/>
      <c r="F119" s="19"/>
      <c r="G119" s="37" t="str">
        <f aca="false">IF($E119="","",$E119*$F119)</f>
        <v/>
      </c>
      <c r="H119" s="38" t="str">
        <f aca="false">IF($G119="","",IF($G119&gt;=15,"High",IF($G119&gt;=8,"Medium","Low")))</f>
        <v/>
      </c>
      <c r="I119" s="20"/>
      <c r="J119" s="20"/>
      <c r="K119" s="19"/>
      <c r="L119" s="21"/>
      <c r="M119" s="21"/>
      <c r="N119" s="3"/>
      <c r="O119" s="3"/>
      <c r="P119" s="3"/>
      <c r="Q119" s="3"/>
    </row>
    <row r="120" customFormat="false" ht="15" hidden="false" customHeight="false" outlineLevel="0" collapsed="false">
      <c r="A120" s="13"/>
      <c r="B120" s="13"/>
      <c r="C120" s="13"/>
      <c r="D120" s="14"/>
      <c r="E120" s="13"/>
      <c r="F120" s="13"/>
      <c r="G120" s="33" t="str">
        <f aca="false">IF($E120="","",$E120*$F120)</f>
        <v/>
      </c>
      <c r="H120" s="36" t="str">
        <f aca="false">IF($G120="","",IF($G120&gt;=15,"High",IF($G120&gt;=8,"Medium","Low")))</f>
        <v/>
      </c>
      <c r="I120" s="14"/>
      <c r="J120" s="14"/>
      <c r="K120" s="13"/>
      <c r="L120" s="15"/>
      <c r="M120" s="15"/>
      <c r="N120" s="3"/>
      <c r="O120" s="3"/>
      <c r="P120" s="3"/>
      <c r="Q120" s="3"/>
    </row>
    <row r="121" customFormat="false" ht="15" hidden="false" customHeight="false" outlineLevel="0" collapsed="false">
      <c r="A121" s="19"/>
      <c r="B121" s="19"/>
      <c r="C121" s="19"/>
      <c r="D121" s="20"/>
      <c r="E121" s="19"/>
      <c r="F121" s="19"/>
      <c r="G121" s="37" t="str">
        <f aca="false">IF($E121="","",$E121*$F121)</f>
        <v/>
      </c>
      <c r="H121" s="38" t="str">
        <f aca="false">IF($G121="","",IF($G121&gt;=15,"High",IF($G121&gt;=8,"Medium","Low")))</f>
        <v/>
      </c>
      <c r="I121" s="20"/>
      <c r="J121" s="20"/>
      <c r="K121" s="19"/>
      <c r="L121" s="21"/>
      <c r="M121" s="21"/>
      <c r="N121" s="3"/>
      <c r="O121" s="3"/>
      <c r="P121" s="3"/>
      <c r="Q121" s="3"/>
    </row>
    <row r="122" customFormat="false" ht="15" hidden="false" customHeight="false" outlineLevel="0" collapsed="false">
      <c r="A122" s="13"/>
      <c r="B122" s="13"/>
      <c r="C122" s="13"/>
      <c r="D122" s="14"/>
      <c r="E122" s="13"/>
      <c r="F122" s="13"/>
      <c r="G122" s="33" t="str">
        <f aca="false">IF($E122="","",$E122*$F122)</f>
        <v/>
      </c>
      <c r="H122" s="36" t="str">
        <f aca="false">IF($G122="","",IF($G122&gt;=15,"High",IF($G122&gt;=8,"Medium","Low")))</f>
        <v/>
      </c>
      <c r="I122" s="14"/>
      <c r="J122" s="14"/>
      <c r="K122" s="13"/>
      <c r="L122" s="15"/>
      <c r="M122" s="15"/>
      <c r="N122" s="3"/>
      <c r="O122" s="3"/>
      <c r="P122" s="3"/>
      <c r="Q122" s="3"/>
    </row>
    <row r="123" customFormat="false" ht="15" hidden="false" customHeight="false" outlineLevel="0" collapsed="false">
      <c r="A123" s="19"/>
      <c r="B123" s="19"/>
      <c r="C123" s="19"/>
      <c r="D123" s="20"/>
      <c r="E123" s="19"/>
      <c r="F123" s="19"/>
      <c r="G123" s="37" t="str">
        <f aca="false">IF($E123="","",$E123*$F123)</f>
        <v/>
      </c>
      <c r="H123" s="38" t="str">
        <f aca="false">IF($G123="","",IF($G123&gt;=15,"High",IF($G123&gt;=8,"Medium","Low")))</f>
        <v/>
      </c>
      <c r="I123" s="20"/>
      <c r="J123" s="20"/>
      <c r="K123" s="19"/>
      <c r="L123" s="21"/>
      <c r="M123" s="21"/>
      <c r="N123" s="3"/>
      <c r="O123" s="3"/>
      <c r="P123" s="3"/>
      <c r="Q123" s="3"/>
    </row>
    <row r="124" customFormat="false" ht="15" hidden="false" customHeight="false" outlineLevel="0" collapsed="false">
      <c r="A124" s="13"/>
      <c r="B124" s="13"/>
      <c r="C124" s="13"/>
      <c r="D124" s="14"/>
      <c r="E124" s="13"/>
      <c r="F124" s="13"/>
      <c r="G124" s="33" t="str">
        <f aca="false">IF($E124="","",$E124*$F124)</f>
        <v/>
      </c>
      <c r="H124" s="36" t="str">
        <f aca="false">IF($G124="","",IF($G124&gt;=15,"High",IF($G124&gt;=8,"Medium","Low")))</f>
        <v/>
      </c>
      <c r="I124" s="14"/>
      <c r="J124" s="14"/>
      <c r="K124" s="13"/>
      <c r="L124" s="15"/>
      <c r="M124" s="15"/>
      <c r="N124" s="3"/>
      <c r="O124" s="3"/>
      <c r="P124" s="3"/>
      <c r="Q124" s="3"/>
    </row>
    <row r="125" customFormat="false" ht="15" hidden="false" customHeight="false" outlineLevel="0" collapsed="false">
      <c r="A125" s="19"/>
      <c r="B125" s="19"/>
      <c r="C125" s="19"/>
      <c r="D125" s="20"/>
      <c r="E125" s="19"/>
      <c r="F125" s="19"/>
      <c r="G125" s="37" t="str">
        <f aca="false">IF($E125="","",$E125*$F125)</f>
        <v/>
      </c>
      <c r="H125" s="38" t="str">
        <f aca="false">IF($G125="","",IF($G125&gt;=15,"High",IF($G125&gt;=8,"Medium","Low")))</f>
        <v/>
      </c>
      <c r="I125" s="20"/>
      <c r="J125" s="20"/>
      <c r="K125" s="19"/>
      <c r="L125" s="21"/>
      <c r="M125" s="21"/>
      <c r="N125" s="3"/>
      <c r="O125" s="3"/>
      <c r="P125" s="3"/>
      <c r="Q125" s="3"/>
    </row>
    <row r="126" customFormat="false" ht="15" hidden="false" customHeight="false" outlineLevel="0" collapsed="false">
      <c r="A126" s="13"/>
      <c r="B126" s="13"/>
      <c r="C126" s="13"/>
      <c r="D126" s="14"/>
      <c r="E126" s="13"/>
      <c r="F126" s="13"/>
      <c r="G126" s="33" t="str">
        <f aca="false">IF($E126="","",$E126*$F126)</f>
        <v/>
      </c>
      <c r="H126" s="36" t="str">
        <f aca="false">IF($G126="","",IF($G126&gt;=15,"High",IF($G126&gt;=8,"Medium","Low")))</f>
        <v/>
      </c>
      <c r="I126" s="14"/>
      <c r="J126" s="14"/>
      <c r="K126" s="13"/>
      <c r="L126" s="15"/>
      <c r="M126" s="15"/>
      <c r="N126" s="3"/>
      <c r="O126" s="3"/>
      <c r="P126" s="3"/>
      <c r="Q126" s="3"/>
    </row>
    <row r="127" customFormat="false" ht="15" hidden="false" customHeight="false" outlineLevel="0" collapsed="false">
      <c r="A127" s="19"/>
      <c r="B127" s="19"/>
      <c r="C127" s="19"/>
      <c r="D127" s="20"/>
      <c r="E127" s="19"/>
      <c r="F127" s="19"/>
      <c r="G127" s="37" t="str">
        <f aca="false">IF($E127="","",$E127*$F127)</f>
        <v/>
      </c>
      <c r="H127" s="38" t="str">
        <f aca="false">IF($G127="","",IF($G127&gt;=15,"High",IF($G127&gt;=8,"Medium","Low")))</f>
        <v/>
      </c>
      <c r="I127" s="20"/>
      <c r="J127" s="20"/>
      <c r="K127" s="19"/>
      <c r="L127" s="21"/>
      <c r="M127" s="21"/>
      <c r="N127" s="3"/>
      <c r="O127" s="3"/>
      <c r="P127" s="3"/>
      <c r="Q127" s="3"/>
    </row>
    <row r="128" customFormat="false" ht="15" hidden="false" customHeight="false" outlineLevel="0" collapsed="false">
      <c r="A128" s="13"/>
      <c r="B128" s="13"/>
      <c r="C128" s="13"/>
      <c r="D128" s="14"/>
      <c r="E128" s="13"/>
      <c r="F128" s="13"/>
      <c r="G128" s="33" t="str">
        <f aca="false">IF($E128="","",$E128*$F128)</f>
        <v/>
      </c>
      <c r="H128" s="36" t="str">
        <f aca="false">IF($G128="","",IF($G128&gt;=15,"High",IF($G128&gt;=8,"Medium","Low")))</f>
        <v/>
      </c>
      <c r="I128" s="14"/>
      <c r="J128" s="14"/>
      <c r="K128" s="13"/>
      <c r="L128" s="15"/>
      <c r="M128" s="15"/>
      <c r="N128" s="3"/>
      <c r="O128" s="3"/>
      <c r="P128" s="3"/>
      <c r="Q128" s="3"/>
    </row>
    <row r="129" customFormat="false" ht="15" hidden="false" customHeight="false" outlineLevel="0" collapsed="false">
      <c r="A129" s="19"/>
      <c r="B129" s="19"/>
      <c r="C129" s="19"/>
      <c r="D129" s="20"/>
      <c r="E129" s="19"/>
      <c r="F129" s="19"/>
      <c r="G129" s="37" t="str">
        <f aca="false">IF($E129="","",$E129*$F129)</f>
        <v/>
      </c>
      <c r="H129" s="38" t="str">
        <f aca="false">IF($G129="","",IF($G129&gt;=15,"High",IF($G129&gt;=8,"Medium","Low")))</f>
        <v/>
      </c>
      <c r="I129" s="20"/>
      <c r="J129" s="20"/>
      <c r="K129" s="19"/>
      <c r="L129" s="21"/>
      <c r="M129" s="21"/>
      <c r="N129" s="3"/>
      <c r="O129" s="3"/>
      <c r="P129" s="3"/>
      <c r="Q129" s="3"/>
    </row>
    <row r="130" customFormat="false" ht="15" hidden="false" customHeight="false" outlineLevel="0" collapsed="false">
      <c r="A130" s="13"/>
      <c r="B130" s="13"/>
      <c r="C130" s="13"/>
      <c r="D130" s="14"/>
      <c r="E130" s="13"/>
      <c r="F130" s="13"/>
      <c r="G130" s="33" t="str">
        <f aca="false">IF($E130="","",$E130*$F130)</f>
        <v/>
      </c>
      <c r="H130" s="36" t="str">
        <f aca="false">IF($G130="","",IF($G130&gt;=15,"High",IF($G130&gt;=8,"Medium","Low")))</f>
        <v/>
      </c>
      <c r="I130" s="14"/>
      <c r="J130" s="14"/>
      <c r="K130" s="13"/>
      <c r="L130" s="15"/>
      <c r="M130" s="15"/>
      <c r="N130" s="3"/>
      <c r="O130" s="3"/>
      <c r="P130" s="3"/>
      <c r="Q130" s="3"/>
    </row>
    <row r="131" customFormat="false" ht="15" hidden="false" customHeight="false" outlineLevel="0" collapsed="false">
      <c r="A131" s="19"/>
      <c r="B131" s="19"/>
      <c r="C131" s="19"/>
      <c r="D131" s="20"/>
      <c r="E131" s="19"/>
      <c r="F131" s="19"/>
      <c r="G131" s="37" t="str">
        <f aca="false">IF($E131="","",$E131*$F131)</f>
        <v/>
      </c>
      <c r="H131" s="38" t="str">
        <f aca="false">IF($G131="","",IF($G131&gt;=15,"High",IF($G131&gt;=8,"Medium","Low")))</f>
        <v/>
      </c>
      <c r="I131" s="20"/>
      <c r="J131" s="20"/>
      <c r="K131" s="19"/>
      <c r="L131" s="21"/>
      <c r="M131" s="21"/>
      <c r="N131" s="3"/>
      <c r="O131" s="3"/>
      <c r="P131" s="3"/>
      <c r="Q131" s="3"/>
    </row>
    <row r="132" customFormat="false" ht="15" hidden="false" customHeight="false" outlineLevel="0" collapsed="false">
      <c r="A132" s="13"/>
      <c r="B132" s="13"/>
      <c r="C132" s="13"/>
      <c r="D132" s="14"/>
      <c r="E132" s="13"/>
      <c r="F132" s="13"/>
      <c r="G132" s="33" t="str">
        <f aca="false">IF($E132="","",$E132*$F132)</f>
        <v/>
      </c>
      <c r="H132" s="36" t="str">
        <f aca="false">IF($G132="","",IF($G132&gt;=15,"High",IF($G132&gt;=8,"Medium","Low")))</f>
        <v/>
      </c>
      <c r="I132" s="14"/>
      <c r="J132" s="14"/>
      <c r="K132" s="13"/>
      <c r="L132" s="15"/>
      <c r="M132" s="15"/>
      <c r="N132" s="3"/>
      <c r="O132" s="3"/>
      <c r="P132" s="3"/>
      <c r="Q132" s="3"/>
    </row>
    <row r="133" customFormat="false" ht="15" hidden="false" customHeight="false" outlineLevel="0" collapsed="false">
      <c r="A133" s="19"/>
      <c r="B133" s="19"/>
      <c r="C133" s="19"/>
      <c r="D133" s="20"/>
      <c r="E133" s="19"/>
      <c r="F133" s="19"/>
      <c r="G133" s="37" t="str">
        <f aca="false">IF($E133="","",$E133*$F133)</f>
        <v/>
      </c>
      <c r="H133" s="38" t="str">
        <f aca="false">IF($G133="","",IF($G133&gt;=15,"High",IF($G133&gt;=8,"Medium","Low")))</f>
        <v/>
      </c>
      <c r="I133" s="20"/>
      <c r="J133" s="20"/>
      <c r="K133" s="19"/>
      <c r="L133" s="21"/>
      <c r="M133" s="21"/>
      <c r="N133" s="3"/>
      <c r="O133" s="3"/>
      <c r="P133" s="3"/>
      <c r="Q133" s="3"/>
    </row>
    <row r="134" customFormat="false" ht="15" hidden="false" customHeight="false" outlineLevel="0" collapsed="false">
      <c r="A134" s="13"/>
      <c r="B134" s="13"/>
      <c r="C134" s="13"/>
      <c r="D134" s="14"/>
      <c r="E134" s="13"/>
      <c r="F134" s="13"/>
      <c r="G134" s="33" t="str">
        <f aca="false">IF($E134="","",$E134*$F134)</f>
        <v/>
      </c>
      <c r="H134" s="36" t="str">
        <f aca="false">IF($G134="","",IF($G134&gt;=15,"High",IF($G134&gt;=8,"Medium","Low")))</f>
        <v/>
      </c>
      <c r="I134" s="14"/>
      <c r="J134" s="14"/>
      <c r="K134" s="13"/>
      <c r="L134" s="15"/>
      <c r="M134" s="15"/>
      <c r="N134" s="3"/>
      <c r="O134" s="3"/>
      <c r="P134" s="3"/>
      <c r="Q134" s="3"/>
    </row>
    <row r="135" customFormat="false" ht="15" hidden="false" customHeight="false" outlineLevel="0" collapsed="false">
      <c r="A135" s="19"/>
      <c r="B135" s="19"/>
      <c r="C135" s="19"/>
      <c r="D135" s="20"/>
      <c r="E135" s="19"/>
      <c r="F135" s="19"/>
      <c r="G135" s="37" t="str">
        <f aca="false">IF($E135="","",$E135*$F135)</f>
        <v/>
      </c>
      <c r="H135" s="38" t="str">
        <f aca="false">IF($G135="","",IF($G135&gt;=15,"High",IF($G135&gt;=8,"Medium","Low")))</f>
        <v/>
      </c>
      <c r="I135" s="20"/>
      <c r="J135" s="20"/>
      <c r="K135" s="19"/>
      <c r="L135" s="21"/>
      <c r="M135" s="21"/>
      <c r="N135" s="3"/>
      <c r="O135" s="3"/>
      <c r="P135" s="3"/>
      <c r="Q135" s="3"/>
    </row>
    <row r="136" customFormat="false" ht="15" hidden="false" customHeight="false" outlineLevel="0" collapsed="false">
      <c r="A136" s="13"/>
      <c r="B136" s="13"/>
      <c r="C136" s="13"/>
      <c r="D136" s="14"/>
      <c r="E136" s="13"/>
      <c r="F136" s="13"/>
      <c r="G136" s="33" t="str">
        <f aca="false">IF($E136="","",$E136*$F136)</f>
        <v/>
      </c>
      <c r="H136" s="36" t="str">
        <f aca="false">IF($G136="","",IF($G136&gt;=15,"High",IF($G136&gt;=8,"Medium","Low")))</f>
        <v/>
      </c>
      <c r="I136" s="14"/>
      <c r="J136" s="14"/>
      <c r="K136" s="13"/>
      <c r="L136" s="15"/>
      <c r="M136" s="15"/>
      <c r="N136" s="3"/>
      <c r="O136" s="3"/>
      <c r="P136" s="3"/>
      <c r="Q136" s="3"/>
    </row>
    <row r="137" customFormat="false" ht="15" hidden="false" customHeight="false" outlineLevel="0" collapsed="false">
      <c r="A137" s="19"/>
      <c r="B137" s="19"/>
      <c r="C137" s="19"/>
      <c r="D137" s="20"/>
      <c r="E137" s="19"/>
      <c r="F137" s="19"/>
      <c r="G137" s="37" t="str">
        <f aca="false">IF($E137="","",$E137*$F137)</f>
        <v/>
      </c>
      <c r="H137" s="38" t="str">
        <f aca="false">IF($G137="","",IF($G137&gt;=15,"High",IF($G137&gt;=8,"Medium","Low")))</f>
        <v/>
      </c>
      <c r="I137" s="20"/>
      <c r="J137" s="20"/>
      <c r="K137" s="19"/>
      <c r="L137" s="21"/>
      <c r="M137" s="21"/>
      <c r="N137" s="3"/>
      <c r="O137" s="3"/>
      <c r="P137" s="3"/>
      <c r="Q137" s="3"/>
    </row>
    <row r="138" customFormat="false" ht="15" hidden="false" customHeight="false" outlineLevel="0" collapsed="false">
      <c r="A138" s="13"/>
      <c r="B138" s="13"/>
      <c r="C138" s="13"/>
      <c r="D138" s="14"/>
      <c r="E138" s="13"/>
      <c r="F138" s="13"/>
      <c r="G138" s="33" t="str">
        <f aca="false">IF($E138="","",$E138*$F138)</f>
        <v/>
      </c>
      <c r="H138" s="36" t="str">
        <f aca="false">IF($G138="","",IF($G138&gt;=15,"High",IF($G138&gt;=8,"Medium","Low")))</f>
        <v/>
      </c>
      <c r="I138" s="14"/>
      <c r="J138" s="14"/>
      <c r="K138" s="13"/>
      <c r="L138" s="15"/>
      <c r="M138" s="15"/>
      <c r="N138" s="3"/>
      <c r="O138" s="3"/>
      <c r="P138" s="3"/>
      <c r="Q138" s="3"/>
    </row>
    <row r="139" customFormat="false" ht="15" hidden="false" customHeight="false" outlineLevel="0" collapsed="false">
      <c r="A139" s="19"/>
      <c r="B139" s="19"/>
      <c r="C139" s="19"/>
      <c r="D139" s="20"/>
      <c r="E139" s="19"/>
      <c r="F139" s="19"/>
      <c r="G139" s="37" t="str">
        <f aca="false">IF($E139="","",$E139*$F139)</f>
        <v/>
      </c>
      <c r="H139" s="38" t="str">
        <f aca="false">IF($G139="","",IF($G139&gt;=15,"High",IF($G139&gt;=8,"Medium","Low")))</f>
        <v/>
      </c>
      <c r="I139" s="20"/>
      <c r="J139" s="20"/>
      <c r="K139" s="19"/>
      <c r="L139" s="21"/>
      <c r="M139" s="21"/>
      <c r="N139" s="3"/>
      <c r="O139" s="3"/>
      <c r="P139" s="3"/>
      <c r="Q139" s="3"/>
    </row>
    <row r="140" customFormat="false" ht="15" hidden="false" customHeight="false" outlineLevel="0" collapsed="false">
      <c r="A140" s="13"/>
      <c r="B140" s="13"/>
      <c r="C140" s="13"/>
      <c r="D140" s="14"/>
      <c r="E140" s="13"/>
      <c r="F140" s="13"/>
      <c r="G140" s="33" t="str">
        <f aca="false">IF($E140="","",$E140*$F140)</f>
        <v/>
      </c>
      <c r="H140" s="36" t="str">
        <f aca="false">IF($G140="","",IF($G140&gt;=15,"High",IF($G140&gt;=8,"Medium","Low")))</f>
        <v/>
      </c>
      <c r="I140" s="14"/>
      <c r="J140" s="14"/>
      <c r="K140" s="13"/>
      <c r="L140" s="15"/>
      <c r="M140" s="15"/>
      <c r="N140" s="3"/>
      <c r="O140" s="3"/>
      <c r="P140" s="3"/>
      <c r="Q140" s="3"/>
    </row>
    <row r="141" customFormat="false" ht="15" hidden="false" customHeight="false" outlineLevel="0" collapsed="false">
      <c r="A141" s="19"/>
      <c r="B141" s="19"/>
      <c r="C141" s="19"/>
      <c r="D141" s="20"/>
      <c r="E141" s="19"/>
      <c r="F141" s="19"/>
      <c r="G141" s="37" t="str">
        <f aca="false">IF($E141="","",$E141*$F141)</f>
        <v/>
      </c>
      <c r="H141" s="38" t="str">
        <f aca="false">IF($G141="","",IF($G141&gt;=15,"High",IF($G141&gt;=8,"Medium","Low")))</f>
        <v/>
      </c>
      <c r="I141" s="20"/>
      <c r="J141" s="20"/>
      <c r="K141" s="19"/>
      <c r="L141" s="21"/>
      <c r="M141" s="21"/>
      <c r="N141" s="3"/>
      <c r="O141" s="3"/>
      <c r="P141" s="3"/>
      <c r="Q141" s="3"/>
    </row>
    <row r="142" customFormat="false" ht="15" hidden="false" customHeight="false" outlineLevel="0" collapsed="false">
      <c r="A142" s="13"/>
      <c r="B142" s="13"/>
      <c r="C142" s="13"/>
      <c r="D142" s="14"/>
      <c r="E142" s="13"/>
      <c r="F142" s="13"/>
      <c r="G142" s="33" t="str">
        <f aca="false">IF($E142="","",$E142*$F142)</f>
        <v/>
      </c>
      <c r="H142" s="36" t="str">
        <f aca="false">IF($G142="","",IF($G142&gt;=15,"High",IF($G142&gt;=8,"Medium","Low")))</f>
        <v/>
      </c>
      <c r="I142" s="14"/>
      <c r="J142" s="14"/>
      <c r="K142" s="13"/>
      <c r="L142" s="15"/>
      <c r="M142" s="15"/>
      <c r="N142" s="3"/>
      <c r="O142" s="3"/>
      <c r="P142" s="3"/>
      <c r="Q142" s="3"/>
    </row>
    <row r="143" customFormat="false" ht="15" hidden="false" customHeight="false" outlineLevel="0" collapsed="false">
      <c r="A143" s="19"/>
      <c r="B143" s="19"/>
      <c r="C143" s="19"/>
      <c r="D143" s="20"/>
      <c r="E143" s="19"/>
      <c r="F143" s="19"/>
      <c r="G143" s="37" t="str">
        <f aca="false">IF($E143="","",$E143*$F143)</f>
        <v/>
      </c>
      <c r="H143" s="38" t="str">
        <f aca="false">IF($G143="","",IF($G143&gt;=15,"High",IF($G143&gt;=8,"Medium","Low")))</f>
        <v/>
      </c>
      <c r="I143" s="20"/>
      <c r="J143" s="20"/>
      <c r="K143" s="19"/>
      <c r="L143" s="21"/>
      <c r="M143" s="21"/>
      <c r="N143" s="3"/>
      <c r="O143" s="3"/>
      <c r="P143" s="3"/>
      <c r="Q143" s="3"/>
    </row>
    <row r="144" customFormat="false" ht="15" hidden="false" customHeight="false" outlineLevel="0" collapsed="false">
      <c r="A144" s="13"/>
      <c r="B144" s="13"/>
      <c r="C144" s="13"/>
      <c r="D144" s="14"/>
      <c r="E144" s="13"/>
      <c r="F144" s="13"/>
      <c r="G144" s="33" t="str">
        <f aca="false">IF($E144="","",$E144*$F144)</f>
        <v/>
      </c>
      <c r="H144" s="36" t="str">
        <f aca="false">IF($G144="","",IF($G144&gt;=15,"High",IF($G144&gt;=8,"Medium","Low")))</f>
        <v/>
      </c>
      <c r="I144" s="14"/>
      <c r="J144" s="14"/>
      <c r="K144" s="13"/>
      <c r="L144" s="15"/>
      <c r="M144" s="15"/>
      <c r="N144" s="3"/>
      <c r="O144" s="3"/>
      <c r="P144" s="3"/>
      <c r="Q144" s="3"/>
    </row>
    <row r="145" customFormat="false" ht="15" hidden="false" customHeight="false" outlineLevel="0" collapsed="false">
      <c r="A145" s="19"/>
      <c r="B145" s="19"/>
      <c r="C145" s="19"/>
      <c r="D145" s="20"/>
      <c r="E145" s="19"/>
      <c r="F145" s="19"/>
      <c r="G145" s="37" t="str">
        <f aca="false">IF($E145="","",$E145*$F145)</f>
        <v/>
      </c>
      <c r="H145" s="38" t="str">
        <f aca="false">IF($G145="","",IF($G145&gt;=15,"High",IF($G145&gt;=8,"Medium","Low")))</f>
        <v/>
      </c>
      <c r="I145" s="20"/>
      <c r="J145" s="20"/>
      <c r="K145" s="19"/>
      <c r="L145" s="21"/>
      <c r="M145" s="21"/>
      <c r="N145" s="3"/>
      <c r="O145" s="3"/>
      <c r="P145" s="3"/>
      <c r="Q145" s="3"/>
    </row>
    <row r="146" customFormat="false" ht="15" hidden="false" customHeight="false" outlineLevel="0" collapsed="false">
      <c r="A146" s="13"/>
      <c r="B146" s="13"/>
      <c r="C146" s="13"/>
      <c r="D146" s="14"/>
      <c r="E146" s="13"/>
      <c r="F146" s="13"/>
      <c r="G146" s="33" t="str">
        <f aca="false">IF($E146="","",$E146*$F146)</f>
        <v/>
      </c>
      <c r="H146" s="36" t="str">
        <f aca="false">IF($G146="","",IF($G146&gt;=15,"High",IF($G146&gt;=8,"Medium","Low")))</f>
        <v/>
      </c>
      <c r="I146" s="14"/>
      <c r="J146" s="14"/>
      <c r="K146" s="13"/>
      <c r="L146" s="15"/>
      <c r="M146" s="15"/>
      <c r="N146" s="3"/>
      <c r="O146" s="3"/>
      <c r="P146" s="3"/>
      <c r="Q146" s="3"/>
    </row>
    <row r="147" customFormat="false" ht="15" hidden="false" customHeight="false" outlineLevel="0" collapsed="false">
      <c r="A147" s="19"/>
      <c r="B147" s="19"/>
      <c r="C147" s="19"/>
      <c r="D147" s="20"/>
      <c r="E147" s="19"/>
      <c r="F147" s="19"/>
      <c r="G147" s="37" t="str">
        <f aca="false">IF($E147="","",$E147*$F147)</f>
        <v/>
      </c>
      <c r="H147" s="38" t="str">
        <f aca="false">IF($G147="","",IF($G147&gt;=15,"High",IF($G147&gt;=8,"Medium","Low")))</f>
        <v/>
      </c>
      <c r="I147" s="20"/>
      <c r="J147" s="20"/>
      <c r="K147" s="19"/>
      <c r="L147" s="21"/>
      <c r="M147" s="21"/>
      <c r="N147" s="3"/>
      <c r="O147" s="3"/>
      <c r="P147" s="3"/>
      <c r="Q147" s="3"/>
    </row>
    <row r="148" customFormat="false" ht="15" hidden="false" customHeight="false" outlineLevel="0" collapsed="false">
      <c r="A148" s="13"/>
      <c r="B148" s="13"/>
      <c r="C148" s="13"/>
      <c r="D148" s="14"/>
      <c r="E148" s="13"/>
      <c r="F148" s="13"/>
      <c r="G148" s="33" t="str">
        <f aca="false">IF($E148="","",$E148*$F148)</f>
        <v/>
      </c>
      <c r="H148" s="36" t="str">
        <f aca="false">IF($G148="","",IF($G148&gt;=15,"High",IF($G148&gt;=8,"Medium","Low")))</f>
        <v/>
      </c>
      <c r="I148" s="14"/>
      <c r="J148" s="14"/>
      <c r="K148" s="13"/>
      <c r="L148" s="15"/>
      <c r="M148" s="15"/>
      <c r="N148" s="3"/>
      <c r="O148" s="3"/>
      <c r="P148" s="3"/>
      <c r="Q148" s="3"/>
    </row>
    <row r="149" customFormat="false" ht="15" hidden="false" customHeight="false" outlineLevel="0" collapsed="false">
      <c r="A149" s="19"/>
      <c r="B149" s="19"/>
      <c r="C149" s="19"/>
      <c r="D149" s="20"/>
      <c r="E149" s="19"/>
      <c r="F149" s="19"/>
      <c r="G149" s="37" t="str">
        <f aca="false">IF($E149="","",$E149*$F149)</f>
        <v/>
      </c>
      <c r="H149" s="38" t="str">
        <f aca="false">IF($G149="","",IF($G149&gt;=15,"High",IF($G149&gt;=8,"Medium","Low")))</f>
        <v/>
      </c>
      <c r="I149" s="20"/>
      <c r="J149" s="20"/>
      <c r="K149" s="19"/>
      <c r="L149" s="21"/>
      <c r="M149" s="21"/>
      <c r="N149" s="3"/>
      <c r="O149" s="3"/>
      <c r="P149" s="3"/>
      <c r="Q149" s="3"/>
    </row>
    <row r="150" customFormat="false" ht="15" hidden="false" customHeight="false" outlineLevel="0" collapsed="false">
      <c r="A150" s="13"/>
      <c r="B150" s="13"/>
      <c r="C150" s="13"/>
      <c r="D150" s="14"/>
      <c r="E150" s="13"/>
      <c r="F150" s="13"/>
      <c r="G150" s="33" t="str">
        <f aca="false">IF($E150="","",$E150*$F150)</f>
        <v/>
      </c>
      <c r="H150" s="36" t="str">
        <f aca="false">IF($G150="","",IF($G150&gt;=15,"High",IF($G150&gt;=8,"Medium","Low")))</f>
        <v/>
      </c>
      <c r="I150" s="14"/>
      <c r="J150" s="14"/>
      <c r="K150" s="13"/>
      <c r="L150" s="15"/>
      <c r="M150" s="15"/>
      <c r="N150" s="3"/>
      <c r="O150" s="3"/>
      <c r="P150" s="3"/>
      <c r="Q150" s="3"/>
    </row>
    <row r="151" customFormat="false" ht="15" hidden="false" customHeight="false" outlineLevel="0" collapsed="false">
      <c r="A151" s="19"/>
      <c r="B151" s="19"/>
      <c r="C151" s="19"/>
      <c r="D151" s="20"/>
      <c r="E151" s="19"/>
      <c r="F151" s="19"/>
      <c r="G151" s="37" t="str">
        <f aca="false">IF($E151="","",$E151*$F151)</f>
        <v/>
      </c>
      <c r="H151" s="38" t="str">
        <f aca="false">IF($G151="","",IF($G151&gt;=15,"High",IF($G151&gt;=8,"Medium","Low")))</f>
        <v/>
      </c>
      <c r="I151" s="20"/>
      <c r="J151" s="20"/>
      <c r="K151" s="19"/>
      <c r="L151" s="21"/>
      <c r="M151" s="21"/>
      <c r="N151" s="3"/>
      <c r="O151" s="3"/>
      <c r="P151" s="3"/>
      <c r="Q151" s="3"/>
    </row>
    <row r="152" customFormat="false" ht="15" hidden="false" customHeight="false" outlineLevel="0" collapsed="false">
      <c r="A152" s="13"/>
      <c r="B152" s="13"/>
      <c r="C152" s="13"/>
      <c r="D152" s="14"/>
      <c r="E152" s="13"/>
      <c r="F152" s="13"/>
      <c r="G152" s="33" t="str">
        <f aca="false">IF($E152="","",$E152*$F152)</f>
        <v/>
      </c>
      <c r="H152" s="36" t="str">
        <f aca="false">IF($G152="","",IF($G152&gt;=15,"High",IF($G152&gt;=8,"Medium","Low")))</f>
        <v/>
      </c>
      <c r="I152" s="14"/>
      <c r="J152" s="14"/>
      <c r="K152" s="13"/>
      <c r="L152" s="15"/>
      <c r="M152" s="15"/>
      <c r="N152" s="3"/>
      <c r="O152" s="3"/>
      <c r="P152" s="3"/>
      <c r="Q152" s="3"/>
    </row>
    <row r="153" customFormat="false" ht="15" hidden="false" customHeight="false" outlineLevel="0" collapsed="false">
      <c r="A153" s="19"/>
      <c r="B153" s="19"/>
      <c r="C153" s="19"/>
      <c r="D153" s="20"/>
      <c r="E153" s="19"/>
      <c r="F153" s="19"/>
      <c r="G153" s="37" t="str">
        <f aca="false">IF($E153="","",$E153*$F153)</f>
        <v/>
      </c>
      <c r="H153" s="38" t="str">
        <f aca="false">IF($G153="","",IF($G153&gt;=15,"High",IF($G153&gt;=8,"Medium","Low")))</f>
        <v/>
      </c>
      <c r="I153" s="20"/>
      <c r="J153" s="20"/>
      <c r="K153" s="19"/>
      <c r="L153" s="21"/>
      <c r="M153" s="21"/>
      <c r="N153" s="3"/>
      <c r="O153" s="3"/>
      <c r="P153" s="3"/>
      <c r="Q153" s="3"/>
    </row>
    <row r="154" customFormat="false" ht="15" hidden="false" customHeight="false" outlineLevel="0" collapsed="false">
      <c r="A154" s="13"/>
      <c r="B154" s="13"/>
      <c r="C154" s="13"/>
      <c r="D154" s="14"/>
      <c r="E154" s="13"/>
      <c r="F154" s="13"/>
      <c r="G154" s="33" t="str">
        <f aca="false">IF($E154="","",$E154*$F154)</f>
        <v/>
      </c>
      <c r="H154" s="36" t="str">
        <f aca="false">IF($G154="","",IF($G154&gt;=15,"High",IF($G154&gt;=8,"Medium","Low")))</f>
        <v/>
      </c>
      <c r="I154" s="14"/>
      <c r="J154" s="14"/>
      <c r="K154" s="13"/>
      <c r="L154" s="15"/>
      <c r="M154" s="15"/>
      <c r="N154" s="3"/>
      <c r="O154" s="3"/>
      <c r="P154" s="3"/>
      <c r="Q154" s="3"/>
    </row>
    <row r="155" customFormat="false" ht="15" hidden="false" customHeight="false" outlineLevel="0" collapsed="false">
      <c r="A155" s="19"/>
      <c r="B155" s="19"/>
      <c r="C155" s="19"/>
      <c r="D155" s="20"/>
      <c r="E155" s="19"/>
      <c r="F155" s="19"/>
      <c r="G155" s="37" t="str">
        <f aca="false">IF($E155="","",$E155*$F155)</f>
        <v/>
      </c>
      <c r="H155" s="38" t="str">
        <f aca="false">IF($G155="","",IF($G155&gt;=15,"High",IF($G155&gt;=8,"Medium","Low")))</f>
        <v/>
      </c>
      <c r="I155" s="20"/>
      <c r="J155" s="20"/>
      <c r="K155" s="19"/>
      <c r="L155" s="21"/>
      <c r="M155" s="21"/>
      <c r="N155" s="3"/>
      <c r="O155" s="3"/>
      <c r="P155" s="3"/>
      <c r="Q155" s="3"/>
    </row>
    <row r="156" customFormat="false" ht="15" hidden="false" customHeight="false" outlineLevel="0" collapsed="false">
      <c r="A156" s="13"/>
      <c r="B156" s="13"/>
      <c r="C156" s="13"/>
      <c r="D156" s="14"/>
      <c r="E156" s="13"/>
      <c r="F156" s="13"/>
      <c r="G156" s="33" t="str">
        <f aca="false">IF($E156="","",$E156*$F156)</f>
        <v/>
      </c>
      <c r="H156" s="36" t="str">
        <f aca="false">IF($G156="","",IF($G156&gt;=15,"High",IF($G156&gt;=8,"Medium","Low")))</f>
        <v/>
      </c>
      <c r="I156" s="14"/>
      <c r="J156" s="14"/>
      <c r="K156" s="13"/>
      <c r="L156" s="15"/>
      <c r="M156" s="15"/>
      <c r="N156" s="3"/>
      <c r="O156" s="3"/>
      <c r="P156" s="3"/>
      <c r="Q156" s="3"/>
    </row>
    <row r="157" customFormat="false" ht="15" hidden="false" customHeight="false" outlineLevel="0" collapsed="false">
      <c r="A157" s="19"/>
      <c r="B157" s="19"/>
      <c r="C157" s="19"/>
      <c r="D157" s="20"/>
      <c r="E157" s="19"/>
      <c r="F157" s="19"/>
      <c r="G157" s="37" t="str">
        <f aca="false">IF($E157="","",$E157*$F157)</f>
        <v/>
      </c>
      <c r="H157" s="38" t="str">
        <f aca="false">IF($G157="","",IF($G157&gt;=15,"High",IF($G157&gt;=8,"Medium","Low")))</f>
        <v/>
      </c>
      <c r="I157" s="20"/>
      <c r="J157" s="20"/>
      <c r="K157" s="19"/>
      <c r="L157" s="21"/>
      <c r="M157" s="21"/>
      <c r="N157" s="3"/>
      <c r="O157" s="3"/>
      <c r="P157" s="3"/>
      <c r="Q157" s="3"/>
    </row>
    <row r="158" customFormat="false" ht="15" hidden="false" customHeight="false" outlineLevel="0" collapsed="false">
      <c r="A158" s="13"/>
      <c r="B158" s="13"/>
      <c r="C158" s="13"/>
      <c r="D158" s="14"/>
      <c r="E158" s="13"/>
      <c r="F158" s="13"/>
      <c r="G158" s="33" t="str">
        <f aca="false">IF($E158="","",$E158*$F158)</f>
        <v/>
      </c>
      <c r="H158" s="36" t="str">
        <f aca="false">IF($G158="","",IF($G158&gt;=15,"High",IF($G158&gt;=8,"Medium","Low")))</f>
        <v/>
      </c>
      <c r="I158" s="14"/>
      <c r="J158" s="14"/>
      <c r="K158" s="13"/>
      <c r="L158" s="15"/>
      <c r="M158" s="15"/>
      <c r="N158" s="3"/>
      <c r="O158" s="3"/>
      <c r="P158" s="3"/>
      <c r="Q158" s="3"/>
    </row>
    <row r="159" customFormat="false" ht="15" hidden="false" customHeight="false" outlineLevel="0" collapsed="false">
      <c r="A159" s="19"/>
      <c r="B159" s="19"/>
      <c r="C159" s="19"/>
      <c r="D159" s="20"/>
      <c r="E159" s="19"/>
      <c r="F159" s="19"/>
      <c r="G159" s="37" t="str">
        <f aca="false">IF($E159="","",$E159*$F159)</f>
        <v/>
      </c>
      <c r="H159" s="38" t="str">
        <f aca="false">IF($G159="","",IF($G159&gt;=15,"High",IF($G159&gt;=8,"Medium","Low")))</f>
        <v/>
      </c>
      <c r="I159" s="20"/>
      <c r="J159" s="20"/>
      <c r="K159" s="19"/>
      <c r="L159" s="21"/>
      <c r="M159" s="21"/>
      <c r="N159" s="3"/>
      <c r="O159" s="3"/>
      <c r="P159" s="3"/>
      <c r="Q159" s="3"/>
    </row>
    <row r="160" customFormat="false" ht="15" hidden="false" customHeight="false" outlineLevel="0" collapsed="false">
      <c r="A160" s="13"/>
      <c r="B160" s="13"/>
      <c r="C160" s="13"/>
      <c r="D160" s="14"/>
      <c r="E160" s="13"/>
      <c r="F160" s="13"/>
      <c r="G160" s="33" t="str">
        <f aca="false">IF($E160="","",$E160*$F160)</f>
        <v/>
      </c>
      <c r="H160" s="36" t="str">
        <f aca="false">IF($G160="","",IF($G160&gt;=15,"High",IF($G160&gt;=8,"Medium","Low")))</f>
        <v/>
      </c>
      <c r="I160" s="14"/>
      <c r="J160" s="14"/>
      <c r="K160" s="13"/>
      <c r="L160" s="15"/>
      <c r="M160" s="15"/>
      <c r="N160" s="3"/>
      <c r="O160" s="3"/>
      <c r="P160" s="3"/>
      <c r="Q160" s="3"/>
    </row>
    <row r="161" customFormat="false" ht="15" hidden="false" customHeight="false" outlineLevel="0" collapsed="false">
      <c r="A161" s="19"/>
      <c r="B161" s="19"/>
      <c r="C161" s="19"/>
      <c r="D161" s="20"/>
      <c r="E161" s="19"/>
      <c r="F161" s="19"/>
      <c r="G161" s="37" t="str">
        <f aca="false">IF($E161="","",$E161*$F161)</f>
        <v/>
      </c>
      <c r="H161" s="38" t="str">
        <f aca="false">IF($G161="","",IF($G161&gt;=15,"High",IF($G161&gt;=8,"Medium","Low")))</f>
        <v/>
      </c>
      <c r="I161" s="20"/>
      <c r="J161" s="20"/>
      <c r="K161" s="19"/>
      <c r="L161" s="21"/>
      <c r="M161" s="21"/>
      <c r="N161" s="3"/>
      <c r="O161" s="3"/>
      <c r="P161" s="3"/>
      <c r="Q161" s="3"/>
    </row>
    <row r="162" customFormat="false" ht="15" hidden="false" customHeight="false" outlineLevel="0" collapsed="false">
      <c r="A162" s="13"/>
      <c r="B162" s="13"/>
      <c r="C162" s="13"/>
      <c r="D162" s="14"/>
      <c r="E162" s="13"/>
      <c r="F162" s="13"/>
      <c r="G162" s="33" t="str">
        <f aca="false">IF($E162="","",$E162*$F162)</f>
        <v/>
      </c>
      <c r="H162" s="36" t="str">
        <f aca="false">IF($G162="","",IF($G162&gt;=15,"High",IF($G162&gt;=8,"Medium","Low")))</f>
        <v/>
      </c>
      <c r="I162" s="14"/>
      <c r="J162" s="14"/>
      <c r="K162" s="13"/>
      <c r="L162" s="15"/>
      <c r="M162" s="15"/>
      <c r="N162" s="3"/>
      <c r="O162" s="3"/>
      <c r="P162" s="3"/>
      <c r="Q162" s="3"/>
    </row>
    <row r="163" customFormat="false" ht="15" hidden="false" customHeight="false" outlineLevel="0" collapsed="false">
      <c r="A163" s="19"/>
      <c r="B163" s="19"/>
      <c r="C163" s="19"/>
      <c r="D163" s="20"/>
      <c r="E163" s="19"/>
      <c r="F163" s="19"/>
      <c r="G163" s="37" t="str">
        <f aca="false">IF($E163="","",$E163*$F163)</f>
        <v/>
      </c>
      <c r="H163" s="38" t="str">
        <f aca="false">IF($G163="","",IF($G163&gt;=15,"High",IF($G163&gt;=8,"Medium","Low")))</f>
        <v/>
      </c>
      <c r="I163" s="20"/>
      <c r="J163" s="20"/>
      <c r="K163" s="19"/>
      <c r="L163" s="21"/>
      <c r="M163" s="21"/>
      <c r="N163" s="3"/>
      <c r="O163" s="3"/>
      <c r="P163" s="3"/>
      <c r="Q163" s="3"/>
    </row>
    <row r="164" customFormat="false" ht="15" hidden="false" customHeight="false" outlineLevel="0" collapsed="false">
      <c r="A164" s="13"/>
      <c r="B164" s="13"/>
      <c r="C164" s="13"/>
      <c r="D164" s="14"/>
      <c r="E164" s="13"/>
      <c r="F164" s="13"/>
      <c r="G164" s="33" t="str">
        <f aca="false">IF($E164="","",$E164*$F164)</f>
        <v/>
      </c>
      <c r="H164" s="36" t="str">
        <f aca="false">IF($G164="","",IF($G164&gt;=15,"High",IF($G164&gt;=8,"Medium","Low")))</f>
        <v/>
      </c>
      <c r="I164" s="14"/>
      <c r="J164" s="14"/>
      <c r="K164" s="13"/>
      <c r="L164" s="15"/>
      <c r="M164" s="15"/>
      <c r="N164" s="3"/>
      <c r="O164" s="3"/>
      <c r="P164" s="3"/>
      <c r="Q164" s="3"/>
    </row>
    <row r="165" customFormat="false" ht="15" hidden="false" customHeight="false" outlineLevel="0" collapsed="false">
      <c r="A165" s="19"/>
      <c r="B165" s="19"/>
      <c r="C165" s="19"/>
      <c r="D165" s="20"/>
      <c r="E165" s="19"/>
      <c r="F165" s="19"/>
      <c r="G165" s="37" t="str">
        <f aca="false">IF($E165="","",$E165*$F165)</f>
        <v/>
      </c>
      <c r="H165" s="38" t="str">
        <f aca="false">IF($G165="","",IF($G165&gt;=15,"High",IF($G165&gt;=8,"Medium","Low")))</f>
        <v/>
      </c>
      <c r="I165" s="20"/>
      <c r="J165" s="20"/>
      <c r="K165" s="19"/>
      <c r="L165" s="21"/>
      <c r="M165" s="21"/>
      <c r="N165" s="3"/>
      <c r="O165" s="3"/>
      <c r="P165" s="3"/>
      <c r="Q165" s="3"/>
    </row>
    <row r="166" customFormat="false" ht="15" hidden="false" customHeight="false" outlineLevel="0" collapsed="false">
      <c r="A166" s="13"/>
      <c r="B166" s="13"/>
      <c r="C166" s="13"/>
      <c r="D166" s="14"/>
      <c r="E166" s="13"/>
      <c r="F166" s="13"/>
      <c r="G166" s="33" t="str">
        <f aca="false">IF($E166="","",$E166*$F166)</f>
        <v/>
      </c>
      <c r="H166" s="36" t="str">
        <f aca="false">IF($G166="","",IF($G166&gt;=15,"High",IF($G166&gt;=8,"Medium","Low")))</f>
        <v/>
      </c>
      <c r="I166" s="14"/>
      <c r="J166" s="14"/>
      <c r="K166" s="13"/>
      <c r="L166" s="15"/>
      <c r="M166" s="15"/>
      <c r="N166" s="3"/>
      <c r="O166" s="3"/>
      <c r="P166" s="3"/>
      <c r="Q166" s="3"/>
    </row>
    <row r="167" customFormat="false" ht="15" hidden="false" customHeight="false" outlineLevel="0" collapsed="false">
      <c r="A167" s="19"/>
      <c r="B167" s="19"/>
      <c r="C167" s="19"/>
      <c r="D167" s="20"/>
      <c r="E167" s="19"/>
      <c r="F167" s="19"/>
      <c r="G167" s="37" t="str">
        <f aca="false">IF($E167="","",$E167*$F167)</f>
        <v/>
      </c>
      <c r="H167" s="38" t="str">
        <f aca="false">IF($G167="","",IF($G167&gt;=15,"High",IF($G167&gt;=8,"Medium","Low")))</f>
        <v/>
      </c>
      <c r="I167" s="20"/>
      <c r="J167" s="20"/>
      <c r="K167" s="19"/>
      <c r="L167" s="21"/>
      <c r="M167" s="21"/>
      <c r="N167" s="3"/>
      <c r="O167" s="3"/>
      <c r="P167" s="3"/>
      <c r="Q167" s="3"/>
    </row>
    <row r="168" customFormat="false" ht="15" hidden="false" customHeight="false" outlineLevel="0" collapsed="false">
      <c r="A168" s="13"/>
      <c r="B168" s="13"/>
      <c r="C168" s="13"/>
      <c r="D168" s="14"/>
      <c r="E168" s="13"/>
      <c r="F168" s="13"/>
      <c r="G168" s="33" t="str">
        <f aca="false">IF($E168="","",$E168*$F168)</f>
        <v/>
      </c>
      <c r="H168" s="36" t="str">
        <f aca="false">IF($G168="","",IF($G168&gt;=15,"High",IF($G168&gt;=8,"Medium","Low")))</f>
        <v/>
      </c>
      <c r="I168" s="14"/>
      <c r="J168" s="14"/>
      <c r="K168" s="13"/>
      <c r="L168" s="15"/>
      <c r="M168" s="15"/>
      <c r="N168" s="3"/>
      <c r="O168" s="3"/>
      <c r="P168" s="3"/>
      <c r="Q168" s="3"/>
    </row>
    <row r="169" customFormat="false" ht="15" hidden="false" customHeight="false" outlineLevel="0" collapsed="false">
      <c r="A169" s="19"/>
      <c r="B169" s="19"/>
      <c r="C169" s="19"/>
      <c r="D169" s="20"/>
      <c r="E169" s="19"/>
      <c r="F169" s="19"/>
      <c r="G169" s="37" t="str">
        <f aca="false">IF($E169="","",$E169*$F169)</f>
        <v/>
      </c>
      <c r="H169" s="38" t="str">
        <f aca="false">IF($G169="","",IF($G169&gt;=15,"High",IF($G169&gt;=8,"Medium","Low")))</f>
        <v/>
      </c>
      <c r="I169" s="20"/>
      <c r="J169" s="20"/>
      <c r="K169" s="19"/>
      <c r="L169" s="21"/>
      <c r="M169" s="21"/>
      <c r="N169" s="3"/>
      <c r="O169" s="3"/>
      <c r="P169" s="3"/>
      <c r="Q169" s="3"/>
    </row>
    <row r="170" customFormat="false" ht="15" hidden="false" customHeight="false" outlineLevel="0" collapsed="false">
      <c r="A170" s="13"/>
      <c r="B170" s="13"/>
      <c r="C170" s="13"/>
      <c r="D170" s="14"/>
      <c r="E170" s="13"/>
      <c r="F170" s="13"/>
      <c r="G170" s="33" t="str">
        <f aca="false">IF($E170="","",$E170*$F170)</f>
        <v/>
      </c>
      <c r="H170" s="36" t="str">
        <f aca="false">IF($G170="","",IF($G170&gt;=15,"High",IF($G170&gt;=8,"Medium","Low")))</f>
        <v/>
      </c>
      <c r="I170" s="14"/>
      <c r="J170" s="14"/>
      <c r="K170" s="13"/>
      <c r="L170" s="15"/>
      <c r="M170" s="15"/>
      <c r="N170" s="3"/>
      <c r="O170" s="3"/>
      <c r="P170" s="3"/>
      <c r="Q170" s="3"/>
    </row>
    <row r="171" customFormat="false" ht="15" hidden="false" customHeight="false" outlineLevel="0" collapsed="false">
      <c r="A171" s="19"/>
      <c r="B171" s="19"/>
      <c r="C171" s="19"/>
      <c r="D171" s="20"/>
      <c r="E171" s="19"/>
      <c r="F171" s="19"/>
      <c r="G171" s="37" t="str">
        <f aca="false">IF($E171="","",$E171*$F171)</f>
        <v/>
      </c>
      <c r="H171" s="38" t="str">
        <f aca="false">IF($G171="","",IF($G171&gt;=15,"High",IF($G171&gt;=8,"Medium","Low")))</f>
        <v/>
      </c>
      <c r="I171" s="20"/>
      <c r="J171" s="20"/>
      <c r="K171" s="19"/>
      <c r="L171" s="21"/>
      <c r="M171" s="21"/>
      <c r="N171" s="3"/>
      <c r="O171" s="3"/>
      <c r="P171" s="3"/>
      <c r="Q171" s="3"/>
    </row>
    <row r="172" customFormat="false" ht="15" hidden="false" customHeight="false" outlineLevel="0" collapsed="false">
      <c r="A172" s="13"/>
      <c r="B172" s="13"/>
      <c r="C172" s="13"/>
      <c r="D172" s="14"/>
      <c r="E172" s="13"/>
      <c r="F172" s="13"/>
      <c r="G172" s="33" t="str">
        <f aca="false">IF($E172="","",$E172*$F172)</f>
        <v/>
      </c>
      <c r="H172" s="36" t="str">
        <f aca="false">IF($G172="","",IF($G172&gt;=15,"High",IF($G172&gt;=8,"Medium","Low")))</f>
        <v/>
      </c>
      <c r="I172" s="14"/>
      <c r="J172" s="14"/>
      <c r="K172" s="13"/>
      <c r="L172" s="15"/>
      <c r="M172" s="15"/>
      <c r="N172" s="3"/>
      <c r="O172" s="3"/>
      <c r="P172" s="3"/>
      <c r="Q172" s="3"/>
    </row>
    <row r="173" customFormat="false" ht="15" hidden="false" customHeight="false" outlineLevel="0" collapsed="false">
      <c r="A173" s="19"/>
      <c r="B173" s="19"/>
      <c r="C173" s="19"/>
      <c r="D173" s="20"/>
      <c r="E173" s="19"/>
      <c r="F173" s="19"/>
      <c r="G173" s="37" t="str">
        <f aca="false">IF($E173="","",$E173*$F173)</f>
        <v/>
      </c>
      <c r="H173" s="38" t="str">
        <f aca="false">IF($G173="","",IF($G173&gt;=15,"High",IF($G173&gt;=8,"Medium","Low")))</f>
        <v/>
      </c>
      <c r="I173" s="20"/>
      <c r="J173" s="20"/>
      <c r="K173" s="19"/>
      <c r="L173" s="21"/>
      <c r="M173" s="21"/>
      <c r="N173" s="3"/>
      <c r="O173" s="3"/>
      <c r="P173" s="3"/>
      <c r="Q173" s="3"/>
    </row>
    <row r="174" customFormat="false" ht="15" hidden="false" customHeight="false" outlineLevel="0" collapsed="false">
      <c r="A174" s="13"/>
      <c r="B174" s="13"/>
      <c r="C174" s="13"/>
      <c r="D174" s="14"/>
      <c r="E174" s="13"/>
      <c r="F174" s="13"/>
      <c r="G174" s="33" t="str">
        <f aca="false">IF($E174="","",$E174*$F174)</f>
        <v/>
      </c>
      <c r="H174" s="36" t="str">
        <f aca="false">IF($G174="","",IF($G174&gt;=15,"High",IF($G174&gt;=8,"Medium","Low")))</f>
        <v/>
      </c>
      <c r="I174" s="14"/>
      <c r="J174" s="14"/>
      <c r="K174" s="13"/>
      <c r="L174" s="15"/>
      <c r="M174" s="15"/>
      <c r="N174" s="3"/>
      <c r="O174" s="3"/>
      <c r="P174" s="3"/>
      <c r="Q174" s="3"/>
    </row>
    <row r="175" customFormat="false" ht="15" hidden="false" customHeight="false" outlineLevel="0" collapsed="false">
      <c r="A175" s="19"/>
      <c r="B175" s="19"/>
      <c r="C175" s="19"/>
      <c r="D175" s="20"/>
      <c r="E175" s="19"/>
      <c r="F175" s="19"/>
      <c r="G175" s="37" t="str">
        <f aca="false">IF($E175="","",$E175*$F175)</f>
        <v/>
      </c>
      <c r="H175" s="38" t="str">
        <f aca="false">IF($G175="","",IF($G175&gt;=15,"High",IF($G175&gt;=8,"Medium","Low")))</f>
        <v/>
      </c>
      <c r="I175" s="20"/>
      <c r="J175" s="20"/>
      <c r="K175" s="19"/>
      <c r="L175" s="21"/>
      <c r="M175" s="21"/>
      <c r="N175" s="3"/>
      <c r="O175" s="3"/>
      <c r="P175" s="3"/>
      <c r="Q175" s="3"/>
    </row>
    <row r="176" customFormat="false" ht="15" hidden="false" customHeight="false" outlineLevel="0" collapsed="false">
      <c r="A176" s="13"/>
      <c r="B176" s="13"/>
      <c r="C176" s="13"/>
      <c r="D176" s="14"/>
      <c r="E176" s="13"/>
      <c r="F176" s="13"/>
      <c r="G176" s="33" t="str">
        <f aca="false">IF($E176="","",$E176*$F176)</f>
        <v/>
      </c>
      <c r="H176" s="36" t="str">
        <f aca="false">IF($G176="","",IF($G176&gt;=15,"High",IF($G176&gt;=8,"Medium","Low")))</f>
        <v/>
      </c>
      <c r="I176" s="14"/>
      <c r="J176" s="14"/>
      <c r="K176" s="13"/>
      <c r="L176" s="15"/>
      <c r="M176" s="15"/>
      <c r="N176" s="3"/>
      <c r="O176" s="3"/>
      <c r="P176" s="3"/>
      <c r="Q176" s="3"/>
    </row>
    <row r="177" customFormat="false" ht="15" hidden="false" customHeight="false" outlineLevel="0" collapsed="false">
      <c r="A177" s="19"/>
      <c r="B177" s="19"/>
      <c r="C177" s="19"/>
      <c r="D177" s="20"/>
      <c r="E177" s="19"/>
      <c r="F177" s="19"/>
      <c r="G177" s="37" t="str">
        <f aca="false">IF($E177="","",$E177*$F177)</f>
        <v/>
      </c>
      <c r="H177" s="38" t="str">
        <f aca="false">IF($G177="","",IF($G177&gt;=15,"High",IF($G177&gt;=8,"Medium","Low")))</f>
        <v/>
      </c>
      <c r="I177" s="20"/>
      <c r="J177" s="20"/>
      <c r="K177" s="19"/>
      <c r="L177" s="21"/>
      <c r="M177" s="21"/>
      <c r="N177" s="3"/>
      <c r="O177" s="3"/>
      <c r="P177" s="3"/>
      <c r="Q177" s="3"/>
    </row>
    <row r="178" customFormat="false" ht="15" hidden="false" customHeight="false" outlineLevel="0" collapsed="false">
      <c r="A178" s="13"/>
      <c r="B178" s="13"/>
      <c r="C178" s="13"/>
      <c r="D178" s="14"/>
      <c r="E178" s="13"/>
      <c r="F178" s="13"/>
      <c r="G178" s="33" t="str">
        <f aca="false">IF($E178="","",$E178*$F178)</f>
        <v/>
      </c>
      <c r="H178" s="36" t="str">
        <f aca="false">IF($G178="","",IF($G178&gt;=15,"High",IF($G178&gt;=8,"Medium","Low")))</f>
        <v/>
      </c>
      <c r="I178" s="14"/>
      <c r="J178" s="14"/>
      <c r="K178" s="13"/>
      <c r="L178" s="15"/>
      <c r="M178" s="15"/>
      <c r="N178" s="3"/>
      <c r="O178" s="3"/>
      <c r="P178" s="3"/>
      <c r="Q178" s="3"/>
    </row>
    <row r="179" customFormat="false" ht="15" hidden="false" customHeight="false" outlineLevel="0" collapsed="false">
      <c r="A179" s="19"/>
      <c r="B179" s="19"/>
      <c r="C179" s="19"/>
      <c r="D179" s="20"/>
      <c r="E179" s="19"/>
      <c r="F179" s="19"/>
      <c r="G179" s="37" t="str">
        <f aca="false">IF($E179="","",$E179*$F179)</f>
        <v/>
      </c>
      <c r="H179" s="38" t="str">
        <f aca="false">IF($G179="","",IF($G179&gt;=15,"High",IF($G179&gt;=8,"Medium","Low")))</f>
        <v/>
      </c>
      <c r="I179" s="20"/>
      <c r="J179" s="20"/>
      <c r="K179" s="19"/>
      <c r="L179" s="21"/>
      <c r="M179" s="21"/>
      <c r="N179" s="3"/>
      <c r="O179" s="3"/>
      <c r="P179" s="3"/>
      <c r="Q179" s="3"/>
    </row>
    <row r="180" customFormat="false" ht="15" hidden="false" customHeight="false" outlineLevel="0" collapsed="false">
      <c r="A180" s="13"/>
      <c r="B180" s="13"/>
      <c r="C180" s="13"/>
      <c r="D180" s="14"/>
      <c r="E180" s="13"/>
      <c r="F180" s="13"/>
      <c r="G180" s="33" t="str">
        <f aca="false">IF($E180="","",$E180*$F180)</f>
        <v/>
      </c>
      <c r="H180" s="36" t="str">
        <f aca="false">IF($G180="","",IF($G180&gt;=15,"High",IF($G180&gt;=8,"Medium","Low")))</f>
        <v/>
      </c>
      <c r="I180" s="14"/>
      <c r="J180" s="14"/>
      <c r="K180" s="13"/>
      <c r="L180" s="15"/>
      <c r="M180" s="15"/>
      <c r="N180" s="3"/>
      <c r="O180" s="3"/>
      <c r="P180" s="3"/>
      <c r="Q180" s="3"/>
    </row>
    <row r="181" customFormat="false" ht="15" hidden="false" customHeight="false" outlineLevel="0" collapsed="false">
      <c r="A181" s="19"/>
      <c r="B181" s="19"/>
      <c r="C181" s="19"/>
      <c r="D181" s="20"/>
      <c r="E181" s="19"/>
      <c r="F181" s="19"/>
      <c r="G181" s="37" t="str">
        <f aca="false">IF($E181="","",$E181*$F181)</f>
        <v/>
      </c>
      <c r="H181" s="38" t="str">
        <f aca="false">IF($G181="","",IF($G181&gt;=15,"High",IF($G181&gt;=8,"Medium","Low")))</f>
        <v/>
      </c>
      <c r="I181" s="20"/>
      <c r="J181" s="20"/>
      <c r="K181" s="19"/>
      <c r="L181" s="21"/>
      <c r="M181" s="21"/>
      <c r="N181" s="3"/>
      <c r="O181" s="3"/>
      <c r="P181" s="3"/>
      <c r="Q181" s="3"/>
    </row>
    <row r="182" customFormat="false" ht="15" hidden="false" customHeight="false" outlineLevel="0" collapsed="false">
      <c r="A182" s="13"/>
      <c r="B182" s="13"/>
      <c r="C182" s="13"/>
      <c r="D182" s="14"/>
      <c r="E182" s="13"/>
      <c r="F182" s="13"/>
      <c r="G182" s="33" t="str">
        <f aca="false">IF($E182="","",$E182*$F182)</f>
        <v/>
      </c>
      <c r="H182" s="36" t="str">
        <f aca="false">IF($G182="","",IF($G182&gt;=15,"High",IF($G182&gt;=8,"Medium","Low")))</f>
        <v/>
      </c>
      <c r="I182" s="14"/>
      <c r="J182" s="14"/>
      <c r="K182" s="13"/>
      <c r="L182" s="15"/>
      <c r="M182" s="15"/>
      <c r="N182" s="3"/>
      <c r="O182" s="3"/>
      <c r="P182" s="3"/>
      <c r="Q182" s="3"/>
    </row>
    <row r="183" customFormat="false" ht="15" hidden="false" customHeight="false" outlineLevel="0" collapsed="false">
      <c r="A183" s="19"/>
      <c r="B183" s="19"/>
      <c r="C183" s="19"/>
      <c r="D183" s="20"/>
      <c r="E183" s="19"/>
      <c r="F183" s="19"/>
      <c r="G183" s="37" t="str">
        <f aca="false">IF($E183="","",$E183*$F183)</f>
        <v/>
      </c>
      <c r="H183" s="38" t="str">
        <f aca="false">IF($G183="","",IF($G183&gt;=15,"High",IF($G183&gt;=8,"Medium","Low")))</f>
        <v/>
      </c>
      <c r="I183" s="20"/>
      <c r="J183" s="20"/>
      <c r="K183" s="19"/>
      <c r="L183" s="21"/>
      <c r="M183" s="21"/>
      <c r="N183" s="3"/>
      <c r="O183" s="3"/>
      <c r="P183" s="3"/>
      <c r="Q183" s="3"/>
    </row>
    <row r="184" customFormat="false" ht="15" hidden="false" customHeight="false" outlineLevel="0" collapsed="false">
      <c r="A184" s="13"/>
      <c r="B184" s="13"/>
      <c r="C184" s="13"/>
      <c r="D184" s="14"/>
      <c r="E184" s="13"/>
      <c r="F184" s="13"/>
      <c r="G184" s="33" t="str">
        <f aca="false">IF($E184="","",$E184*$F184)</f>
        <v/>
      </c>
      <c r="H184" s="36" t="str">
        <f aca="false">IF($G184="","",IF($G184&gt;=15,"High",IF($G184&gt;=8,"Medium","Low")))</f>
        <v/>
      </c>
      <c r="I184" s="14"/>
      <c r="J184" s="14"/>
      <c r="K184" s="13"/>
      <c r="L184" s="15"/>
      <c r="M184" s="15"/>
      <c r="N184" s="3"/>
      <c r="O184" s="3"/>
      <c r="P184" s="3"/>
      <c r="Q184" s="3"/>
    </row>
    <row r="185" customFormat="false" ht="15" hidden="false" customHeight="false" outlineLevel="0" collapsed="false">
      <c r="A185" s="19"/>
      <c r="B185" s="19"/>
      <c r="C185" s="19"/>
      <c r="D185" s="20"/>
      <c r="E185" s="19"/>
      <c r="F185" s="19"/>
      <c r="G185" s="37" t="str">
        <f aca="false">IF($E185="","",$E185*$F185)</f>
        <v/>
      </c>
      <c r="H185" s="38" t="str">
        <f aca="false">IF($G185="","",IF($G185&gt;=15,"High",IF($G185&gt;=8,"Medium","Low")))</f>
        <v/>
      </c>
      <c r="I185" s="20"/>
      <c r="J185" s="20"/>
      <c r="K185" s="19"/>
      <c r="L185" s="21"/>
      <c r="M185" s="21"/>
      <c r="N185" s="3"/>
      <c r="O185" s="3"/>
      <c r="P185" s="3"/>
      <c r="Q185" s="3"/>
    </row>
    <row r="186" customFormat="false" ht="15" hidden="false" customHeight="false" outlineLevel="0" collapsed="false">
      <c r="A186" s="13"/>
      <c r="B186" s="13"/>
      <c r="C186" s="13"/>
      <c r="D186" s="14"/>
      <c r="E186" s="13"/>
      <c r="F186" s="13"/>
      <c r="G186" s="33" t="str">
        <f aca="false">IF($E186="","",$E186*$F186)</f>
        <v/>
      </c>
      <c r="H186" s="36" t="str">
        <f aca="false">IF($G186="","",IF($G186&gt;=15,"High",IF($G186&gt;=8,"Medium","Low")))</f>
        <v/>
      </c>
      <c r="I186" s="14"/>
      <c r="J186" s="14"/>
      <c r="K186" s="13"/>
      <c r="L186" s="15"/>
      <c r="M186" s="15"/>
      <c r="N186" s="3"/>
      <c r="O186" s="3"/>
      <c r="P186" s="3"/>
      <c r="Q186" s="3"/>
    </row>
    <row r="187" customFormat="false" ht="15" hidden="false" customHeight="false" outlineLevel="0" collapsed="false">
      <c r="A187" s="19"/>
      <c r="B187" s="19"/>
      <c r="C187" s="19"/>
      <c r="D187" s="20"/>
      <c r="E187" s="19"/>
      <c r="F187" s="19"/>
      <c r="G187" s="37" t="str">
        <f aca="false">IF($E187="","",$E187*$F187)</f>
        <v/>
      </c>
      <c r="H187" s="38" t="str">
        <f aca="false">IF($G187="","",IF($G187&gt;=15,"High",IF($G187&gt;=8,"Medium","Low")))</f>
        <v/>
      </c>
      <c r="I187" s="20"/>
      <c r="J187" s="20"/>
      <c r="K187" s="19"/>
      <c r="L187" s="21"/>
      <c r="M187" s="21"/>
      <c r="N187" s="3"/>
      <c r="O187" s="3"/>
      <c r="P187" s="3"/>
      <c r="Q187" s="3"/>
    </row>
    <row r="188" customFormat="false" ht="15" hidden="false" customHeight="false" outlineLevel="0" collapsed="false">
      <c r="A188" s="13"/>
      <c r="B188" s="13"/>
      <c r="C188" s="13"/>
      <c r="D188" s="14"/>
      <c r="E188" s="13"/>
      <c r="F188" s="13"/>
      <c r="G188" s="33" t="str">
        <f aca="false">IF($E188="","",$E188*$F188)</f>
        <v/>
      </c>
      <c r="H188" s="36" t="str">
        <f aca="false">IF($G188="","",IF($G188&gt;=15,"High",IF($G188&gt;=8,"Medium","Low")))</f>
        <v/>
      </c>
      <c r="I188" s="14"/>
      <c r="J188" s="14"/>
      <c r="K188" s="13"/>
      <c r="L188" s="15"/>
      <c r="M188" s="15"/>
      <c r="N188" s="3"/>
      <c r="O188" s="3"/>
      <c r="P188" s="3"/>
      <c r="Q188" s="3"/>
    </row>
    <row r="189" customFormat="false" ht="15" hidden="false" customHeight="false" outlineLevel="0" collapsed="false">
      <c r="A189" s="19"/>
      <c r="B189" s="19"/>
      <c r="C189" s="19"/>
      <c r="D189" s="20"/>
      <c r="E189" s="19"/>
      <c r="F189" s="19"/>
      <c r="G189" s="37" t="str">
        <f aca="false">IF($E189="","",$E189*$F189)</f>
        <v/>
      </c>
      <c r="H189" s="38" t="str">
        <f aca="false">IF($G189="","",IF($G189&gt;=15,"High",IF($G189&gt;=8,"Medium","Low")))</f>
        <v/>
      </c>
      <c r="I189" s="20"/>
      <c r="J189" s="20"/>
      <c r="K189" s="19"/>
      <c r="L189" s="21"/>
      <c r="M189" s="21"/>
      <c r="N189" s="3"/>
      <c r="O189" s="3"/>
      <c r="P189" s="3"/>
      <c r="Q189" s="3"/>
    </row>
    <row r="190" customFormat="false" ht="15" hidden="false" customHeight="false" outlineLevel="0" collapsed="false">
      <c r="A190" s="13"/>
      <c r="B190" s="13"/>
      <c r="C190" s="13"/>
      <c r="D190" s="14"/>
      <c r="E190" s="13"/>
      <c r="F190" s="13"/>
      <c r="G190" s="33" t="str">
        <f aca="false">IF($E190="","",$E190*$F190)</f>
        <v/>
      </c>
      <c r="H190" s="36" t="str">
        <f aca="false">IF($G190="","",IF($G190&gt;=15,"High",IF($G190&gt;=8,"Medium","Low")))</f>
        <v/>
      </c>
      <c r="I190" s="14"/>
      <c r="J190" s="14"/>
      <c r="K190" s="13"/>
      <c r="L190" s="15"/>
      <c r="M190" s="15"/>
      <c r="N190" s="3"/>
      <c r="O190" s="3"/>
      <c r="P190" s="3"/>
      <c r="Q190" s="3"/>
    </row>
    <row r="191" customFormat="false" ht="15" hidden="false" customHeight="false" outlineLevel="0" collapsed="false">
      <c r="A191" s="19"/>
      <c r="B191" s="19"/>
      <c r="C191" s="19"/>
      <c r="D191" s="20"/>
      <c r="E191" s="19"/>
      <c r="F191" s="19"/>
      <c r="G191" s="37" t="str">
        <f aca="false">IF($E191="","",$E191*$F191)</f>
        <v/>
      </c>
      <c r="H191" s="38" t="str">
        <f aca="false">IF($G191="","",IF($G191&gt;=15,"High",IF($G191&gt;=8,"Medium","Low")))</f>
        <v/>
      </c>
      <c r="I191" s="20"/>
      <c r="J191" s="20"/>
      <c r="K191" s="19"/>
      <c r="L191" s="21"/>
      <c r="M191" s="21"/>
      <c r="N191" s="3"/>
      <c r="O191" s="3"/>
      <c r="P191" s="3"/>
      <c r="Q191" s="3"/>
    </row>
    <row r="192" customFormat="false" ht="15" hidden="false" customHeight="false" outlineLevel="0" collapsed="false">
      <c r="A192" s="13"/>
      <c r="B192" s="13"/>
      <c r="C192" s="13"/>
      <c r="D192" s="14"/>
      <c r="E192" s="13"/>
      <c r="F192" s="13"/>
      <c r="G192" s="33" t="str">
        <f aca="false">IF($E192="","",$E192*$F192)</f>
        <v/>
      </c>
      <c r="H192" s="36" t="str">
        <f aca="false">IF($G192="","",IF($G192&gt;=15,"High",IF($G192&gt;=8,"Medium","Low")))</f>
        <v/>
      </c>
      <c r="I192" s="14"/>
      <c r="J192" s="14"/>
      <c r="K192" s="13"/>
      <c r="L192" s="15"/>
      <c r="M192" s="15"/>
      <c r="N192" s="3"/>
      <c r="O192" s="3"/>
      <c r="P192" s="3"/>
      <c r="Q192" s="3"/>
    </row>
    <row r="193" customFormat="false" ht="15" hidden="false" customHeight="false" outlineLevel="0" collapsed="false">
      <c r="A193" s="19"/>
      <c r="B193" s="19"/>
      <c r="C193" s="19"/>
      <c r="D193" s="20"/>
      <c r="E193" s="19"/>
      <c r="F193" s="19"/>
      <c r="G193" s="37" t="str">
        <f aca="false">IF($E193="","",$E193*$F193)</f>
        <v/>
      </c>
      <c r="H193" s="38" t="str">
        <f aca="false">IF($G193="","",IF($G193&gt;=15,"High",IF($G193&gt;=8,"Medium","Low")))</f>
        <v/>
      </c>
      <c r="I193" s="20"/>
      <c r="J193" s="20"/>
      <c r="K193" s="19"/>
      <c r="L193" s="21"/>
      <c r="M193" s="21"/>
      <c r="N193" s="3"/>
      <c r="O193" s="3"/>
      <c r="P193" s="3"/>
      <c r="Q193" s="3"/>
    </row>
    <row r="194" customFormat="false" ht="15" hidden="false" customHeight="false" outlineLevel="0" collapsed="false">
      <c r="A194" s="13"/>
      <c r="B194" s="13"/>
      <c r="C194" s="13"/>
      <c r="D194" s="14"/>
      <c r="E194" s="13"/>
      <c r="F194" s="13"/>
      <c r="G194" s="33" t="str">
        <f aca="false">IF($E194="","",$E194*$F194)</f>
        <v/>
      </c>
      <c r="H194" s="36" t="str">
        <f aca="false">IF($G194="","",IF($G194&gt;=15,"High",IF($G194&gt;=8,"Medium","Low")))</f>
        <v/>
      </c>
      <c r="I194" s="14"/>
      <c r="J194" s="14"/>
      <c r="K194" s="13"/>
      <c r="L194" s="15"/>
      <c r="M194" s="15"/>
      <c r="N194" s="3"/>
      <c r="O194" s="3"/>
      <c r="P194" s="3"/>
      <c r="Q194" s="3"/>
    </row>
    <row r="195" customFormat="false" ht="15" hidden="false" customHeight="false" outlineLevel="0" collapsed="false">
      <c r="A195" s="19"/>
      <c r="B195" s="19"/>
      <c r="C195" s="19"/>
      <c r="D195" s="20"/>
      <c r="E195" s="19"/>
      <c r="F195" s="19"/>
      <c r="G195" s="37" t="str">
        <f aca="false">IF($E195="","",$E195*$F195)</f>
        <v/>
      </c>
      <c r="H195" s="38" t="str">
        <f aca="false">IF($G195="","",IF($G195&gt;=15,"High",IF($G195&gt;=8,"Medium","Low")))</f>
        <v/>
      </c>
      <c r="I195" s="20"/>
      <c r="J195" s="20"/>
      <c r="K195" s="19"/>
      <c r="L195" s="21"/>
      <c r="M195" s="21"/>
      <c r="N195" s="3"/>
      <c r="O195" s="3"/>
      <c r="P195" s="3"/>
      <c r="Q195" s="3"/>
    </row>
    <row r="196" customFormat="false" ht="15" hidden="false" customHeight="false" outlineLevel="0" collapsed="false">
      <c r="A196" s="13"/>
      <c r="B196" s="13"/>
      <c r="C196" s="13"/>
      <c r="D196" s="14"/>
      <c r="E196" s="13"/>
      <c r="F196" s="13"/>
      <c r="G196" s="33" t="str">
        <f aca="false">IF($E196="","",$E196*$F196)</f>
        <v/>
      </c>
      <c r="H196" s="36" t="str">
        <f aca="false">IF($G196="","",IF($G196&gt;=15,"High",IF($G196&gt;=8,"Medium","Low")))</f>
        <v/>
      </c>
      <c r="I196" s="14"/>
      <c r="J196" s="14"/>
      <c r="K196" s="13"/>
      <c r="L196" s="15"/>
      <c r="M196" s="15"/>
      <c r="N196" s="3"/>
      <c r="O196" s="3"/>
      <c r="P196" s="3"/>
      <c r="Q196" s="3"/>
    </row>
    <row r="197" customFormat="false" ht="15" hidden="false" customHeight="false" outlineLevel="0" collapsed="false">
      <c r="A197" s="19"/>
      <c r="B197" s="19"/>
      <c r="C197" s="19"/>
      <c r="D197" s="20"/>
      <c r="E197" s="19"/>
      <c r="F197" s="19"/>
      <c r="G197" s="37" t="str">
        <f aca="false">IF($E197="","",$E197*$F197)</f>
        <v/>
      </c>
      <c r="H197" s="38" t="str">
        <f aca="false">IF($G197="","",IF($G197&gt;=15,"High",IF($G197&gt;=8,"Medium","Low")))</f>
        <v/>
      </c>
      <c r="I197" s="20"/>
      <c r="J197" s="20"/>
      <c r="K197" s="19"/>
      <c r="L197" s="21"/>
      <c r="M197" s="21"/>
      <c r="N197" s="3"/>
      <c r="O197" s="3"/>
      <c r="P197" s="3"/>
      <c r="Q197" s="3"/>
    </row>
    <row r="198" customFormat="false" ht="15" hidden="false" customHeight="false" outlineLevel="0" collapsed="false">
      <c r="A198" s="13"/>
      <c r="B198" s="13"/>
      <c r="C198" s="13"/>
      <c r="D198" s="14"/>
      <c r="E198" s="13"/>
      <c r="F198" s="13"/>
      <c r="G198" s="33" t="str">
        <f aca="false">IF($E198="","",$E198*$F198)</f>
        <v/>
      </c>
      <c r="H198" s="36" t="str">
        <f aca="false">IF($G198="","",IF($G198&gt;=15,"High",IF($G198&gt;=8,"Medium","Low")))</f>
        <v/>
      </c>
      <c r="I198" s="14"/>
      <c r="J198" s="14"/>
      <c r="K198" s="13"/>
      <c r="L198" s="15"/>
      <c r="M198" s="15"/>
      <c r="N198" s="3"/>
      <c r="O198" s="3"/>
      <c r="P198" s="3"/>
      <c r="Q198" s="3"/>
    </row>
    <row r="199" customFormat="false" ht="15" hidden="false" customHeight="false" outlineLevel="0" collapsed="false">
      <c r="A199" s="19"/>
      <c r="B199" s="19"/>
      <c r="C199" s="19"/>
      <c r="D199" s="20"/>
      <c r="E199" s="19"/>
      <c r="F199" s="19"/>
      <c r="G199" s="37" t="str">
        <f aca="false">IF($E199="","",$E199*$F199)</f>
        <v/>
      </c>
      <c r="H199" s="38" t="str">
        <f aca="false">IF($G199="","",IF($G199&gt;=15,"High",IF($G199&gt;=8,"Medium","Low")))</f>
        <v/>
      </c>
      <c r="I199" s="20"/>
      <c r="J199" s="20"/>
      <c r="K199" s="19"/>
      <c r="L199" s="21"/>
      <c r="M199" s="21"/>
      <c r="N199" s="3"/>
      <c r="O199" s="3"/>
      <c r="P199" s="3"/>
      <c r="Q199" s="3"/>
    </row>
    <row r="200" customFormat="false" ht="15" hidden="false" customHeight="false" outlineLevel="0" collapsed="false">
      <c r="A200" s="13"/>
      <c r="B200" s="13"/>
      <c r="C200" s="13"/>
      <c r="D200" s="14"/>
      <c r="E200" s="13"/>
      <c r="F200" s="13"/>
      <c r="G200" s="33" t="str">
        <f aca="false">IF($E200="","",$E200*$F200)</f>
        <v/>
      </c>
      <c r="H200" s="36" t="str">
        <f aca="false">IF($G200="","",IF($G200&gt;=15,"High",IF($G200&gt;=8,"Medium","Low")))</f>
        <v/>
      </c>
      <c r="I200" s="14"/>
      <c r="J200" s="14"/>
      <c r="K200" s="13"/>
      <c r="L200" s="15"/>
      <c r="M200" s="15"/>
      <c r="N200" s="3"/>
      <c r="O200" s="3"/>
      <c r="P200" s="3"/>
      <c r="Q200" s="3"/>
    </row>
    <row r="201" customFormat="false" ht="15" hidden="false" customHeight="false" outlineLevel="0" collapsed="false">
      <c r="A201" s="19"/>
      <c r="B201" s="19"/>
      <c r="C201" s="19"/>
      <c r="D201" s="20"/>
      <c r="E201" s="19"/>
      <c r="F201" s="19"/>
      <c r="G201" s="37" t="str">
        <f aca="false">IF($E201="","",$E201*$F201)</f>
        <v/>
      </c>
      <c r="H201" s="38" t="str">
        <f aca="false">IF($G201="","",IF($G201&gt;=15,"High",IF($G201&gt;=8,"Medium","Low")))</f>
        <v/>
      </c>
      <c r="I201" s="20"/>
      <c r="J201" s="20"/>
      <c r="K201" s="19"/>
      <c r="L201" s="21"/>
      <c r="M201" s="21"/>
      <c r="N201" s="3"/>
      <c r="O201" s="3"/>
      <c r="P201" s="3"/>
      <c r="Q201" s="3"/>
    </row>
    <row r="202" customFormat="false" ht="15" hidden="false" customHeight="false" outlineLevel="0" collapsed="false">
      <c r="A202" s="13"/>
      <c r="B202" s="13"/>
      <c r="C202" s="13"/>
      <c r="D202" s="14"/>
      <c r="E202" s="13"/>
      <c r="F202" s="13"/>
      <c r="G202" s="33" t="str">
        <f aca="false">IF($E202="","",$E202*$F202)</f>
        <v/>
      </c>
      <c r="H202" s="36" t="str">
        <f aca="false">IF($G202="","",IF($G202&gt;=15,"High",IF($G202&gt;=8,"Medium","Low")))</f>
        <v/>
      </c>
      <c r="I202" s="14"/>
      <c r="J202" s="14"/>
      <c r="K202" s="13"/>
      <c r="L202" s="15"/>
      <c r="M202" s="15"/>
      <c r="N202" s="3"/>
      <c r="O202" s="3"/>
      <c r="P202" s="3"/>
      <c r="Q202" s="3"/>
    </row>
    <row r="203" customFormat="false" ht="15" hidden="false" customHeight="false" outlineLevel="0" collapsed="false">
      <c r="A203" s="19"/>
      <c r="B203" s="19"/>
      <c r="C203" s="19"/>
      <c r="D203" s="20"/>
      <c r="E203" s="19"/>
      <c r="F203" s="19"/>
      <c r="G203" s="37" t="str">
        <f aca="false">IF($E203="","",$E203*$F203)</f>
        <v/>
      </c>
      <c r="H203" s="38" t="str">
        <f aca="false">IF($G203="","",IF($G203&gt;=15,"High",IF($G203&gt;=8,"Medium","Low")))</f>
        <v/>
      </c>
      <c r="I203" s="20"/>
      <c r="J203" s="20"/>
      <c r="K203" s="19"/>
      <c r="L203" s="21"/>
      <c r="M203" s="21"/>
      <c r="N203" s="3"/>
      <c r="O203" s="3"/>
      <c r="P203" s="3"/>
      <c r="Q203" s="3"/>
    </row>
  </sheetData>
  <autoFilter ref="A3:M203"/>
  <mergeCells count="2">
    <mergeCell ref="A1:M1"/>
    <mergeCell ref="A2:M2"/>
  </mergeCells>
  <conditionalFormatting sqref="H4:H203">
    <cfRule type="cellIs" priority="2" operator="equal" aboveAverage="0" equalAverage="0" bottom="0" percent="0" rank="0" text="" dxfId="11">
      <formula>"High"</formula>
    </cfRule>
    <cfRule type="cellIs" priority="3" operator="equal" aboveAverage="0" equalAverage="0" bottom="0" percent="0" rank="0" text="" dxfId="12">
      <formula>"Medium"</formula>
    </cfRule>
    <cfRule type="cellIs" priority="4" operator="equal" aboveAverage="0" equalAverage="0" bottom="0" percent="0" rank="0" text="" dxfId="13">
      <formula>"Low"</formula>
    </cfRule>
  </conditionalFormatting>
  <dataValidations count="4">
    <dataValidation allowBlank="true" error="Pick a value from the list on the Lists tab." errorStyle="stop" errorTitle="Not a valid entry" operator="between" showDropDown="false" showErrorMessage="true" showInputMessage="false" sqref="K4:K203" type="list">
      <formula1>Lists!$C$4:$C$6</formula1>
      <formula2>0</formula2>
    </dataValidation>
    <dataValidation allowBlank="true" error="Pick a value from the list on the Lists tab." errorStyle="stop" errorTitle="Not a valid entry" operator="between" showDropDown="false" showErrorMessage="true" showInputMessage="false" sqref="C4:C203" type="list">
      <formula1>Lists!$D$4:$D$5</formula1>
      <formula2>0</formula2>
    </dataValidation>
    <dataValidation allowBlank="true" error="Pick a value from the list on the Lists tab." errorStyle="stop" errorTitle="Not a valid entry" operator="between" showDropDown="false" showErrorMessage="true" showInputMessage="false" sqref="E4:F203" type="list">
      <formula1>Lists!$E$4:$E$8</formula1>
      <formula2>0</formula2>
    </dataValidation>
    <dataValidation allowBlank="true" errorStyle="stop" operator="between" showDropDown="false" showErrorMessage="false" showInputMessage="false" sqref="B4:B203" type="list">
      <formula1>'TOR Register'!$A$4:$A$43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5" topLeftCell="D16" activePane="bottomRight" state="frozen"/>
      <selection pane="topLeft" activeCell="A1" activeCellId="0" sqref="A1"/>
      <selection pane="topRight" activeCell="D1" activeCellId="0" sqref="D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5"/>
    <col collapsed="false" customWidth="true" hidden="false" outlineLevel="0" max="4" min="3" style="0" width="14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9" min="8" style="0" width="11"/>
    <col collapsed="false" customWidth="true" hidden="false" outlineLevel="0" max="10" min="10" style="0" width="13"/>
    <col collapsed="false" customWidth="true" hidden="false" outlineLevel="0" max="12" min="11" style="0" width="11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8" min="15" style="0" width="10"/>
    <col collapsed="false" customWidth="true" hidden="false" outlineLevel="0" max="19" min="19" style="0" width="13"/>
    <col collapsed="false" customWidth="true" hidden="false" outlineLevel="0" max="20" min="20" style="0" width="56"/>
  </cols>
  <sheetData>
    <row r="1" customFormat="false" ht="25.5" hidden="false" customHeight="true" outlineLevel="0" collapsed="false">
      <c r="A1" s="1" t="s">
        <v>366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" hidden="false" customHeight="false" outlineLevel="0" collapsed="false">
      <c r="A2" s="2" t="s">
        <v>367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customFormat="false" ht="15" hidden="false" customHeight="false" outlineLevel="0" collapsed="false">
      <c r="A4" s="3"/>
      <c r="B4" s="39" t="s">
        <v>368</v>
      </c>
      <c r="C4" s="40" t="n">
        <v>46235</v>
      </c>
      <c r="D4" s="41" t="s">
        <v>369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customFormat="false" ht="15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customFormat="false" ht="15" hidden="false" customHeight="false" outlineLevel="0" collapsed="false">
      <c r="A6" s="3"/>
      <c r="B6" s="39" t="s">
        <v>370</v>
      </c>
      <c r="C6" s="3"/>
      <c r="D6" s="3"/>
      <c r="E6" s="3"/>
      <c r="F6" s="3"/>
      <c r="G6" s="39" t="s">
        <v>371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customFormat="false" ht="24" hidden="false" customHeight="true" outlineLevel="0" collapsed="false">
      <c r="A7" s="3"/>
      <c r="B7" s="42" t="s">
        <v>372</v>
      </c>
      <c r="C7" s="43" t="n">
        <v>0.9</v>
      </c>
      <c r="D7" s="44" t="s">
        <v>373</v>
      </c>
      <c r="E7" s="3"/>
      <c r="F7" s="3"/>
      <c r="G7" s="45" t="s">
        <v>374</v>
      </c>
      <c r="H7" s="45"/>
      <c r="I7" s="45" t="s">
        <v>375</v>
      </c>
      <c r="J7" s="45"/>
      <c r="K7" s="45" t="s">
        <v>376</v>
      </c>
      <c r="L7" s="45"/>
      <c r="M7" s="45" t="s">
        <v>37</v>
      </c>
      <c r="N7" s="45"/>
      <c r="O7" s="45" t="s">
        <v>35</v>
      </c>
      <c r="P7" s="45"/>
      <c r="Q7" s="45" t="s">
        <v>33</v>
      </c>
      <c r="R7" s="45"/>
      <c r="S7" s="3"/>
      <c r="T7" s="3"/>
    </row>
    <row r="8" customFormat="false" ht="21.75" hidden="false" customHeight="true" outlineLevel="0" collapsed="false">
      <c r="A8" s="3"/>
      <c r="B8" s="42" t="s">
        <v>377</v>
      </c>
      <c r="C8" s="43" t="n">
        <v>0.75</v>
      </c>
      <c r="D8" s="44" t="s">
        <v>378</v>
      </c>
      <c r="E8" s="3"/>
      <c r="F8" s="3"/>
      <c r="G8" s="46" t="n">
        <f aca="false">COUNTIFS('Monthly Log'!$A$4:$A$303,$C$4)</f>
        <v>5</v>
      </c>
      <c r="H8" s="46"/>
      <c r="I8" s="47" t="n">
        <f aca="false">SUMIF($A$16:$A$55,"&lt;&gt;",$D$16:$D$55)</f>
        <v>2545000</v>
      </c>
      <c r="J8" s="47"/>
      <c r="K8" s="47" t="n">
        <f aca="false">SUM($E$16:$E$55)</f>
        <v>2092000</v>
      </c>
      <c r="L8" s="47"/>
      <c r="M8" s="48" t="n">
        <f aca="false">IF(SUM($D$16:$D$55)=0,"",SUM($E$16:$E$55)/SUM($D$16:$D$55))</f>
        <v>0.822003929273085</v>
      </c>
      <c r="N8" s="48"/>
      <c r="O8" s="48" t="n">
        <f aca="false">IF(SUM($H$16:$H$55)=0,"",SUM($I$16:$I$55)/SUM($H$16:$H$55))</f>
        <v>0.833333333333333</v>
      </c>
      <c r="P8" s="48"/>
      <c r="Q8" s="48" t="n">
        <f aca="false">IF(SUM($K$16:$K$55)=0,"",SUM($L$16:$L$55)/SUM($K$16:$K$55))</f>
        <v>0.8125</v>
      </c>
      <c r="R8" s="48"/>
      <c r="S8" s="3"/>
      <c r="T8" s="3"/>
    </row>
    <row r="9" customFormat="false" ht="15" hidden="false" customHeight="false" outlineLevel="0" collapsed="false">
      <c r="A9" s="3"/>
      <c r="B9" s="42" t="s">
        <v>379</v>
      </c>
      <c r="C9" s="43" t="n">
        <v>0.95</v>
      </c>
      <c r="D9" s="44" t="s">
        <v>380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customFormat="false" ht="24" hidden="false" customHeight="true" outlineLevel="0" collapsed="false">
      <c r="A10" s="3"/>
      <c r="B10" s="42" t="s">
        <v>381</v>
      </c>
      <c r="C10" s="43" t="n">
        <v>1</v>
      </c>
      <c r="D10" s="44" t="s">
        <v>382</v>
      </c>
      <c r="E10" s="3"/>
      <c r="F10" s="3"/>
      <c r="G10" s="45" t="s">
        <v>383</v>
      </c>
      <c r="H10" s="45"/>
      <c r="I10" s="45" t="s">
        <v>384</v>
      </c>
      <c r="J10" s="45"/>
      <c r="K10" s="45" t="s">
        <v>43</v>
      </c>
      <c r="L10" s="45"/>
      <c r="M10" s="45" t="s">
        <v>385</v>
      </c>
      <c r="N10" s="45"/>
      <c r="O10" s="45" t="s">
        <v>386</v>
      </c>
      <c r="P10" s="45"/>
      <c r="Q10" s="45" t="s">
        <v>387</v>
      </c>
      <c r="R10" s="45"/>
      <c r="S10" s="3"/>
      <c r="T10" s="3"/>
    </row>
    <row r="11" customFormat="false" ht="21.75" hidden="false" customHeight="true" outlineLevel="0" collapsed="false">
      <c r="A11" s="3"/>
      <c r="B11" s="42" t="s">
        <v>388</v>
      </c>
      <c r="C11" s="49" t="n">
        <v>2</v>
      </c>
      <c r="D11" s="44" t="s">
        <v>389</v>
      </c>
      <c r="E11" s="3"/>
      <c r="F11" s="3"/>
      <c r="G11" s="46" t="n">
        <f aca="false">SUM($O$16:$O$55)</f>
        <v>22</v>
      </c>
      <c r="H11" s="46"/>
      <c r="I11" s="46" t="n">
        <f aca="false">SUM($P$16:$P$55)</f>
        <v>4</v>
      </c>
      <c r="J11" s="46"/>
      <c r="K11" s="46" t="n">
        <f aca="false">SUM($Q$16:$Q$55)</f>
        <v>7</v>
      </c>
      <c r="L11" s="46"/>
      <c r="M11" s="46" t="n">
        <f aca="false">COUNTIF($S$16:$S$55,"Red")</f>
        <v>1</v>
      </c>
      <c r="N11" s="46"/>
      <c r="O11" s="46" t="n">
        <f aca="false">COUNTIF($S$16:$S$55,"Amber")</f>
        <v>2</v>
      </c>
      <c r="P11" s="46"/>
      <c r="Q11" s="46" t="n">
        <f aca="false">COUNTIF($S$16:$S$55,"Green")</f>
        <v>2</v>
      </c>
      <c r="R11" s="46"/>
      <c r="S11" s="3"/>
      <c r="T11" s="3"/>
    </row>
    <row r="12" customFormat="false" ht="1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customFormat="false" ht="1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customFormat="false" ht="15" hidden="false" customHeight="false" outlineLevel="0" collapsed="false">
      <c r="A14" s="50" t="s">
        <v>390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customFormat="false" ht="31.5" hidden="false" customHeight="true" outlineLevel="0" collapsed="false">
      <c r="A15" s="12" t="s">
        <v>69</v>
      </c>
      <c r="B15" s="12" t="s">
        <v>70</v>
      </c>
      <c r="C15" s="12" t="s">
        <v>391</v>
      </c>
      <c r="D15" s="12" t="s">
        <v>392</v>
      </c>
      <c r="E15" s="12" t="s">
        <v>393</v>
      </c>
      <c r="F15" s="12" t="s">
        <v>394</v>
      </c>
      <c r="G15" s="12" t="s">
        <v>395</v>
      </c>
      <c r="H15" s="12" t="s">
        <v>396</v>
      </c>
      <c r="I15" s="12" t="s">
        <v>397</v>
      </c>
      <c r="J15" s="12" t="s">
        <v>398</v>
      </c>
      <c r="K15" s="12" t="s">
        <v>399</v>
      </c>
      <c r="L15" s="12" t="s">
        <v>400</v>
      </c>
      <c r="M15" s="12" t="s">
        <v>401</v>
      </c>
      <c r="N15" s="12" t="s">
        <v>402</v>
      </c>
      <c r="O15" s="12" t="s">
        <v>403</v>
      </c>
      <c r="P15" s="12" t="s">
        <v>404</v>
      </c>
      <c r="Q15" s="12" t="s">
        <v>405</v>
      </c>
      <c r="R15" s="12" t="s">
        <v>134</v>
      </c>
      <c r="S15" s="12" t="s">
        <v>45</v>
      </c>
      <c r="T15" s="12" t="s">
        <v>406</v>
      </c>
    </row>
    <row r="16" customFormat="false" ht="25.5" hidden="false" customHeight="true" outlineLevel="0" collapsed="false">
      <c r="A16" s="51" t="str">
        <f aca="false">IF('TOR Register'!$A4="","",'TOR Register'!$A4)</f>
        <v>P-001</v>
      </c>
      <c r="B16" s="52" t="str">
        <f aca="false">IFERROR(INDEX('TOR Register'!$B$4:$B$43,MATCH($A16,'TOR Register'!$A$4:$A$43,0)),"")</f>
        <v>Client Portal Rebuild</v>
      </c>
      <c r="C16" s="52" t="str">
        <f aca="false">IFERROR(INDEX('TOR Register'!$E$4:$E$43,MATCH($A16,'TOR Register'!$A$4:$A$43,0)),"")</f>
        <v>R. Patel</v>
      </c>
      <c r="D16" s="53" t="n">
        <f aca="false">IFERROR(INDEX('TOR Register'!$I$4:$I$43,MATCH($A16,'TOR Register'!$A$4:$A$43,0)),"")</f>
        <v>500000</v>
      </c>
      <c r="E16" s="53" t="n">
        <f aca="false">SUMIFS('Monthly Log'!$G$4:$G$303,'Monthly Log'!$A$4:$A$303,$C$4,'Monthly Log'!$B$4:$B$303,$A16)</f>
        <v>412000</v>
      </c>
      <c r="F16" s="54" t="n">
        <f aca="false">IF(N($D16)=0,"",$E16/$D16)</f>
        <v>0.824</v>
      </c>
      <c r="G16" s="55" t="n">
        <f aca="false">IF($A16="","",$D16-$E16)</f>
        <v>88000</v>
      </c>
      <c r="H16" s="56" t="n">
        <f aca="false">SUMIFS('Monthly Log'!$C$4:$C$303,'Monthly Log'!$A$4:$A$303,$C$4,'Monthly Log'!$B$4:$B$303,$A16)</f>
        <v>9</v>
      </c>
      <c r="I16" s="56" t="n">
        <f aca="false">SUMIFS('Monthly Log'!$D$4:$D$303,'Monthly Log'!$A$4:$A$303,$C$4,'Monthly Log'!$B$4:$B$303,$A16)</f>
        <v>7</v>
      </c>
      <c r="J16" s="57" t="n">
        <f aca="false">IF($H16=0,"",$I16/$H16)</f>
        <v>0.777777777777778</v>
      </c>
      <c r="K16" s="56" t="n">
        <f aca="false">SUMIFS('Monthly Log'!$E$4:$E$303,'Monthly Log'!$A$4:$A$303,$C$4,'Monthly Log'!$B$4:$B$303,$A16)</f>
        <v>11</v>
      </c>
      <c r="L16" s="56" t="n">
        <f aca="false">SUMIFS('Monthly Log'!$F$4:$F$303,'Monthly Log'!$A$4:$A$303,$C$4,'Monthly Log'!$B$4:$B$303,$A16)</f>
        <v>9</v>
      </c>
      <c r="M16" s="57" t="n">
        <f aca="false">IF($K16=0,"",$L16/$K16)</f>
        <v>0.818181818181818</v>
      </c>
      <c r="N16" s="56" t="n">
        <f aca="false">SUMIFS('Monthly Log'!$I$4:$I$303,'Monthly Log'!$A$4:$A$303,$C$4,'Monthly Log'!$B$4:$B$303,$A16)</f>
        <v>2</v>
      </c>
      <c r="O16" s="56" t="n">
        <f aca="false">SUMIFS('Monthly Log'!$J$4:$J$303,'Monthly Log'!$A$4:$A$303,$C$4,'Monthly Log'!$B$4:$B$303,$A16)</f>
        <v>3</v>
      </c>
      <c r="P16" s="56" t="n">
        <f aca="false">SUMIFS('Monthly Log'!$K$4:$K$303,'Monthly Log'!$A$4:$A$303,$C$4,'Monthly Log'!$B$4:$B$303,$A16)</f>
        <v>1</v>
      </c>
      <c r="Q16" s="56" t="n">
        <f aca="false">SUMIFS('Monthly Log'!$L$4:$L$303,'Monthly Log'!$A$4:$A$303,$C$4,'Monthly Log'!$B$4:$B$303,$A16)</f>
        <v>2</v>
      </c>
      <c r="R16" s="51" t="str">
        <f aca="false">IFERROR(INDEX('Monthly Log'!$M$4:$M$303,MATCH(TEXT($C$4,"YYYY-MM")&amp;"|"&amp;$A16,'Monthly Log'!$O$4:$O$303,0)),"")</f>
        <v>Amber</v>
      </c>
      <c r="S16" s="36" t="str">
        <f aca="false">IF($A16="","",IF(AND($H16=0,$K16=0,$E16=0),"Not started",IF(OR(AND($D16&gt;0,$E16/$D16&gt;$C$10),AND($H16&gt;0,$I16/$H16&lt;$C$8),$P16&gt;=$C$11),"Red",IF(OR(AND($D16&gt;0,$E16/$D16&gt;$C$9),AND($H16&gt;0,$I16/$H16&lt;$C$7),AND($K16&gt;0,$L16/$K16&lt;$C$7),$P16&gt;0,$Q16&gt;0),"Amber","Green"))))</f>
        <v>Amber</v>
      </c>
      <c r="T16" s="58" t="str">
        <f aca="false">IFERROR(INDEX('Monthly Log'!$N$4:$N$303,MATCH(TEXT($C$4,"YYYY-MM")&amp;"|"&amp;$A16,'Monthly Log'!$O$4:$O$303,0)),"")</f>
        <v>Recovery plan agreed; hit rate improving but still behind TOR.</v>
      </c>
    </row>
    <row r="17" customFormat="false" ht="25.5" hidden="false" customHeight="true" outlineLevel="0" collapsed="false">
      <c r="A17" s="51" t="str">
        <f aca="false">IF('TOR Register'!$A5="","",'TOR Register'!$A5)</f>
        <v>P-002</v>
      </c>
      <c r="B17" s="52" t="str">
        <f aca="false">IFERROR(INDEX('TOR Register'!$B$4:$B$43,MATCH($A17,'TOR Register'!$A$4:$A$43,0)),"")</f>
        <v>Data Platform Migration</v>
      </c>
      <c r="C17" s="52" t="str">
        <f aca="false">IFERROR(INDEX('TOR Register'!$E$4:$E$43,MATCH($A17,'TOR Register'!$A$4:$A$43,0)),"")</f>
        <v>S. Kowalski</v>
      </c>
      <c r="D17" s="53" t="n">
        <f aca="false">IFERROR(INDEX('TOR Register'!$I$4:$I$43,MATCH($A17,'TOR Register'!$A$4:$A$43,0)),"")</f>
        <v>820000</v>
      </c>
      <c r="E17" s="53" t="n">
        <f aca="false">SUMIFS('Monthly Log'!$G$4:$G$303,'Monthly Log'!$A$4:$A$303,$C$4,'Monthly Log'!$B$4:$B$303,$A17)</f>
        <v>690000</v>
      </c>
      <c r="F17" s="54" t="n">
        <f aca="false">IF(N($D17)=0,"",$E17/$D17)</f>
        <v>0.841463414634146</v>
      </c>
      <c r="G17" s="55" t="n">
        <f aca="false">IF($A17="","",$D17-$E17)</f>
        <v>130000</v>
      </c>
      <c r="H17" s="56" t="n">
        <f aca="false">SUMIFS('Monthly Log'!$C$4:$C$303,'Monthly Log'!$A$4:$A$303,$C$4,'Monthly Log'!$B$4:$B$303,$A17)</f>
        <v>10</v>
      </c>
      <c r="I17" s="56" t="n">
        <f aca="false">SUMIFS('Monthly Log'!$D$4:$D$303,'Monthly Log'!$A$4:$A$303,$C$4,'Monthly Log'!$B$4:$B$303,$A17)</f>
        <v>9</v>
      </c>
      <c r="J17" s="57" t="n">
        <f aca="false">IF($H17=0,"",$I17/$H17)</f>
        <v>0.9</v>
      </c>
      <c r="K17" s="56" t="n">
        <f aca="false">SUMIFS('Monthly Log'!$E$4:$E$303,'Monthly Log'!$A$4:$A$303,$C$4,'Monthly Log'!$B$4:$B$303,$A17)</f>
        <v>10</v>
      </c>
      <c r="L17" s="56" t="n">
        <f aca="false">SUMIFS('Monthly Log'!$F$4:$F$303,'Monthly Log'!$A$4:$A$303,$C$4,'Monthly Log'!$B$4:$B$303,$A17)</f>
        <v>9</v>
      </c>
      <c r="M17" s="57" t="n">
        <f aca="false">IF($K17=0,"",$L17/$K17)</f>
        <v>0.9</v>
      </c>
      <c r="N17" s="56" t="n">
        <f aca="false">SUMIFS('Monthly Log'!$I$4:$I$303,'Monthly Log'!$A$4:$A$303,$C$4,'Monthly Log'!$B$4:$B$303,$A17)</f>
        <v>2</v>
      </c>
      <c r="O17" s="56" t="n">
        <f aca="false">SUMIFS('Monthly Log'!$J$4:$J$303,'Monthly Log'!$A$4:$A$303,$C$4,'Monthly Log'!$B$4:$B$303,$A17)</f>
        <v>5</v>
      </c>
      <c r="P17" s="56" t="n">
        <f aca="false">SUMIFS('Monthly Log'!$K$4:$K$303,'Monthly Log'!$A$4:$A$303,$C$4,'Monthly Log'!$B$4:$B$303,$A17)</f>
        <v>0</v>
      </c>
      <c r="Q17" s="56" t="n">
        <f aca="false">SUMIFS('Monthly Log'!$L$4:$L$303,'Monthly Log'!$A$4:$A$303,$C$4,'Monthly Log'!$B$4:$B$303,$A17)</f>
        <v>0</v>
      </c>
      <c r="R17" s="51" t="str">
        <f aca="false">IFERROR(INDEX('Monthly Log'!$M$4:$M$303,MATCH(TEXT($C$4,"YYYY-MM")&amp;"|"&amp;$A17,'Monthly Log'!$O$4:$O$303,0)),"")</f>
        <v>Green</v>
      </c>
      <c r="S17" s="36" t="str">
        <f aca="false">IF($A17="","",IF(AND($H17=0,$K17=0,$E17=0),"Not started",IF(OR(AND($D17&gt;0,$E17/$D17&gt;$C$10),AND($H17&gt;0,$I17/$H17&lt;$C$8),$P17&gt;=$C$11),"Red",IF(OR(AND($D17&gt;0,$E17/$D17&gt;$C$9),AND($H17&gt;0,$I17/$H17&lt;$C$7),AND($K17&gt;0,$L17/$K17&lt;$C$7),$P17&gt;0,$Q17&gt;0),"Amber","Green"))))</f>
        <v>Green</v>
      </c>
      <c r="T17" s="58" t="str">
        <f aca="false">IFERROR(INDEX('Monthly Log'!$N$4:$N$303,MATCH(TEXT($C$4,"YYYY-MM")&amp;"|"&amp;$A17,'Monthly Log'!$O$4:$O$303,0)),"")</f>
        <v>Tracking to TOR; decommission CR approved.</v>
      </c>
    </row>
    <row r="18" customFormat="false" ht="25.5" hidden="false" customHeight="true" outlineLevel="0" collapsed="false">
      <c r="A18" s="51" t="str">
        <f aca="false">IF('TOR Register'!$A6="","",'TOR Register'!$A6)</f>
        <v>P-003</v>
      </c>
      <c r="B18" s="52" t="str">
        <f aca="false">IFERROR(INDEX('TOR Register'!$B$4:$B$43,MATCH($A18,'TOR Register'!$A$4:$A$43,0)),"")</f>
        <v>Regulatory Reporting Uplift</v>
      </c>
      <c r="C18" s="52" t="str">
        <f aca="false">IFERROR(INDEX('TOR Register'!$E$4:$E$43,MATCH($A18,'TOR Register'!$A$4:$A$43,0)),"")</f>
        <v>M. Haddad</v>
      </c>
      <c r="D18" s="53" t="n">
        <f aca="false">IFERROR(INDEX('TOR Register'!$I$4:$I$43,MATCH($A18,'TOR Register'!$A$4:$A$43,0)),"")</f>
        <v>340000</v>
      </c>
      <c r="E18" s="53" t="n">
        <f aca="false">SUMIFS('Monthly Log'!$G$4:$G$303,'Monthly Log'!$A$4:$A$303,$C$4,'Monthly Log'!$B$4:$B$303,$A18)</f>
        <v>351000</v>
      </c>
      <c r="F18" s="54" t="n">
        <f aca="false">IF(N($D18)=0,"",$E18/$D18)</f>
        <v>1.03235294117647</v>
      </c>
      <c r="G18" s="55" t="n">
        <f aca="false">IF($A18="","",$D18-$E18)</f>
        <v>-11000</v>
      </c>
      <c r="H18" s="56" t="n">
        <f aca="false">SUMIFS('Monthly Log'!$C$4:$C$303,'Monthly Log'!$A$4:$A$303,$C$4,'Monthly Log'!$B$4:$B$303,$A18)</f>
        <v>8</v>
      </c>
      <c r="I18" s="56" t="n">
        <f aca="false">SUMIFS('Monthly Log'!$D$4:$D$303,'Monthly Log'!$A$4:$A$303,$C$4,'Monthly Log'!$B$4:$B$303,$A18)</f>
        <v>5</v>
      </c>
      <c r="J18" s="57" t="n">
        <f aca="false">IF($H18=0,"",$I18/$H18)</f>
        <v>0.625</v>
      </c>
      <c r="K18" s="56" t="n">
        <f aca="false">SUMIFS('Monthly Log'!$E$4:$E$303,'Monthly Log'!$A$4:$A$303,$C$4,'Monthly Log'!$B$4:$B$303,$A18)</f>
        <v>10</v>
      </c>
      <c r="L18" s="56" t="n">
        <f aca="false">SUMIFS('Monthly Log'!$F$4:$F$303,'Monthly Log'!$A$4:$A$303,$C$4,'Monthly Log'!$B$4:$B$303,$A18)</f>
        <v>6</v>
      </c>
      <c r="M18" s="57" t="n">
        <f aca="false">IF($K18=0,"",$L18/$K18)</f>
        <v>0.6</v>
      </c>
      <c r="N18" s="56" t="n">
        <f aca="false">SUMIFS('Monthly Log'!$I$4:$I$303,'Monthly Log'!$A$4:$A$303,$C$4,'Monthly Log'!$B$4:$B$303,$A18)</f>
        <v>4</v>
      </c>
      <c r="O18" s="56" t="n">
        <f aca="false">SUMIFS('Monthly Log'!$J$4:$J$303,'Monthly Log'!$A$4:$A$303,$C$4,'Monthly Log'!$B$4:$B$303,$A18)</f>
        <v>9</v>
      </c>
      <c r="P18" s="56" t="n">
        <f aca="false">SUMIFS('Monthly Log'!$K$4:$K$303,'Monthly Log'!$A$4:$A$303,$C$4,'Monthly Log'!$B$4:$B$303,$A18)</f>
        <v>3</v>
      </c>
      <c r="Q18" s="56" t="n">
        <f aca="false">SUMIFS('Monthly Log'!$L$4:$L$303,'Monthly Log'!$A$4:$A$303,$C$4,'Monthly Log'!$B$4:$B$303,$A18)</f>
        <v>4</v>
      </c>
      <c r="R18" s="51" t="str">
        <f aca="false">IFERROR(INDEX('Monthly Log'!$M$4:$M$303,MATCH(TEXT($C$4,"YYYY-MM")&amp;"|"&amp;$A18,'Monthly Log'!$O$4:$O$303,0)),"")</f>
        <v>Red</v>
      </c>
      <c r="S18" s="36" t="str">
        <f aca="false">IF($A18="","",IF(AND($H18=0,$K18=0,$E18=0),"Not started",IF(OR(AND($D18&gt;0,$E18/$D18&gt;$C$10),AND($H18&gt;0,$I18/$H18&lt;$C$8),$P18&gt;=$C$11),"Red",IF(OR(AND($D18&gt;0,$E18/$D18&gt;$C$9),AND($H18&gt;0,$I18/$H18&lt;$C$7),AND($K18&gt;0,$L18/$K18&lt;$C$7),$P18&gt;0,$Q18&gt;0),"Amber","Green"))))</f>
        <v>Red</v>
      </c>
      <c r="T18" s="58" t="str">
        <f aca="false">IFERROR(INDEX('Monthly Log'!$N$4:$N$303,MATCH(TEXT($C$4,"YYYY-MM")&amp;"|"&amp;$A18,'Monthly Log'!$O$4:$O$303,0)),"")</f>
        <v>Overspent vs TOR budget. Re-baseline decision needed at SteerCo.</v>
      </c>
    </row>
    <row r="19" customFormat="false" ht="25.5" hidden="false" customHeight="true" outlineLevel="0" collapsed="false">
      <c r="A19" s="51" t="str">
        <f aca="false">IF('TOR Register'!$A7="","",'TOR Register'!$A7)</f>
        <v>P-004</v>
      </c>
      <c r="B19" s="52" t="str">
        <f aca="false">IFERROR(INDEX('TOR Register'!$B$4:$B$43,MATCH($A19,'TOR Register'!$A$4:$A$43,0)),"")</f>
        <v>Market Expansion - APAC</v>
      </c>
      <c r="C19" s="52" t="str">
        <f aca="false">IFERROR(INDEX('TOR Register'!$E$4:$E$43,MATCH($A19,'TOR Register'!$A$4:$A$43,0)),"")</f>
        <v>T. Yamamoto</v>
      </c>
      <c r="D19" s="53" t="n">
        <f aca="false">IFERROR(INDEX('TOR Register'!$I$4:$I$43,MATCH($A19,'TOR Register'!$A$4:$A$43,0)),"")</f>
        <v>610000</v>
      </c>
      <c r="E19" s="53" t="n">
        <f aca="false">SUMIFS('Monthly Log'!$G$4:$G$303,'Monthly Log'!$A$4:$A$303,$C$4,'Monthly Log'!$B$4:$B$303,$A19)</f>
        <v>415000</v>
      </c>
      <c r="F19" s="54" t="n">
        <f aca="false">IF(N($D19)=0,"",$E19/$D19)</f>
        <v>0.680327868852459</v>
      </c>
      <c r="G19" s="55" t="n">
        <f aca="false">IF($A19="","",$D19-$E19)</f>
        <v>195000</v>
      </c>
      <c r="H19" s="56" t="n">
        <f aca="false">SUMIFS('Monthly Log'!$C$4:$C$303,'Monthly Log'!$A$4:$A$303,$C$4,'Monthly Log'!$B$4:$B$303,$A19)</f>
        <v>8</v>
      </c>
      <c r="I19" s="56" t="n">
        <f aca="false">SUMIFS('Monthly Log'!$D$4:$D$303,'Monthly Log'!$A$4:$A$303,$C$4,'Monthly Log'!$B$4:$B$303,$A19)</f>
        <v>8</v>
      </c>
      <c r="J19" s="57" t="n">
        <f aca="false">IF($H19=0,"",$I19/$H19)</f>
        <v>1</v>
      </c>
      <c r="K19" s="56" t="n">
        <f aca="false">SUMIFS('Monthly Log'!$E$4:$E$303,'Monthly Log'!$A$4:$A$303,$C$4,'Monthly Log'!$B$4:$B$303,$A19)</f>
        <v>8</v>
      </c>
      <c r="L19" s="56" t="n">
        <f aca="false">SUMIFS('Monthly Log'!$F$4:$F$303,'Monthly Log'!$A$4:$A$303,$C$4,'Monthly Log'!$B$4:$B$303,$A19)</f>
        <v>8</v>
      </c>
      <c r="M19" s="57" t="n">
        <f aca="false">IF($K19=0,"",$L19/$K19)</f>
        <v>1</v>
      </c>
      <c r="N19" s="56" t="n">
        <f aca="false">SUMIFS('Monthly Log'!$I$4:$I$303,'Monthly Log'!$A$4:$A$303,$C$4,'Monthly Log'!$B$4:$B$303,$A19)</f>
        <v>1</v>
      </c>
      <c r="O19" s="56" t="n">
        <f aca="false">SUMIFS('Monthly Log'!$J$4:$J$303,'Monthly Log'!$A$4:$A$303,$C$4,'Monthly Log'!$B$4:$B$303,$A19)</f>
        <v>2</v>
      </c>
      <c r="P19" s="56" t="n">
        <f aca="false">SUMIFS('Monthly Log'!$K$4:$K$303,'Monthly Log'!$A$4:$A$303,$C$4,'Monthly Log'!$B$4:$B$303,$A19)</f>
        <v>0</v>
      </c>
      <c r="Q19" s="56" t="n">
        <f aca="false">SUMIFS('Monthly Log'!$L$4:$L$303,'Monthly Log'!$A$4:$A$303,$C$4,'Monthly Log'!$B$4:$B$303,$A19)</f>
        <v>0</v>
      </c>
      <c r="R19" s="51" t="str">
        <f aca="false">IFERROR(INDEX('Monthly Log'!$M$4:$M$303,MATCH(TEXT($C$4,"YYYY-MM")&amp;"|"&amp;$A19,'Monthly Log'!$O$4:$O$303,0)),"")</f>
        <v>Green</v>
      </c>
      <c r="S19" s="36" t="str">
        <f aca="false">IF($A19="","",IF(AND($H19=0,$K19=0,$E19=0),"Not started",IF(OR(AND($D19&gt;0,$E19/$D19&gt;$C$10),AND($H19&gt;0,$I19/$H19&lt;$C$8),$P19&gt;=$C$11),"Red",IF(OR(AND($D19&gt;0,$E19/$D19&gt;$C$9),AND($H19&gt;0,$I19/$H19&lt;$C$7),AND($K19&gt;0,$L19/$K19&lt;$C$7),$P19&gt;0,$Q19&gt;0),"Amber","Green"))))</f>
        <v>Green</v>
      </c>
      <c r="T19" s="58" t="str">
        <f aca="false">IFERROR(INDEX('Monthly Log'!$N$4:$N$303,MATCH(TEXT($C$4,"YYYY-MM")&amp;"|"&amp;$A19,'Monthly Log'!$O$4:$O$303,0)),"")</f>
        <v>Both markets on track to TOR end date.</v>
      </c>
    </row>
    <row r="20" customFormat="false" ht="25.5" hidden="false" customHeight="true" outlineLevel="0" collapsed="false">
      <c r="A20" s="51" t="str">
        <f aca="false">IF('TOR Register'!$A8="","",'TOR Register'!$A8)</f>
        <v>P-005</v>
      </c>
      <c r="B20" s="52" t="str">
        <f aca="false">IFERROR(INDEX('TOR Register'!$B$4:$B$43,MATCH($A20,'TOR Register'!$A$4:$A$43,0)),"")</f>
        <v>Cost-to-Serve Optimisation</v>
      </c>
      <c r="C20" s="52" t="str">
        <f aca="false">IFERROR(INDEX('TOR Register'!$E$4:$E$43,MATCH($A20,'TOR Register'!$A$4:$A$43,0)),"")</f>
        <v>C. Duarte</v>
      </c>
      <c r="D20" s="53" t="n">
        <f aca="false">IFERROR(INDEX('TOR Register'!$I$4:$I$43,MATCH($A20,'TOR Register'!$A$4:$A$43,0)),"")</f>
        <v>275000</v>
      </c>
      <c r="E20" s="53" t="n">
        <f aca="false">SUMIFS('Monthly Log'!$G$4:$G$303,'Monthly Log'!$A$4:$A$303,$C$4,'Monthly Log'!$B$4:$B$303,$A20)</f>
        <v>224000</v>
      </c>
      <c r="F20" s="54" t="n">
        <f aca="false">IF(N($D20)=0,"",$E20/$D20)</f>
        <v>0.814545454545455</v>
      </c>
      <c r="G20" s="55" t="n">
        <f aca="false">IF($A20="","",$D20-$E20)</f>
        <v>51000</v>
      </c>
      <c r="H20" s="56" t="n">
        <f aca="false">SUMIFS('Monthly Log'!$C$4:$C$303,'Monthly Log'!$A$4:$A$303,$C$4,'Monthly Log'!$B$4:$B$303,$A20)</f>
        <v>7</v>
      </c>
      <c r="I20" s="56" t="n">
        <f aca="false">SUMIFS('Monthly Log'!$D$4:$D$303,'Monthly Log'!$A$4:$A$303,$C$4,'Monthly Log'!$B$4:$B$303,$A20)</f>
        <v>6</v>
      </c>
      <c r="J20" s="57" t="n">
        <f aca="false">IF($H20=0,"",$I20/$H20)</f>
        <v>0.857142857142857</v>
      </c>
      <c r="K20" s="56" t="n">
        <f aca="false">SUMIFS('Monthly Log'!$E$4:$E$303,'Monthly Log'!$A$4:$A$303,$C$4,'Monthly Log'!$B$4:$B$303,$A20)</f>
        <v>9</v>
      </c>
      <c r="L20" s="56" t="n">
        <f aca="false">SUMIFS('Monthly Log'!$F$4:$F$303,'Monthly Log'!$A$4:$A$303,$C$4,'Monthly Log'!$B$4:$B$303,$A20)</f>
        <v>7</v>
      </c>
      <c r="M20" s="57" t="n">
        <f aca="false">IF($K20=0,"",$L20/$K20)</f>
        <v>0.777777777777778</v>
      </c>
      <c r="N20" s="56" t="n">
        <f aca="false">SUMIFS('Monthly Log'!$I$4:$I$303,'Monthly Log'!$A$4:$A$303,$C$4,'Monthly Log'!$B$4:$B$303,$A20)</f>
        <v>1</v>
      </c>
      <c r="O20" s="56" t="n">
        <f aca="false">SUMIFS('Monthly Log'!$J$4:$J$303,'Monthly Log'!$A$4:$A$303,$C$4,'Monthly Log'!$B$4:$B$303,$A20)</f>
        <v>3</v>
      </c>
      <c r="P20" s="56" t="n">
        <f aca="false">SUMIFS('Monthly Log'!$K$4:$K$303,'Monthly Log'!$A$4:$A$303,$C$4,'Monthly Log'!$B$4:$B$303,$A20)</f>
        <v>0</v>
      </c>
      <c r="Q20" s="56" t="n">
        <f aca="false">SUMIFS('Monthly Log'!$L$4:$L$303,'Monthly Log'!$A$4:$A$303,$C$4,'Monthly Log'!$B$4:$B$303,$A20)</f>
        <v>1</v>
      </c>
      <c r="R20" s="51" t="str">
        <f aca="false">IFERROR(INDEX('Monthly Log'!$M$4:$M$303,MATCH(TEXT($C$4,"YYYY-MM")&amp;"|"&amp;$A20,'Monthly Log'!$O$4:$O$303,0)),"")</f>
        <v>Green</v>
      </c>
      <c r="S20" s="36" t="str">
        <f aca="false">IF($A20="","",IF(AND($H20=0,$K20=0,$E20=0),"Not started",IF(OR(AND($D20&gt;0,$E20/$D20&gt;$C$10),AND($H20&gt;0,$I20/$H20&lt;$C$8),$P20&gt;=$C$11),"Red",IF(OR(AND($D20&gt;0,$E20/$D20&gt;$C$9),AND($H20&gt;0,$I20/$H20&lt;$C$7),AND($K20&gt;0,$L20/$K20&lt;$C$7),$P20&gt;0,$Q20&gt;0),"Amber","Green"))))</f>
        <v>Amber</v>
      </c>
      <c r="T20" s="58" t="str">
        <f aca="false">IFERROR(INDEX('Monthly Log'!$N$4:$N$303,MATCH(TEXT($C$4,"YYYY-MM")&amp;"|"&amp;$A20,'Monthly Log'!$O$4:$O$303,0)),"")</f>
        <v>Two deliverables pending acceptance, otherwise on plan.</v>
      </c>
    </row>
    <row r="21" customFormat="false" ht="15" hidden="false" customHeight="true" outlineLevel="0" collapsed="false">
      <c r="A21" s="51" t="str">
        <f aca="false">IF('TOR Register'!$A9="","",'TOR Register'!$A9)</f>
        <v/>
      </c>
      <c r="B21" s="52" t="str">
        <f aca="false">IFERROR(INDEX('TOR Register'!$B$4:$B$43,MATCH($A21,'TOR Register'!$A$4:$A$43,0)),"")</f>
        <v/>
      </c>
      <c r="C21" s="52" t="str">
        <f aca="false">IFERROR(INDEX('TOR Register'!$E$4:$E$43,MATCH($A21,'TOR Register'!$A$4:$A$43,0)),"")</f>
        <v/>
      </c>
      <c r="D21" s="53" t="str">
        <f aca="false">IFERROR(INDEX('TOR Register'!$I$4:$I$43,MATCH($A21,'TOR Register'!$A$4:$A$43,0)),"")</f>
        <v/>
      </c>
      <c r="E21" s="53" t="n">
        <f aca="false">SUMIFS('Monthly Log'!$G$4:$G$303,'Monthly Log'!$A$4:$A$303,$C$4,'Monthly Log'!$B$4:$B$303,$A21)</f>
        <v>0</v>
      </c>
      <c r="F21" s="54" t="str">
        <f aca="false">IF(N($D21)=0,"",$E21/$D21)</f>
        <v/>
      </c>
      <c r="G21" s="55" t="str">
        <f aca="false">IF($A21="","",$D21-$E21)</f>
        <v/>
      </c>
      <c r="H21" s="56" t="n">
        <f aca="false">SUMIFS('Monthly Log'!$C$4:$C$303,'Monthly Log'!$A$4:$A$303,$C$4,'Monthly Log'!$B$4:$B$303,$A21)</f>
        <v>0</v>
      </c>
      <c r="I21" s="56" t="n">
        <f aca="false">SUMIFS('Monthly Log'!$D$4:$D$303,'Monthly Log'!$A$4:$A$303,$C$4,'Monthly Log'!$B$4:$B$303,$A21)</f>
        <v>0</v>
      </c>
      <c r="J21" s="57" t="str">
        <f aca="false">IF($H21=0,"",$I21/$H21)</f>
        <v/>
      </c>
      <c r="K21" s="56" t="n">
        <f aca="false">SUMIFS('Monthly Log'!$E$4:$E$303,'Monthly Log'!$A$4:$A$303,$C$4,'Monthly Log'!$B$4:$B$303,$A21)</f>
        <v>0</v>
      </c>
      <c r="L21" s="56" t="n">
        <f aca="false">SUMIFS('Monthly Log'!$F$4:$F$303,'Monthly Log'!$A$4:$A$303,$C$4,'Monthly Log'!$B$4:$B$303,$A21)</f>
        <v>0</v>
      </c>
      <c r="M21" s="57" t="str">
        <f aca="false">IF($K21=0,"",$L21/$K21)</f>
        <v/>
      </c>
      <c r="N21" s="56" t="n">
        <f aca="false">SUMIFS('Monthly Log'!$I$4:$I$303,'Monthly Log'!$A$4:$A$303,$C$4,'Monthly Log'!$B$4:$B$303,$A21)</f>
        <v>0</v>
      </c>
      <c r="O21" s="56" t="n">
        <f aca="false">SUMIFS('Monthly Log'!$J$4:$J$303,'Monthly Log'!$A$4:$A$303,$C$4,'Monthly Log'!$B$4:$B$303,$A21)</f>
        <v>0</v>
      </c>
      <c r="P21" s="56" t="n">
        <f aca="false">SUMIFS('Monthly Log'!$K$4:$K$303,'Monthly Log'!$A$4:$A$303,$C$4,'Monthly Log'!$B$4:$B$303,$A21)</f>
        <v>0</v>
      </c>
      <c r="Q21" s="56" t="n">
        <f aca="false">SUMIFS('Monthly Log'!$L$4:$L$303,'Monthly Log'!$A$4:$A$303,$C$4,'Monthly Log'!$B$4:$B$303,$A21)</f>
        <v>0</v>
      </c>
      <c r="R21" s="51" t="str">
        <f aca="false">IFERROR(INDEX('Monthly Log'!$M$4:$M$303,MATCH(TEXT($C$4,"YYYY-MM")&amp;"|"&amp;$A21,'Monthly Log'!$O$4:$O$303,0)),"")</f>
        <v/>
      </c>
      <c r="S21" s="36" t="str">
        <f aca="false">IF($A21="","",IF(AND($H21=0,$K21=0,$E21=0),"Not started",IF(OR(AND($D21&gt;0,$E21/$D21&gt;$C$10),AND($H21&gt;0,$I21/$H21&lt;$C$8),$P21&gt;=$C$11),"Red",IF(OR(AND($D21&gt;0,$E21/$D21&gt;$C$9),AND($H21&gt;0,$I21/$H21&lt;$C$7),AND($K21&gt;0,$L21/$K21&lt;$C$7),$P21&gt;0,$Q21&gt;0),"Amber","Green"))))</f>
        <v/>
      </c>
      <c r="T21" s="58" t="str">
        <f aca="false">IFERROR(INDEX('Monthly Log'!$N$4:$N$303,MATCH(TEXT($C$4,"YYYY-MM")&amp;"|"&amp;$A21,'Monthly Log'!$O$4:$O$303,0)),"")</f>
        <v/>
      </c>
    </row>
    <row r="22" customFormat="false" ht="15" hidden="false" customHeight="true" outlineLevel="0" collapsed="false">
      <c r="A22" s="51" t="str">
        <f aca="false">IF('TOR Register'!$A10="","",'TOR Register'!$A10)</f>
        <v/>
      </c>
      <c r="B22" s="52" t="str">
        <f aca="false">IFERROR(INDEX('TOR Register'!$B$4:$B$43,MATCH($A22,'TOR Register'!$A$4:$A$43,0)),"")</f>
        <v/>
      </c>
      <c r="C22" s="52" t="str">
        <f aca="false">IFERROR(INDEX('TOR Register'!$E$4:$E$43,MATCH($A22,'TOR Register'!$A$4:$A$43,0)),"")</f>
        <v/>
      </c>
      <c r="D22" s="53" t="str">
        <f aca="false">IFERROR(INDEX('TOR Register'!$I$4:$I$43,MATCH($A22,'TOR Register'!$A$4:$A$43,0)),"")</f>
        <v/>
      </c>
      <c r="E22" s="53" t="n">
        <f aca="false">SUMIFS('Monthly Log'!$G$4:$G$303,'Monthly Log'!$A$4:$A$303,$C$4,'Monthly Log'!$B$4:$B$303,$A22)</f>
        <v>0</v>
      </c>
      <c r="F22" s="54" t="str">
        <f aca="false">IF(N($D22)=0,"",$E22/$D22)</f>
        <v/>
      </c>
      <c r="G22" s="55" t="str">
        <f aca="false">IF($A22="","",$D22-$E22)</f>
        <v/>
      </c>
      <c r="H22" s="56" t="n">
        <f aca="false">SUMIFS('Monthly Log'!$C$4:$C$303,'Monthly Log'!$A$4:$A$303,$C$4,'Monthly Log'!$B$4:$B$303,$A22)</f>
        <v>0</v>
      </c>
      <c r="I22" s="56" t="n">
        <f aca="false">SUMIFS('Monthly Log'!$D$4:$D$303,'Monthly Log'!$A$4:$A$303,$C$4,'Monthly Log'!$B$4:$B$303,$A22)</f>
        <v>0</v>
      </c>
      <c r="J22" s="57" t="str">
        <f aca="false">IF($H22=0,"",$I22/$H22)</f>
        <v/>
      </c>
      <c r="K22" s="56" t="n">
        <f aca="false">SUMIFS('Monthly Log'!$E$4:$E$303,'Monthly Log'!$A$4:$A$303,$C$4,'Monthly Log'!$B$4:$B$303,$A22)</f>
        <v>0</v>
      </c>
      <c r="L22" s="56" t="n">
        <f aca="false">SUMIFS('Monthly Log'!$F$4:$F$303,'Monthly Log'!$A$4:$A$303,$C$4,'Monthly Log'!$B$4:$B$303,$A22)</f>
        <v>0</v>
      </c>
      <c r="M22" s="57" t="str">
        <f aca="false">IF($K22=0,"",$L22/$K22)</f>
        <v/>
      </c>
      <c r="N22" s="56" t="n">
        <f aca="false">SUMIFS('Monthly Log'!$I$4:$I$303,'Monthly Log'!$A$4:$A$303,$C$4,'Monthly Log'!$B$4:$B$303,$A22)</f>
        <v>0</v>
      </c>
      <c r="O22" s="56" t="n">
        <f aca="false">SUMIFS('Monthly Log'!$J$4:$J$303,'Monthly Log'!$A$4:$A$303,$C$4,'Monthly Log'!$B$4:$B$303,$A22)</f>
        <v>0</v>
      </c>
      <c r="P22" s="56" t="n">
        <f aca="false">SUMIFS('Monthly Log'!$K$4:$K$303,'Monthly Log'!$A$4:$A$303,$C$4,'Monthly Log'!$B$4:$B$303,$A22)</f>
        <v>0</v>
      </c>
      <c r="Q22" s="56" t="n">
        <f aca="false">SUMIFS('Monthly Log'!$L$4:$L$303,'Monthly Log'!$A$4:$A$303,$C$4,'Monthly Log'!$B$4:$B$303,$A22)</f>
        <v>0</v>
      </c>
      <c r="R22" s="51" t="str">
        <f aca="false">IFERROR(INDEX('Monthly Log'!$M$4:$M$303,MATCH(TEXT($C$4,"YYYY-MM")&amp;"|"&amp;$A22,'Monthly Log'!$O$4:$O$303,0)),"")</f>
        <v/>
      </c>
      <c r="S22" s="36" t="str">
        <f aca="false">IF($A22="","",IF(AND($H22=0,$K22=0,$E22=0),"Not started",IF(OR(AND($D22&gt;0,$E22/$D22&gt;$C$10),AND($H22&gt;0,$I22/$H22&lt;$C$8),$P22&gt;=$C$11),"Red",IF(OR(AND($D22&gt;0,$E22/$D22&gt;$C$9),AND($H22&gt;0,$I22/$H22&lt;$C$7),AND($K22&gt;0,$L22/$K22&lt;$C$7),$P22&gt;0,$Q22&gt;0),"Amber","Green"))))</f>
        <v/>
      </c>
      <c r="T22" s="58" t="str">
        <f aca="false">IFERROR(INDEX('Monthly Log'!$N$4:$N$303,MATCH(TEXT($C$4,"YYYY-MM")&amp;"|"&amp;$A22,'Monthly Log'!$O$4:$O$303,0)),"")</f>
        <v/>
      </c>
    </row>
    <row r="23" customFormat="false" ht="15" hidden="false" customHeight="true" outlineLevel="0" collapsed="false">
      <c r="A23" s="51" t="str">
        <f aca="false">IF('TOR Register'!$A11="","",'TOR Register'!$A11)</f>
        <v/>
      </c>
      <c r="B23" s="52" t="str">
        <f aca="false">IFERROR(INDEX('TOR Register'!$B$4:$B$43,MATCH($A23,'TOR Register'!$A$4:$A$43,0)),"")</f>
        <v/>
      </c>
      <c r="C23" s="52" t="str">
        <f aca="false">IFERROR(INDEX('TOR Register'!$E$4:$E$43,MATCH($A23,'TOR Register'!$A$4:$A$43,0)),"")</f>
        <v/>
      </c>
      <c r="D23" s="53" t="str">
        <f aca="false">IFERROR(INDEX('TOR Register'!$I$4:$I$43,MATCH($A23,'TOR Register'!$A$4:$A$43,0)),"")</f>
        <v/>
      </c>
      <c r="E23" s="53" t="n">
        <f aca="false">SUMIFS('Monthly Log'!$G$4:$G$303,'Monthly Log'!$A$4:$A$303,$C$4,'Monthly Log'!$B$4:$B$303,$A23)</f>
        <v>0</v>
      </c>
      <c r="F23" s="54" t="str">
        <f aca="false">IF(N($D23)=0,"",$E23/$D23)</f>
        <v/>
      </c>
      <c r="G23" s="55" t="str">
        <f aca="false">IF($A23="","",$D23-$E23)</f>
        <v/>
      </c>
      <c r="H23" s="56" t="n">
        <f aca="false">SUMIFS('Monthly Log'!$C$4:$C$303,'Monthly Log'!$A$4:$A$303,$C$4,'Monthly Log'!$B$4:$B$303,$A23)</f>
        <v>0</v>
      </c>
      <c r="I23" s="56" t="n">
        <f aca="false">SUMIFS('Monthly Log'!$D$4:$D$303,'Monthly Log'!$A$4:$A$303,$C$4,'Monthly Log'!$B$4:$B$303,$A23)</f>
        <v>0</v>
      </c>
      <c r="J23" s="57" t="str">
        <f aca="false">IF($H23=0,"",$I23/$H23)</f>
        <v/>
      </c>
      <c r="K23" s="56" t="n">
        <f aca="false">SUMIFS('Monthly Log'!$E$4:$E$303,'Monthly Log'!$A$4:$A$303,$C$4,'Monthly Log'!$B$4:$B$303,$A23)</f>
        <v>0</v>
      </c>
      <c r="L23" s="56" t="n">
        <f aca="false">SUMIFS('Monthly Log'!$F$4:$F$303,'Monthly Log'!$A$4:$A$303,$C$4,'Monthly Log'!$B$4:$B$303,$A23)</f>
        <v>0</v>
      </c>
      <c r="M23" s="57" t="str">
        <f aca="false">IF($K23=0,"",$L23/$K23)</f>
        <v/>
      </c>
      <c r="N23" s="56" t="n">
        <f aca="false">SUMIFS('Monthly Log'!$I$4:$I$303,'Monthly Log'!$A$4:$A$303,$C$4,'Monthly Log'!$B$4:$B$303,$A23)</f>
        <v>0</v>
      </c>
      <c r="O23" s="56" t="n">
        <f aca="false">SUMIFS('Monthly Log'!$J$4:$J$303,'Monthly Log'!$A$4:$A$303,$C$4,'Monthly Log'!$B$4:$B$303,$A23)</f>
        <v>0</v>
      </c>
      <c r="P23" s="56" t="n">
        <f aca="false">SUMIFS('Monthly Log'!$K$4:$K$303,'Monthly Log'!$A$4:$A$303,$C$4,'Monthly Log'!$B$4:$B$303,$A23)</f>
        <v>0</v>
      </c>
      <c r="Q23" s="56" t="n">
        <f aca="false">SUMIFS('Monthly Log'!$L$4:$L$303,'Monthly Log'!$A$4:$A$303,$C$4,'Monthly Log'!$B$4:$B$303,$A23)</f>
        <v>0</v>
      </c>
      <c r="R23" s="51" t="str">
        <f aca="false">IFERROR(INDEX('Monthly Log'!$M$4:$M$303,MATCH(TEXT($C$4,"YYYY-MM")&amp;"|"&amp;$A23,'Monthly Log'!$O$4:$O$303,0)),"")</f>
        <v/>
      </c>
      <c r="S23" s="36" t="str">
        <f aca="false">IF($A23="","",IF(AND($H23=0,$K23=0,$E23=0),"Not started",IF(OR(AND($D23&gt;0,$E23/$D23&gt;$C$10),AND($H23&gt;0,$I23/$H23&lt;$C$8),$P23&gt;=$C$11),"Red",IF(OR(AND($D23&gt;0,$E23/$D23&gt;$C$9),AND($H23&gt;0,$I23/$H23&lt;$C$7),AND($K23&gt;0,$L23/$K23&lt;$C$7),$P23&gt;0,$Q23&gt;0),"Amber","Green"))))</f>
        <v/>
      </c>
      <c r="T23" s="58" t="str">
        <f aca="false">IFERROR(INDEX('Monthly Log'!$N$4:$N$303,MATCH(TEXT($C$4,"YYYY-MM")&amp;"|"&amp;$A23,'Monthly Log'!$O$4:$O$303,0)),"")</f>
        <v/>
      </c>
    </row>
    <row r="24" customFormat="false" ht="15" hidden="false" customHeight="true" outlineLevel="0" collapsed="false">
      <c r="A24" s="51" t="str">
        <f aca="false">IF('TOR Register'!$A12="","",'TOR Register'!$A12)</f>
        <v/>
      </c>
      <c r="B24" s="52" t="str">
        <f aca="false">IFERROR(INDEX('TOR Register'!$B$4:$B$43,MATCH($A24,'TOR Register'!$A$4:$A$43,0)),"")</f>
        <v/>
      </c>
      <c r="C24" s="52" t="str">
        <f aca="false">IFERROR(INDEX('TOR Register'!$E$4:$E$43,MATCH($A24,'TOR Register'!$A$4:$A$43,0)),"")</f>
        <v/>
      </c>
      <c r="D24" s="53" t="str">
        <f aca="false">IFERROR(INDEX('TOR Register'!$I$4:$I$43,MATCH($A24,'TOR Register'!$A$4:$A$43,0)),"")</f>
        <v/>
      </c>
      <c r="E24" s="53" t="n">
        <f aca="false">SUMIFS('Monthly Log'!$G$4:$G$303,'Monthly Log'!$A$4:$A$303,$C$4,'Monthly Log'!$B$4:$B$303,$A24)</f>
        <v>0</v>
      </c>
      <c r="F24" s="54" t="str">
        <f aca="false">IF(N($D24)=0,"",$E24/$D24)</f>
        <v/>
      </c>
      <c r="G24" s="55" t="str">
        <f aca="false">IF($A24="","",$D24-$E24)</f>
        <v/>
      </c>
      <c r="H24" s="56" t="n">
        <f aca="false">SUMIFS('Monthly Log'!$C$4:$C$303,'Monthly Log'!$A$4:$A$303,$C$4,'Monthly Log'!$B$4:$B$303,$A24)</f>
        <v>0</v>
      </c>
      <c r="I24" s="56" t="n">
        <f aca="false">SUMIFS('Monthly Log'!$D$4:$D$303,'Monthly Log'!$A$4:$A$303,$C$4,'Monthly Log'!$B$4:$B$303,$A24)</f>
        <v>0</v>
      </c>
      <c r="J24" s="57" t="str">
        <f aca="false">IF($H24=0,"",$I24/$H24)</f>
        <v/>
      </c>
      <c r="K24" s="56" t="n">
        <f aca="false">SUMIFS('Monthly Log'!$E$4:$E$303,'Monthly Log'!$A$4:$A$303,$C$4,'Monthly Log'!$B$4:$B$303,$A24)</f>
        <v>0</v>
      </c>
      <c r="L24" s="56" t="n">
        <f aca="false">SUMIFS('Monthly Log'!$F$4:$F$303,'Monthly Log'!$A$4:$A$303,$C$4,'Monthly Log'!$B$4:$B$303,$A24)</f>
        <v>0</v>
      </c>
      <c r="M24" s="57" t="str">
        <f aca="false">IF($K24=0,"",$L24/$K24)</f>
        <v/>
      </c>
      <c r="N24" s="56" t="n">
        <f aca="false">SUMIFS('Monthly Log'!$I$4:$I$303,'Monthly Log'!$A$4:$A$303,$C$4,'Monthly Log'!$B$4:$B$303,$A24)</f>
        <v>0</v>
      </c>
      <c r="O24" s="56" t="n">
        <f aca="false">SUMIFS('Monthly Log'!$J$4:$J$303,'Monthly Log'!$A$4:$A$303,$C$4,'Monthly Log'!$B$4:$B$303,$A24)</f>
        <v>0</v>
      </c>
      <c r="P24" s="56" t="n">
        <f aca="false">SUMIFS('Monthly Log'!$K$4:$K$303,'Monthly Log'!$A$4:$A$303,$C$4,'Monthly Log'!$B$4:$B$303,$A24)</f>
        <v>0</v>
      </c>
      <c r="Q24" s="56" t="n">
        <f aca="false">SUMIFS('Monthly Log'!$L$4:$L$303,'Monthly Log'!$A$4:$A$303,$C$4,'Monthly Log'!$B$4:$B$303,$A24)</f>
        <v>0</v>
      </c>
      <c r="R24" s="51" t="str">
        <f aca="false">IFERROR(INDEX('Monthly Log'!$M$4:$M$303,MATCH(TEXT($C$4,"YYYY-MM")&amp;"|"&amp;$A24,'Monthly Log'!$O$4:$O$303,0)),"")</f>
        <v/>
      </c>
      <c r="S24" s="36" t="str">
        <f aca="false">IF($A24="","",IF(AND($H24=0,$K24=0,$E24=0),"Not started",IF(OR(AND($D24&gt;0,$E24/$D24&gt;$C$10),AND($H24&gt;0,$I24/$H24&lt;$C$8),$P24&gt;=$C$11),"Red",IF(OR(AND($D24&gt;0,$E24/$D24&gt;$C$9),AND($H24&gt;0,$I24/$H24&lt;$C$7),AND($K24&gt;0,$L24/$K24&lt;$C$7),$P24&gt;0,$Q24&gt;0),"Amber","Green"))))</f>
        <v/>
      </c>
      <c r="T24" s="58" t="str">
        <f aca="false">IFERROR(INDEX('Monthly Log'!$N$4:$N$303,MATCH(TEXT($C$4,"YYYY-MM")&amp;"|"&amp;$A24,'Monthly Log'!$O$4:$O$303,0)),"")</f>
        <v/>
      </c>
    </row>
    <row r="25" customFormat="false" ht="15" hidden="false" customHeight="true" outlineLevel="0" collapsed="false">
      <c r="A25" s="51" t="str">
        <f aca="false">IF('TOR Register'!$A13="","",'TOR Register'!$A13)</f>
        <v/>
      </c>
      <c r="B25" s="52" t="str">
        <f aca="false">IFERROR(INDEX('TOR Register'!$B$4:$B$43,MATCH($A25,'TOR Register'!$A$4:$A$43,0)),"")</f>
        <v/>
      </c>
      <c r="C25" s="52" t="str">
        <f aca="false">IFERROR(INDEX('TOR Register'!$E$4:$E$43,MATCH($A25,'TOR Register'!$A$4:$A$43,0)),"")</f>
        <v/>
      </c>
      <c r="D25" s="53" t="str">
        <f aca="false">IFERROR(INDEX('TOR Register'!$I$4:$I$43,MATCH($A25,'TOR Register'!$A$4:$A$43,0)),"")</f>
        <v/>
      </c>
      <c r="E25" s="53" t="n">
        <f aca="false">SUMIFS('Monthly Log'!$G$4:$G$303,'Monthly Log'!$A$4:$A$303,$C$4,'Monthly Log'!$B$4:$B$303,$A25)</f>
        <v>0</v>
      </c>
      <c r="F25" s="54" t="str">
        <f aca="false">IF(N($D25)=0,"",$E25/$D25)</f>
        <v/>
      </c>
      <c r="G25" s="55" t="str">
        <f aca="false">IF($A25="","",$D25-$E25)</f>
        <v/>
      </c>
      <c r="H25" s="56" t="n">
        <f aca="false">SUMIFS('Monthly Log'!$C$4:$C$303,'Monthly Log'!$A$4:$A$303,$C$4,'Monthly Log'!$B$4:$B$303,$A25)</f>
        <v>0</v>
      </c>
      <c r="I25" s="56" t="n">
        <f aca="false">SUMIFS('Monthly Log'!$D$4:$D$303,'Monthly Log'!$A$4:$A$303,$C$4,'Monthly Log'!$B$4:$B$303,$A25)</f>
        <v>0</v>
      </c>
      <c r="J25" s="57" t="str">
        <f aca="false">IF($H25=0,"",$I25/$H25)</f>
        <v/>
      </c>
      <c r="K25" s="56" t="n">
        <f aca="false">SUMIFS('Monthly Log'!$E$4:$E$303,'Monthly Log'!$A$4:$A$303,$C$4,'Monthly Log'!$B$4:$B$303,$A25)</f>
        <v>0</v>
      </c>
      <c r="L25" s="56" t="n">
        <f aca="false">SUMIFS('Monthly Log'!$F$4:$F$303,'Monthly Log'!$A$4:$A$303,$C$4,'Monthly Log'!$B$4:$B$303,$A25)</f>
        <v>0</v>
      </c>
      <c r="M25" s="57" t="str">
        <f aca="false">IF($K25=0,"",$L25/$K25)</f>
        <v/>
      </c>
      <c r="N25" s="56" t="n">
        <f aca="false">SUMIFS('Monthly Log'!$I$4:$I$303,'Monthly Log'!$A$4:$A$303,$C$4,'Monthly Log'!$B$4:$B$303,$A25)</f>
        <v>0</v>
      </c>
      <c r="O25" s="56" t="n">
        <f aca="false">SUMIFS('Monthly Log'!$J$4:$J$303,'Monthly Log'!$A$4:$A$303,$C$4,'Monthly Log'!$B$4:$B$303,$A25)</f>
        <v>0</v>
      </c>
      <c r="P25" s="56" t="n">
        <f aca="false">SUMIFS('Monthly Log'!$K$4:$K$303,'Monthly Log'!$A$4:$A$303,$C$4,'Monthly Log'!$B$4:$B$303,$A25)</f>
        <v>0</v>
      </c>
      <c r="Q25" s="56" t="n">
        <f aca="false">SUMIFS('Monthly Log'!$L$4:$L$303,'Monthly Log'!$A$4:$A$303,$C$4,'Monthly Log'!$B$4:$B$303,$A25)</f>
        <v>0</v>
      </c>
      <c r="R25" s="51" t="str">
        <f aca="false">IFERROR(INDEX('Monthly Log'!$M$4:$M$303,MATCH(TEXT($C$4,"YYYY-MM")&amp;"|"&amp;$A25,'Monthly Log'!$O$4:$O$303,0)),"")</f>
        <v/>
      </c>
      <c r="S25" s="36" t="str">
        <f aca="false">IF($A25="","",IF(AND($H25=0,$K25=0,$E25=0),"Not started",IF(OR(AND($D25&gt;0,$E25/$D25&gt;$C$10),AND($H25&gt;0,$I25/$H25&lt;$C$8),$P25&gt;=$C$11),"Red",IF(OR(AND($D25&gt;0,$E25/$D25&gt;$C$9),AND($H25&gt;0,$I25/$H25&lt;$C$7),AND($K25&gt;0,$L25/$K25&lt;$C$7),$P25&gt;0,$Q25&gt;0),"Amber","Green"))))</f>
        <v/>
      </c>
      <c r="T25" s="58" t="str">
        <f aca="false">IFERROR(INDEX('Monthly Log'!$N$4:$N$303,MATCH(TEXT($C$4,"YYYY-MM")&amp;"|"&amp;$A25,'Monthly Log'!$O$4:$O$303,0)),"")</f>
        <v/>
      </c>
    </row>
    <row r="26" customFormat="false" ht="15" hidden="false" customHeight="true" outlineLevel="0" collapsed="false">
      <c r="A26" s="51" t="str">
        <f aca="false">IF('TOR Register'!$A14="","",'TOR Register'!$A14)</f>
        <v/>
      </c>
      <c r="B26" s="52" t="str">
        <f aca="false">IFERROR(INDEX('TOR Register'!$B$4:$B$43,MATCH($A26,'TOR Register'!$A$4:$A$43,0)),"")</f>
        <v/>
      </c>
      <c r="C26" s="52" t="str">
        <f aca="false">IFERROR(INDEX('TOR Register'!$E$4:$E$43,MATCH($A26,'TOR Register'!$A$4:$A$43,0)),"")</f>
        <v/>
      </c>
      <c r="D26" s="53" t="str">
        <f aca="false">IFERROR(INDEX('TOR Register'!$I$4:$I$43,MATCH($A26,'TOR Register'!$A$4:$A$43,0)),"")</f>
        <v/>
      </c>
      <c r="E26" s="53" t="n">
        <f aca="false">SUMIFS('Monthly Log'!$G$4:$G$303,'Monthly Log'!$A$4:$A$303,$C$4,'Monthly Log'!$B$4:$B$303,$A26)</f>
        <v>0</v>
      </c>
      <c r="F26" s="54" t="str">
        <f aca="false">IF(N($D26)=0,"",$E26/$D26)</f>
        <v/>
      </c>
      <c r="G26" s="55" t="str">
        <f aca="false">IF($A26="","",$D26-$E26)</f>
        <v/>
      </c>
      <c r="H26" s="56" t="n">
        <f aca="false">SUMIFS('Monthly Log'!$C$4:$C$303,'Monthly Log'!$A$4:$A$303,$C$4,'Monthly Log'!$B$4:$B$303,$A26)</f>
        <v>0</v>
      </c>
      <c r="I26" s="56" t="n">
        <f aca="false">SUMIFS('Monthly Log'!$D$4:$D$303,'Monthly Log'!$A$4:$A$303,$C$4,'Monthly Log'!$B$4:$B$303,$A26)</f>
        <v>0</v>
      </c>
      <c r="J26" s="57" t="str">
        <f aca="false">IF($H26=0,"",$I26/$H26)</f>
        <v/>
      </c>
      <c r="K26" s="56" t="n">
        <f aca="false">SUMIFS('Monthly Log'!$E$4:$E$303,'Monthly Log'!$A$4:$A$303,$C$4,'Monthly Log'!$B$4:$B$303,$A26)</f>
        <v>0</v>
      </c>
      <c r="L26" s="56" t="n">
        <f aca="false">SUMIFS('Monthly Log'!$F$4:$F$303,'Monthly Log'!$A$4:$A$303,$C$4,'Monthly Log'!$B$4:$B$303,$A26)</f>
        <v>0</v>
      </c>
      <c r="M26" s="57" t="str">
        <f aca="false">IF($K26=0,"",$L26/$K26)</f>
        <v/>
      </c>
      <c r="N26" s="56" t="n">
        <f aca="false">SUMIFS('Monthly Log'!$I$4:$I$303,'Monthly Log'!$A$4:$A$303,$C$4,'Monthly Log'!$B$4:$B$303,$A26)</f>
        <v>0</v>
      </c>
      <c r="O26" s="56" t="n">
        <f aca="false">SUMIFS('Monthly Log'!$J$4:$J$303,'Monthly Log'!$A$4:$A$303,$C$4,'Monthly Log'!$B$4:$B$303,$A26)</f>
        <v>0</v>
      </c>
      <c r="P26" s="56" t="n">
        <f aca="false">SUMIFS('Monthly Log'!$K$4:$K$303,'Monthly Log'!$A$4:$A$303,$C$4,'Monthly Log'!$B$4:$B$303,$A26)</f>
        <v>0</v>
      </c>
      <c r="Q26" s="56" t="n">
        <f aca="false">SUMIFS('Monthly Log'!$L$4:$L$303,'Monthly Log'!$A$4:$A$303,$C$4,'Monthly Log'!$B$4:$B$303,$A26)</f>
        <v>0</v>
      </c>
      <c r="R26" s="51" t="str">
        <f aca="false">IFERROR(INDEX('Monthly Log'!$M$4:$M$303,MATCH(TEXT($C$4,"YYYY-MM")&amp;"|"&amp;$A26,'Monthly Log'!$O$4:$O$303,0)),"")</f>
        <v/>
      </c>
      <c r="S26" s="36" t="str">
        <f aca="false">IF($A26="","",IF(AND($H26=0,$K26=0,$E26=0),"Not started",IF(OR(AND($D26&gt;0,$E26/$D26&gt;$C$10),AND($H26&gt;0,$I26/$H26&lt;$C$8),$P26&gt;=$C$11),"Red",IF(OR(AND($D26&gt;0,$E26/$D26&gt;$C$9),AND($H26&gt;0,$I26/$H26&lt;$C$7),AND($K26&gt;0,$L26/$K26&lt;$C$7),$P26&gt;0,$Q26&gt;0),"Amber","Green"))))</f>
        <v/>
      </c>
      <c r="T26" s="58" t="str">
        <f aca="false">IFERROR(INDEX('Monthly Log'!$N$4:$N$303,MATCH(TEXT($C$4,"YYYY-MM")&amp;"|"&amp;$A26,'Monthly Log'!$O$4:$O$303,0)),"")</f>
        <v/>
      </c>
    </row>
    <row r="27" customFormat="false" ht="15" hidden="false" customHeight="true" outlineLevel="0" collapsed="false">
      <c r="A27" s="51" t="str">
        <f aca="false">IF('TOR Register'!$A15="","",'TOR Register'!$A15)</f>
        <v/>
      </c>
      <c r="B27" s="52" t="str">
        <f aca="false">IFERROR(INDEX('TOR Register'!$B$4:$B$43,MATCH($A27,'TOR Register'!$A$4:$A$43,0)),"")</f>
        <v/>
      </c>
      <c r="C27" s="52" t="str">
        <f aca="false">IFERROR(INDEX('TOR Register'!$E$4:$E$43,MATCH($A27,'TOR Register'!$A$4:$A$43,0)),"")</f>
        <v/>
      </c>
      <c r="D27" s="53" t="str">
        <f aca="false">IFERROR(INDEX('TOR Register'!$I$4:$I$43,MATCH($A27,'TOR Register'!$A$4:$A$43,0)),"")</f>
        <v/>
      </c>
      <c r="E27" s="53" t="n">
        <f aca="false">SUMIFS('Monthly Log'!$G$4:$G$303,'Monthly Log'!$A$4:$A$303,$C$4,'Monthly Log'!$B$4:$B$303,$A27)</f>
        <v>0</v>
      </c>
      <c r="F27" s="54" t="str">
        <f aca="false">IF(N($D27)=0,"",$E27/$D27)</f>
        <v/>
      </c>
      <c r="G27" s="55" t="str">
        <f aca="false">IF($A27="","",$D27-$E27)</f>
        <v/>
      </c>
      <c r="H27" s="56" t="n">
        <f aca="false">SUMIFS('Monthly Log'!$C$4:$C$303,'Monthly Log'!$A$4:$A$303,$C$4,'Monthly Log'!$B$4:$B$303,$A27)</f>
        <v>0</v>
      </c>
      <c r="I27" s="56" t="n">
        <f aca="false">SUMIFS('Monthly Log'!$D$4:$D$303,'Monthly Log'!$A$4:$A$303,$C$4,'Monthly Log'!$B$4:$B$303,$A27)</f>
        <v>0</v>
      </c>
      <c r="J27" s="57" t="str">
        <f aca="false">IF($H27=0,"",$I27/$H27)</f>
        <v/>
      </c>
      <c r="K27" s="56" t="n">
        <f aca="false">SUMIFS('Monthly Log'!$E$4:$E$303,'Monthly Log'!$A$4:$A$303,$C$4,'Monthly Log'!$B$4:$B$303,$A27)</f>
        <v>0</v>
      </c>
      <c r="L27" s="56" t="n">
        <f aca="false">SUMIFS('Monthly Log'!$F$4:$F$303,'Monthly Log'!$A$4:$A$303,$C$4,'Monthly Log'!$B$4:$B$303,$A27)</f>
        <v>0</v>
      </c>
      <c r="M27" s="57" t="str">
        <f aca="false">IF($K27=0,"",$L27/$K27)</f>
        <v/>
      </c>
      <c r="N27" s="56" t="n">
        <f aca="false">SUMIFS('Monthly Log'!$I$4:$I$303,'Monthly Log'!$A$4:$A$303,$C$4,'Monthly Log'!$B$4:$B$303,$A27)</f>
        <v>0</v>
      </c>
      <c r="O27" s="56" t="n">
        <f aca="false">SUMIFS('Monthly Log'!$J$4:$J$303,'Monthly Log'!$A$4:$A$303,$C$4,'Monthly Log'!$B$4:$B$303,$A27)</f>
        <v>0</v>
      </c>
      <c r="P27" s="56" t="n">
        <f aca="false">SUMIFS('Monthly Log'!$K$4:$K$303,'Monthly Log'!$A$4:$A$303,$C$4,'Monthly Log'!$B$4:$B$303,$A27)</f>
        <v>0</v>
      </c>
      <c r="Q27" s="56" t="n">
        <f aca="false">SUMIFS('Monthly Log'!$L$4:$L$303,'Monthly Log'!$A$4:$A$303,$C$4,'Monthly Log'!$B$4:$B$303,$A27)</f>
        <v>0</v>
      </c>
      <c r="R27" s="51" t="str">
        <f aca="false">IFERROR(INDEX('Monthly Log'!$M$4:$M$303,MATCH(TEXT($C$4,"YYYY-MM")&amp;"|"&amp;$A27,'Monthly Log'!$O$4:$O$303,0)),"")</f>
        <v/>
      </c>
      <c r="S27" s="36" t="str">
        <f aca="false">IF($A27="","",IF(AND($H27=0,$K27=0,$E27=0),"Not started",IF(OR(AND($D27&gt;0,$E27/$D27&gt;$C$10),AND($H27&gt;0,$I27/$H27&lt;$C$8),$P27&gt;=$C$11),"Red",IF(OR(AND($D27&gt;0,$E27/$D27&gt;$C$9),AND($H27&gt;0,$I27/$H27&lt;$C$7),AND($K27&gt;0,$L27/$K27&lt;$C$7),$P27&gt;0,$Q27&gt;0),"Amber","Green"))))</f>
        <v/>
      </c>
      <c r="T27" s="58" t="str">
        <f aca="false">IFERROR(INDEX('Monthly Log'!$N$4:$N$303,MATCH(TEXT($C$4,"YYYY-MM")&amp;"|"&amp;$A27,'Monthly Log'!$O$4:$O$303,0)),"")</f>
        <v/>
      </c>
    </row>
    <row r="28" customFormat="false" ht="15" hidden="false" customHeight="true" outlineLevel="0" collapsed="false">
      <c r="A28" s="51" t="str">
        <f aca="false">IF('TOR Register'!$A16="","",'TOR Register'!$A16)</f>
        <v/>
      </c>
      <c r="B28" s="52" t="str">
        <f aca="false">IFERROR(INDEX('TOR Register'!$B$4:$B$43,MATCH($A28,'TOR Register'!$A$4:$A$43,0)),"")</f>
        <v/>
      </c>
      <c r="C28" s="52" t="str">
        <f aca="false">IFERROR(INDEX('TOR Register'!$E$4:$E$43,MATCH($A28,'TOR Register'!$A$4:$A$43,0)),"")</f>
        <v/>
      </c>
      <c r="D28" s="53" t="str">
        <f aca="false">IFERROR(INDEX('TOR Register'!$I$4:$I$43,MATCH($A28,'TOR Register'!$A$4:$A$43,0)),"")</f>
        <v/>
      </c>
      <c r="E28" s="53" t="n">
        <f aca="false">SUMIFS('Monthly Log'!$G$4:$G$303,'Monthly Log'!$A$4:$A$303,$C$4,'Monthly Log'!$B$4:$B$303,$A28)</f>
        <v>0</v>
      </c>
      <c r="F28" s="54" t="str">
        <f aca="false">IF(N($D28)=0,"",$E28/$D28)</f>
        <v/>
      </c>
      <c r="G28" s="55" t="str">
        <f aca="false">IF($A28="","",$D28-$E28)</f>
        <v/>
      </c>
      <c r="H28" s="56" t="n">
        <f aca="false">SUMIFS('Monthly Log'!$C$4:$C$303,'Monthly Log'!$A$4:$A$303,$C$4,'Monthly Log'!$B$4:$B$303,$A28)</f>
        <v>0</v>
      </c>
      <c r="I28" s="56" t="n">
        <f aca="false">SUMIFS('Monthly Log'!$D$4:$D$303,'Monthly Log'!$A$4:$A$303,$C$4,'Monthly Log'!$B$4:$B$303,$A28)</f>
        <v>0</v>
      </c>
      <c r="J28" s="57" t="str">
        <f aca="false">IF($H28=0,"",$I28/$H28)</f>
        <v/>
      </c>
      <c r="K28" s="56" t="n">
        <f aca="false">SUMIFS('Monthly Log'!$E$4:$E$303,'Monthly Log'!$A$4:$A$303,$C$4,'Monthly Log'!$B$4:$B$303,$A28)</f>
        <v>0</v>
      </c>
      <c r="L28" s="56" t="n">
        <f aca="false">SUMIFS('Monthly Log'!$F$4:$F$303,'Monthly Log'!$A$4:$A$303,$C$4,'Monthly Log'!$B$4:$B$303,$A28)</f>
        <v>0</v>
      </c>
      <c r="M28" s="57" t="str">
        <f aca="false">IF($K28=0,"",$L28/$K28)</f>
        <v/>
      </c>
      <c r="N28" s="56" t="n">
        <f aca="false">SUMIFS('Monthly Log'!$I$4:$I$303,'Monthly Log'!$A$4:$A$303,$C$4,'Monthly Log'!$B$4:$B$303,$A28)</f>
        <v>0</v>
      </c>
      <c r="O28" s="56" t="n">
        <f aca="false">SUMIFS('Monthly Log'!$J$4:$J$303,'Monthly Log'!$A$4:$A$303,$C$4,'Monthly Log'!$B$4:$B$303,$A28)</f>
        <v>0</v>
      </c>
      <c r="P28" s="56" t="n">
        <f aca="false">SUMIFS('Monthly Log'!$K$4:$K$303,'Monthly Log'!$A$4:$A$303,$C$4,'Monthly Log'!$B$4:$B$303,$A28)</f>
        <v>0</v>
      </c>
      <c r="Q28" s="56" t="n">
        <f aca="false">SUMIFS('Monthly Log'!$L$4:$L$303,'Monthly Log'!$A$4:$A$303,$C$4,'Monthly Log'!$B$4:$B$303,$A28)</f>
        <v>0</v>
      </c>
      <c r="R28" s="51" t="str">
        <f aca="false">IFERROR(INDEX('Monthly Log'!$M$4:$M$303,MATCH(TEXT($C$4,"YYYY-MM")&amp;"|"&amp;$A28,'Monthly Log'!$O$4:$O$303,0)),"")</f>
        <v/>
      </c>
      <c r="S28" s="36" t="str">
        <f aca="false">IF($A28="","",IF(AND($H28=0,$K28=0,$E28=0),"Not started",IF(OR(AND($D28&gt;0,$E28/$D28&gt;$C$10),AND($H28&gt;0,$I28/$H28&lt;$C$8),$P28&gt;=$C$11),"Red",IF(OR(AND($D28&gt;0,$E28/$D28&gt;$C$9),AND($H28&gt;0,$I28/$H28&lt;$C$7),AND($K28&gt;0,$L28/$K28&lt;$C$7),$P28&gt;0,$Q28&gt;0),"Amber","Green"))))</f>
        <v/>
      </c>
      <c r="T28" s="58" t="str">
        <f aca="false">IFERROR(INDEX('Monthly Log'!$N$4:$N$303,MATCH(TEXT($C$4,"YYYY-MM")&amp;"|"&amp;$A28,'Monthly Log'!$O$4:$O$303,0)),"")</f>
        <v/>
      </c>
    </row>
    <row r="29" customFormat="false" ht="15" hidden="false" customHeight="true" outlineLevel="0" collapsed="false">
      <c r="A29" s="51" t="str">
        <f aca="false">IF('TOR Register'!$A17="","",'TOR Register'!$A17)</f>
        <v/>
      </c>
      <c r="B29" s="52" t="str">
        <f aca="false">IFERROR(INDEX('TOR Register'!$B$4:$B$43,MATCH($A29,'TOR Register'!$A$4:$A$43,0)),"")</f>
        <v/>
      </c>
      <c r="C29" s="52" t="str">
        <f aca="false">IFERROR(INDEX('TOR Register'!$E$4:$E$43,MATCH($A29,'TOR Register'!$A$4:$A$43,0)),"")</f>
        <v/>
      </c>
      <c r="D29" s="53" t="str">
        <f aca="false">IFERROR(INDEX('TOR Register'!$I$4:$I$43,MATCH($A29,'TOR Register'!$A$4:$A$43,0)),"")</f>
        <v/>
      </c>
      <c r="E29" s="53" t="n">
        <f aca="false">SUMIFS('Monthly Log'!$G$4:$G$303,'Monthly Log'!$A$4:$A$303,$C$4,'Monthly Log'!$B$4:$B$303,$A29)</f>
        <v>0</v>
      </c>
      <c r="F29" s="54" t="str">
        <f aca="false">IF(N($D29)=0,"",$E29/$D29)</f>
        <v/>
      </c>
      <c r="G29" s="55" t="str">
        <f aca="false">IF($A29="","",$D29-$E29)</f>
        <v/>
      </c>
      <c r="H29" s="56" t="n">
        <f aca="false">SUMIFS('Monthly Log'!$C$4:$C$303,'Monthly Log'!$A$4:$A$303,$C$4,'Monthly Log'!$B$4:$B$303,$A29)</f>
        <v>0</v>
      </c>
      <c r="I29" s="56" t="n">
        <f aca="false">SUMIFS('Monthly Log'!$D$4:$D$303,'Monthly Log'!$A$4:$A$303,$C$4,'Monthly Log'!$B$4:$B$303,$A29)</f>
        <v>0</v>
      </c>
      <c r="J29" s="57" t="str">
        <f aca="false">IF($H29=0,"",$I29/$H29)</f>
        <v/>
      </c>
      <c r="K29" s="56" t="n">
        <f aca="false">SUMIFS('Monthly Log'!$E$4:$E$303,'Monthly Log'!$A$4:$A$303,$C$4,'Monthly Log'!$B$4:$B$303,$A29)</f>
        <v>0</v>
      </c>
      <c r="L29" s="56" t="n">
        <f aca="false">SUMIFS('Monthly Log'!$F$4:$F$303,'Monthly Log'!$A$4:$A$303,$C$4,'Monthly Log'!$B$4:$B$303,$A29)</f>
        <v>0</v>
      </c>
      <c r="M29" s="57" t="str">
        <f aca="false">IF($K29=0,"",$L29/$K29)</f>
        <v/>
      </c>
      <c r="N29" s="56" t="n">
        <f aca="false">SUMIFS('Monthly Log'!$I$4:$I$303,'Monthly Log'!$A$4:$A$303,$C$4,'Monthly Log'!$B$4:$B$303,$A29)</f>
        <v>0</v>
      </c>
      <c r="O29" s="56" t="n">
        <f aca="false">SUMIFS('Monthly Log'!$J$4:$J$303,'Monthly Log'!$A$4:$A$303,$C$4,'Monthly Log'!$B$4:$B$303,$A29)</f>
        <v>0</v>
      </c>
      <c r="P29" s="56" t="n">
        <f aca="false">SUMIFS('Monthly Log'!$K$4:$K$303,'Monthly Log'!$A$4:$A$303,$C$4,'Monthly Log'!$B$4:$B$303,$A29)</f>
        <v>0</v>
      </c>
      <c r="Q29" s="56" t="n">
        <f aca="false">SUMIFS('Monthly Log'!$L$4:$L$303,'Monthly Log'!$A$4:$A$303,$C$4,'Monthly Log'!$B$4:$B$303,$A29)</f>
        <v>0</v>
      </c>
      <c r="R29" s="51" t="str">
        <f aca="false">IFERROR(INDEX('Monthly Log'!$M$4:$M$303,MATCH(TEXT($C$4,"YYYY-MM")&amp;"|"&amp;$A29,'Monthly Log'!$O$4:$O$303,0)),"")</f>
        <v/>
      </c>
      <c r="S29" s="36" t="str">
        <f aca="false">IF($A29="","",IF(AND($H29=0,$K29=0,$E29=0),"Not started",IF(OR(AND($D29&gt;0,$E29/$D29&gt;$C$10),AND($H29&gt;0,$I29/$H29&lt;$C$8),$P29&gt;=$C$11),"Red",IF(OR(AND($D29&gt;0,$E29/$D29&gt;$C$9),AND($H29&gt;0,$I29/$H29&lt;$C$7),AND($K29&gt;0,$L29/$K29&lt;$C$7),$P29&gt;0,$Q29&gt;0),"Amber","Green"))))</f>
        <v/>
      </c>
      <c r="T29" s="58" t="str">
        <f aca="false">IFERROR(INDEX('Monthly Log'!$N$4:$N$303,MATCH(TEXT($C$4,"YYYY-MM")&amp;"|"&amp;$A29,'Monthly Log'!$O$4:$O$303,0)),"")</f>
        <v/>
      </c>
    </row>
    <row r="30" customFormat="false" ht="15" hidden="false" customHeight="true" outlineLevel="0" collapsed="false">
      <c r="A30" s="51" t="str">
        <f aca="false">IF('TOR Register'!$A18="","",'TOR Register'!$A18)</f>
        <v/>
      </c>
      <c r="B30" s="52" t="str">
        <f aca="false">IFERROR(INDEX('TOR Register'!$B$4:$B$43,MATCH($A30,'TOR Register'!$A$4:$A$43,0)),"")</f>
        <v/>
      </c>
      <c r="C30" s="52" t="str">
        <f aca="false">IFERROR(INDEX('TOR Register'!$E$4:$E$43,MATCH($A30,'TOR Register'!$A$4:$A$43,0)),"")</f>
        <v/>
      </c>
      <c r="D30" s="53" t="str">
        <f aca="false">IFERROR(INDEX('TOR Register'!$I$4:$I$43,MATCH($A30,'TOR Register'!$A$4:$A$43,0)),"")</f>
        <v/>
      </c>
      <c r="E30" s="53" t="n">
        <f aca="false">SUMIFS('Monthly Log'!$G$4:$G$303,'Monthly Log'!$A$4:$A$303,$C$4,'Monthly Log'!$B$4:$B$303,$A30)</f>
        <v>0</v>
      </c>
      <c r="F30" s="54" t="str">
        <f aca="false">IF(N($D30)=0,"",$E30/$D30)</f>
        <v/>
      </c>
      <c r="G30" s="55" t="str">
        <f aca="false">IF($A30="","",$D30-$E30)</f>
        <v/>
      </c>
      <c r="H30" s="56" t="n">
        <f aca="false">SUMIFS('Monthly Log'!$C$4:$C$303,'Monthly Log'!$A$4:$A$303,$C$4,'Monthly Log'!$B$4:$B$303,$A30)</f>
        <v>0</v>
      </c>
      <c r="I30" s="56" t="n">
        <f aca="false">SUMIFS('Monthly Log'!$D$4:$D$303,'Monthly Log'!$A$4:$A$303,$C$4,'Monthly Log'!$B$4:$B$303,$A30)</f>
        <v>0</v>
      </c>
      <c r="J30" s="57" t="str">
        <f aca="false">IF($H30=0,"",$I30/$H30)</f>
        <v/>
      </c>
      <c r="K30" s="56" t="n">
        <f aca="false">SUMIFS('Monthly Log'!$E$4:$E$303,'Monthly Log'!$A$4:$A$303,$C$4,'Monthly Log'!$B$4:$B$303,$A30)</f>
        <v>0</v>
      </c>
      <c r="L30" s="56" t="n">
        <f aca="false">SUMIFS('Monthly Log'!$F$4:$F$303,'Monthly Log'!$A$4:$A$303,$C$4,'Monthly Log'!$B$4:$B$303,$A30)</f>
        <v>0</v>
      </c>
      <c r="M30" s="57" t="str">
        <f aca="false">IF($K30=0,"",$L30/$K30)</f>
        <v/>
      </c>
      <c r="N30" s="56" t="n">
        <f aca="false">SUMIFS('Monthly Log'!$I$4:$I$303,'Monthly Log'!$A$4:$A$303,$C$4,'Monthly Log'!$B$4:$B$303,$A30)</f>
        <v>0</v>
      </c>
      <c r="O30" s="56" t="n">
        <f aca="false">SUMIFS('Monthly Log'!$J$4:$J$303,'Monthly Log'!$A$4:$A$303,$C$4,'Monthly Log'!$B$4:$B$303,$A30)</f>
        <v>0</v>
      </c>
      <c r="P30" s="56" t="n">
        <f aca="false">SUMIFS('Monthly Log'!$K$4:$K$303,'Monthly Log'!$A$4:$A$303,$C$4,'Monthly Log'!$B$4:$B$303,$A30)</f>
        <v>0</v>
      </c>
      <c r="Q30" s="56" t="n">
        <f aca="false">SUMIFS('Monthly Log'!$L$4:$L$303,'Monthly Log'!$A$4:$A$303,$C$4,'Monthly Log'!$B$4:$B$303,$A30)</f>
        <v>0</v>
      </c>
      <c r="R30" s="51" t="str">
        <f aca="false">IFERROR(INDEX('Monthly Log'!$M$4:$M$303,MATCH(TEXT($C$4,"YYYY-MM")&amp;"|"&amp;$A30,'Monthly Log'!$O$4:$O$303,0)),"")</f>
        <v/>
      </c>
      <c r="S30" s="36" t="str">
        <f aca="false">IF($A30="","",IF(AND($H30=0,$K30=0,$E30=0),"Not started",IF(OR(AND($D30&gt;0,$E30/$D30&gt;$C$10),AND($H30&gt;0,$I30/$H30&lt;$C$8),$P30&gt;=$C$11),"Red",IF(OR(AND($D30&gt;0,$E30/$D30&gt;$C$9),AND($H30&gt;0,$I30/$H30&lt;$C$7),AND($K30&gt;0,$L30/$K30&lt;$C$7),$P30&gt;0,$Q30&gt;0),"Amber","Green"))))</f>
        <v/>
      </c>
      <c r="T30" s="58" t="str">
        <f aca="false">IFERROR(INDEX('Monthly Log'!$N$4:$N$303,MATCH(TEXT($C$4,"YYYY-MM")&amp;"|"&amp;$A30,'Monthly Log'!$O$4:$O$303,0)),"")</f>
        <v/>
      </c>
    </row>
    <row r="31" customFormat="false" ht="15" hidden="false" customHeight="true" outlineLevel="0" collapsed="false">
      <c r="A31" s="51" t="str">
        <f aca="false">IF('TOR Register'!$A19="","",'TOR Register'!$A19)</f>
        <v/>
      </c>
      <c r="B31" s="52" t="str">
        <f aca="false">IFERROR(INDEX('TOR Register'!$B$4:$B$43,MATCH($A31,'TOR Register'!$A$4:$A$43,0)),"")</f>
        <v/>
      </c>
      <c r="C31" s="52" t="str">
        <f aca="false">IFERROR(INDEX('TOR Register'!$E$4:$E$43,MATCH($A31,'TOR Register'!$A$4:$A$43,0)),"")</f>
        <v/>
      </c>
      <c r="D31" s="53" t="str">
        <f aca="false">IFERROR(INDEX('TOR Register'!$I$4:$I$43,MATCH($A31,'TOR Register'!$A$4:$A$43,0)),"")</f>
        <v/>
      </c>
      <c r="E31" s="53" t="n">
        <f aca="false">SUMIFS('Monthly Log'!$G$4:$G$303,'Monthly Log'!$A$4:$A$303,$C$4,'Monthly Log'!$B$4:$B$303,$A31)</f>
        <v>0</v>
      </c>
      <c r="F31" s="54" t="str">
        <f aca="false">IF(N($D31)=0,"",$E31/$D31)</f>
        <v/>
      </c>
      <c r="G31" s="55" t="str">
        <f aca="false">IF($A31="","",$D31-$E31)</f>
        <v/>
      </c>
      <c r="H31" s="56" t="n">
        <f aca="false">SUMIFS('Monthly Log'!$C$4:$C$303,'Monthly Log'!$A$4:$A$303,$C$4,'Monthly Log'!$B$4:$B$303,$A31)</f>
        <v>0</v>
      </c>
      <c r="I31" s="56" t="n">
        <f aca="false">SUMIFS('Monthly Log'!$D$4:$D$303,'Monthly Log'!$A$4:$A$303,$C$4,'Monthly Log'!$B$4:$B$303,$A31)</f>
        <v>0</v>
      </c>
      <c r="J31" s="57" t="str">
        <f aca="false">IF($H31=0,"",$I31/$H31)</f>
        <v/>
      </c>
      <c r="K31" s="56" t="n">
        <f aca="false">SUMIFS('Monthly Log'!$E$4:$E$303,'Monthly Log'!$A$4:$A$303,$C$4,'Monthly Log'!$B$4:$B$303,$A31)</f>
        <v>0</v>
      </c>
      <c r="L31" s="56" t="n">
        <f aca="false">SUMIFS('Monthly Log'!$F$4:$F$303,'Monthly Log'!$A$4:$A$303,$C$4,'Monthly Log'!$B$4:$B$303,$A31)</f>
        <v>0</v>
      </c>
      <c r="M31" s="57" t="str">
        <f aca="false">IF($K31=0,"",$L31/$K31)</f>
        <v/>
      </c>
      <c r="N31" s="56" t="n">
        <f aca="false">SUMIFS('Monthly Log'!$I$4:$I$303,'Monthly Log'!$A$4:$A$303,$C$4,'Monthly Log'!$B$4:$B$303,$A31)</f>
        <v>0</v>
      </c>
      <c r="O31" s="56" t="n">
        <f aca="false">SUMIFS('Monthly Log'!$J$4:$J$303,'Monthly Log'!$A$4:$A$303,$C$4,'Monthly Log'!$B$4:$B$303,$A31)</f>
        <v>0</v>
      </c>
      <c r="P31" s="56" t="n">
        <f aca="false">SUMIFS('Monthly Log'!$K$4:$K$303,'Monthly Log'!$A$4:$A$303,$C$4,'Monthly Log'!$B$4:$B$303,$A31)</f>
        <v>0</v>
      </c>
      <c r="Q31" s="56" t="n">
        <f aca="false">SUMIFS('Monthly Log'!$L$4:$L$303,'Monthly Log'!$A$4:$A$303,$C$4,'Monthly Log'!$B$4:$B$303,$A31)</f>
        <v>0</v>
      </c>
      <c r="R31" s="51" t="str">
        <f aca="false">IFERROR(INDEX('Monthly Log'!$M$4:$M$303,MATCH(TEXT($C$4,"YYYY-MM")&amp;"|"&amp;$A31,'Monthly Log'!$O$4:$O$303,0)),"")</f>
        <v/>
      </c>
      <c r="S31" s="36" t="str">
        <f aca="false">IF($A31="","",IF(AND($H31=0,$K31=0,$E31=0),"Not started",IF(OR(AND($D31&gt;0,$E31/$D31&gt;$C$10),AND($H31&gt;0,$I31/$H31&lt;$C$8),$P31&gt;=$C$11),"Red",IF(OR(AND($D31&gt;0,$E31/$D31&gt;$C$9),AND($H31&gt;0,$I31/$H31&lt;$C$7),AND($K31&gt;0,$L31/$K31&lt;$C$7),$P31&gt;0,$Q31&gt;0),"Amber","Green"))))</f>
        <v/>
      </c>
      <c r="T31" s="58" t="str">
        <f aca="false">IFERROR(INDEX('Monthly Log'!$N$4:$N$303,MATCH(TEXT($C$4,"YYYY-MM")&amp;"|"&amp;$A31,'Monthly Log'!$O$4:$O$303,0)),"")</f>
        <v/>
      </c>
    </row>
    <row r="32" customFormat="false" ht="15" hidden="false" customHeight="true" outlineLevel="0" collapsed="false">
      <c r="A32" s="51" t="str">
        <f aca="false">IF('TOR Register'!$A20="","",'TOR Register'!$A20)</f>
        <v/>
      </c>
      <c r="B32" s="52" t="str">
        <f aca="false">IFERROR(INDEX('TOR Register'!$B$4:$B$43,MATCH($A32,'TOR Register'!$A$4:$A$43,0)),"")</f>
        <v/>
      </c>
      <c r="C32" s="52" t="str">
        <f aca="false">IFERROR(INDEX('TOR Register'!$E$4:$E$43,MATCH($A32,'TOR Register'!$A$4:$A$43,0)),"")</f>
        <v/>
      </c>
      <c r="D32" s="53" t="str">
        <f aca="false">IFERROR(INDEX('TOR Register'!$I$4:$I$43,MATCH($A32,'TOR Register'!$A$4:$A$43,0)),"")</f>
        <v/>
      </c>
      <c r="E32" s="53" t="n">
        <f aca="false">SUMIFS('Monthly Log'!$G$4:$G$303,'Monthly Log'!$A$4:$A$303,$C$4,'Monthly Log'!$B$4:$B$303,$A32)</f>
        <v>0</v>
      </c>
      <c r="F32" s="54" t="str">
        <f aca="false">IF(N($D32)=0,"",$E32/$D32)</f>
        <v/>
      </c>
      <c r="G32" s="55" t="str">
        <f aca="false">IF($A32="","",$D32-$E32)</f>
        <v/>
      </c>
      <c r="H32" s="56" t="n">
        <f aca="false">SUMIFS('Monthly Log'!$C$4:$C$303,'Monthly Log'!$A$4:$A$303,$C$4,'Monthly Log'!$B$4:$B$303,$A32)</f>
        <v>0</v>
      </c>
      <c r="I32" s="56" t="n">
        <f aca="false">SUMIFS('Monthly Log'!$D$4:$D$303,'Monthly Log'!$A$4:$A$303,$C$4,'Monthly Log'!$B$4:$B$303,$A32)</f>
        <v>0</v>
      </c>
      <c r="J32" s="57" t="str">
        <f aca="false">IF($H32=0,"",$I32/$H32)</f>
        <v/>
      </c>
      <c r="K32" s="56" t="n">
        <f aca="false">SUMIFS('Monthly Log'!$E$4:$E$303,'Monthly Log'!$A$4:$A$303,$C$4,'Monthly Log'!$B$4:$B$303,$A32)</f>
        <v>0</v>
      </c>
      <c r="L32" s="56" t="n">
        <f aca="false">SUMIFS('Monthly Log'!$F$4:$F$303,'Monthly Log'!$A$4:$A$303,$C$4,'Monthly Log'!$B$4:$B$303,$A32)</f>
        <v>0</v>
      </c>
      <c r="M32" s="57" t="str">
        <f aca="false">IF($K32=0,"",$L32/$K32)</f>
        <v/>
      </c>
      <c r="N32" s="56" t="n">
        <f aca="false">SUMIFS('Monthly Log'!$I$4:$I$303,'Monthly Log'!$A$4:$A$303,$C$4,'Monthly Log'!$B$4:$B$303,$A32)</f>
        <v>0</v>
      </c>
      <c r="O32" s="56" t="n">
        <f aca="false">SUMIFS('Monthly Log'!$J$4:$J$303,'Monthly Log'!$A$4:$A$303,$C$4,'Monthly Log'!$B$4:$B$303,$A32)</f>
        <v>0</v>
      </c>
      <c r="P32" s="56" t="n">
        <f aca="false">SUMIFS('Monthly Log'!$K$4:$K$303,'Monthly Log'!$A$4:$A$303,$C$4,'Monthly Log'!$B$4:$B$303,$A32)</f>
        <v>0</v>
      </c>
      <c r="Q32" s="56" t="n">
        <f aca="false">SUMIFS('Monthly Log'!$L$4:$L$303,'Monthly Log'!$A$4:$A$303,$C$4,'Monthly Log'!$B$4:$B$303,$A32)</f>
        <v>0</v>
      </c>
      <c r="R32" s="51" t="str">
        <f aca="false">IFERROR(INDEX('Monthly Log'!$M$4:$M$303,MATCH(TEXT($C$4,"YYYY-MM")&amp;"|"&amp;$A32,'Monthly Log'!$O$4:$O$303,0)),"")</f>
        <v/>
      </c>
      <c r="S32" s="36" t="str">
        <f aca="false">IF($A32="","",IF(AND($H32=0,$K32=0,$E32=0),"Not started",IF(OR(AND($D32&gt;0,$E32/$D32&gt;$C$10),AND($H32&gt;0,$I32/$H32&lt;$C$8),$P32&gt;=$C$11),"Red",IF(OR(AND($D32&gt;0,$E32/$D32&gt;$C$9),AND($H32&gt;0,$I32/$H32&lt;$C$7),AND($K32&gt;0,$L32/$K32&lt;$C$7),$P32&gt;0,$Q32&gt;0),"Amber","Green"))))</f>
        <v/>
      </c>
      <c r="T32" s="58" t="str">
        <f aca="false">IFERROR(INDEX('Monthly Log'!$N$4:$N$303,MATCH(TEXT($C$4,"YYYY-MM")&amp;"|"&amp;$A32,'Monthly Log'!$O$4:$O$303,0)),"")</f>
        <v/>
      </c>
    </row>
    <row r="33" customFormat="false" ht="15" hidden="false" customHeight="true" outlineLevel="0" collapsed="false">
      <c r="A33" s="51" t="str">
        <f aca="false">IF('TOR Register'!$A21="","",'TOR Register'!$A21)</f>
        <v/>
      </c>
      <c r="B33" s="52" t="str">
        <f aca="false">IFERROR(INDEX('TOR Register'!$B$4:$B$43,MATCH($A33,'TOR Register'!$A$4:$A$43,0)),"")</f>
        <v/>
      </c>
      <c r="C33" s="52" t="str">
        <f aca="false">IFERROR(INDEX('TOR Register'!$E$4:$E$43,MATCH($A33,'TOR Register'!$A$4:$A$43,0)),"")</f>
        <v/>
      </c>
      <c r="D33" s="53" t="str">
        <f aca="false">IFERROR(INDEX('TOR Register'!$I$4:$I$43,MATCH($A33,'TOR Register'!$A$4:$A$43,0)),"")</f>
        <v/>
      </c>
      <c r="E33" s="53" t="n">
        <f aca="false">SUMIFS('Monthly Log'!$G$4:$G$303,'Monthly Log'!$A$4:$A$303,$C$4,'Monthly Log'!$B$4:$B$303,$A33)</f>
        <v>0</v>
      </c>
      <c r="F33" s="54" t="str">
        <f aca="false">IF(N($D33)=0,"",$E33/$D33)</f>
        <v/>
      </c>
      <c r="G33" s="55" t="str">
        <f aca="false">IF($A33="","",$D33-$E33)</f>
        <v/>
      </c>
      <c r="H33" s="56" t="n">
        <f aca="false">SUMIFS('Monthly Log'!$C$4:$C$303,'Monthly Log'!$A$4:$A$303,$C$4,'Monthly Log'!$B$4:$B$303,$A33)</f>
        <v>0</v>
      </c>
      <c r="I33" s="56" t="n">
        <f aca="false">SUMIFS('Monthly Log'!$D$4:$D$303,'Monthly Log'!$A$4:$A$303,$C$4,'Monthly Log'!$B$4:$B$303,$A33)</f>
        <v>0</v>
      </c>
      <c r="J33" s="57" t="str">
        <f aca="false">IF($H33=0,"",$I33/$H33)</f>
        <v/>
      </c>
      <c r="K33" s="56" t="n">
        <f aca="false">SUMIFS('Monthly Log'!$E$4:$E$303,'Monthly Log'!$A$4:$A$303,$C$4,'Monthly Log'!$B$4:$B$303,$A33)</f>
        <v>0</v>
      </c>
      <c r="L33" s="56" t="n">
        <f aca="false">SUMIFS('Monthly Log'!$F$4:$F$303,'Monthly Log'!$A$4:$A$303,$C$4,'Monthly Log'!$B$4:$B$303,$A33)</f>
        <v>0</v>
      </c>
      <c r="M33" s="57" t="str">
        <f aca="false">IF($K33=0,"",$L33/$K33)</f>
        <v/>
      </c>
      <c r="N33" s="56" t="n">
        <f aca="false">SUMIFS('Monthly Log'!$I$4:$I$303,'Monthly Log'!$A$4:$A$303,$C$4,'Monthly Log'!$B$4:$B$303,$A33)</f>
        <v>0</v>
      </c>
      <c r="O33" s="56" t="n">
        <f aca="false">SUMIFS('Monthly Log'!$J$4:$J$303,'Monthly Log'!$A$4:$A$303,$C$4,'Monthly Log'!$B$4:$B$303,$A33)</f>
        <v>0</v>
      </c>
      <c r="P33" s="56" t="n">
        <f aca="false">SUMIFS('Monthly Log'!$K$4:$K$303,'Monthly Log'!$A$4:$A$303,$C$4,'Monthly Log'!$B$4:$B$303,$A33)</f>
        <v>0</v>
      </c>
      <c r="Q33" s="56" t="n">
        <f aca="false">SUMIFS('Monthly Log'!$L$4:$L$303,'Monthly Log'!$A$4:$A$303,$C$4,'Monthly Log'!$B$4:$B$303,$A33)</f>
        <v>0</v>
      </c>
      <c r="R33" s="51" t="str">
        <f aca="false">IFERROR(INDEX('Monthly Log'!$M$4:$M$303,MATCH(TEXT($C$4,"YYYY-MM")&amp;"|"&amp;$A33,'Monthly Log'!$O$4:$O$303,0)),"")</f>
        <v/>
      </c>
      <c r="S33" s="36" t="str">
        <f aca="false">IF($A33="","",IF(AND($H33=0,$K33=0,$E33=0),"Not started",IF(OR(AND($D33&gt;0,$E33/$D33&gt;$C$10),AND($H33&gt;0,$I33/$H33&lt;$C$8),$P33&gt;=$C$11),"Red",IF(OR(AND($D33&gt;0,$E33/$D33&gt;$C$9),AND($H33&gt;0,$I33/$H33&lt;$C$7),AND($K33&gt;0,$L33/$K33&lt;$C$7),$P33&gt;0,$Q33&gt;0),"Amber","Green"))))</f>
        <v/>
      </c>
      <c r="T33" s="58" t="str">
        <f aca="false">IFERROR(INDEX('Monthly Log'!$N$4:$N$303,MATCH(TEXT($C$4,"YYYY-MM")&amp;"|"&amp;$A33,'Monthly Log'!$O$4:$O$303,0)),"")</f>
        <v/>
      </c>
    </row>
    <row r="34" customFormat="false" ht="15" hidden="false" customHeight="true" outlineLevel="0" collapsed="false">
      <c r="A34" s="51" t="str">
        <f aca="false">IF('TOR Register'!$A22="","",'TOR Register'!$A22)</f>
        <v/>
      </c>
      <c r="B34" s="52" t="str">
        <f aca="false">IFERROR(INDEX('TOR Register'!$B$4:$B$43,MATCH($A34,'TOR Register'!$A$4:$A$43,0)),"")</f>
        <v/>
      </c>
      <c r="C34" s="52" t="str">
        <f aca="false">IFERROR(INDEX('TOR Register'!$E$4:$E$43,MATCH($A34,'TOR Register'!$A$4:$A$43,0)),"")</f>
        <v/>
      </c>
      <c r="D34" s="53" t="str">
        <f aca="false">IFERROR(INDEX('TOR Register'!$I$4:$I$43,MATCH($A34,'TOR Register'!$A$4:$A$43,0)),"")</f>
        <v/>
      </c>
      <c r="E34" s="53" t="n">
        <f aca="false">SUMIFS('Monthly Log'!$G$4:$G$303,'Monthly Log'!$A$4:$A$303,$C$4,'Monthly Log'!$B$4:$B$303,$A34)</f>
        <v>0</v>
      </c>
      <c r="F34" s="54" t="str">
        <f aca="false">IF(N($D34)=0,"",$E34/$D34)</f>
        <v/>
      </c>
      <c r="G34" s="55" t="str">
        <f aca="false">IF($A34="","",$D34-$E34)</f>
        <v/>
      </c>
      <c r="H34" s="56" t="n">
        <f aca="false">SUMIFS('Monthly Log'!$C$4:$C$303,'Monthly Log'!$A$4:$A$303,$C$4,'Monthly Log'!$B$4:$B$303,$A34)</f>
        <v>0</v>
      </c>
      <c r="I34" s="56" t="n">
        <f aca="false">SUMIFS('Monthly Log'!$D$4:$D$303,'Monthly Log'!$A$4:$A$303,$C$4,'Monthly Log'!$B$4:$B$303,$A34)</f>
        <v>0</v>
      </c>
      <c r="J34" s="57" t="str">
        <f aca="false">IF($H34=0,"",$I34/$H34)</f>
        <v/>
      </c>
      <c r="K34" s="56" t="n">
        <f aca="false">SUMIFS('Monthly Log'!$E$4:$E$303,'Monthly Log'!$A$4:$A$303,$C$4,'Monthly Log'!$B$4:$B$303,$A34)</f>
        <v>0</v>
      </c>
      <c r="L34" s="56" t="n">
        <f aca="false">SUMIFS('Monthly Log'!$F$4:$F$303,'Monthly Log'!$A$4:$A$303,$C$4,'Monthly Log'!$B$4:$B$303,$A34)</f>
        <v>0</v>
      </c>
      <c r="M34" s="57" t="str">
        <f aca="false">IF($K34=0,"",$L34/$K34)</f>
        <v/>
      </c>
      <c r="N34" s="56" t="n">
        <f aca="false">SUMIFS('Monthly Log'!$I$4:$I$303,'Monthly Log'!$A$4:$A$303,$C$4,'Monthly Log'!$B$4:$B$303,$A34)</f>
        <v>0</v>
      </c>
      <c r="O34" s="56" t="n">
        <f aca="false">SUMIFS('Monthly Log'!$J$4:$J$303,'Monthly Log'!$A$4:$A$303,$C$4,'Monthly Log'!$B$4:$B$303,$A34)</f>
        <v>0</v>
      </c>
      <c r="P34" s="56" t="n">
        <f aca="false">SUMIFS('Monthly Log'!$K$4:$K$303,'Monthly Log'!$A$4:$A$303,$C$4,'Monthly Log'!$B$4:$B$303,$A34)</f>
        <v>0</v>
      </c>
      <c r="Q34" s="56" t="n">
        <f aca="false">SUMIFS('Monthly Log'!$L$4:$L$303,'Monthly Log'!$A$4:$A$303,$C$4,'Monthly Log'!$B$4:$B$303,$A34)</f>
        <v>0</v>
      </c>
      <c r="R34" s="51" t="str">
        <f aca="false">IFERROR(INDEX('Monthly Log'!$M$4:$M$303,MATCH(TEXT($C$4,"YYYY-MM")&amp;"|"&amp;$A34,'Monthly Log'!$O$4:$O$303,0)),"")</f>
        <v/>
      </c>
      <c r="S34" s="36" t="str">
        <f aca="false">IF($A34="","",IF(AND($H34=0,$K34=0,$E34=0),"Not started",IF(OR(AND($D34&gt;0,$E34/$D34&gt;$C$10),AND($H34&gt;0,$I34/$H34&lt;$C$8),$P34&gt;=$C$11),"Red",IF(OR(AND($D34&gt;0,$E34/$D34&gt;$C$9),AND($H34&gt;0,$I34/$H34&lt;$C$7),AND($K34&gt;0,$L34/$K34&lt;$C$7),$P34&gt;0,$Q34&gt;0),"Amber","Green"))))</f>
        <v/>
      </c>
      <c r="T34" s="58" t="str">
        <f aca="false">IFERROR(INDEX('Monthly Log'!$N$4:$N$303,MATCH(TEXT($C$4,"YYYY-MM")&amp;"|"&amp;$A34,'Monthly Log'!$O$4:$O$303,0)),"")</f>
        <v/>
      </c>
    </row>
    <row r="35" customFormat="false" ht="15" hidden="false" customHeight="true" outlineLevel="0" collapsed="false">
      <c r="A35" s="51" t="str">
        <f aca="false">IF('TOR Register'!$A23="","",'TOR Register'!$A23)</f>
        <v/>
      </c>
      <c r="B35" s="52" t="str">
        <f aca="false">IFERROR(INDEX('TOR Register'!$B$4:$B$43,MATCH($A35,'TOR Register'!$A$4:$A$43,0)),"")</f>
        <v/>
      </c>
      <c r="C35" s="52" t="str">
        <f aca="false">IFERROR(INDEX('TOR Register'!$E$4:$E$43,MATCH($A35,'TOR Register'!$A$4:$A$43,0)),"")</f>
        <v/>
      </c>
      <c r="D35" s="53" t="str">
        <f aca="false">IFERROR(INDEX('TOR Register'!$I$4:$I$43,MATCH($A35,'TOR Register'!$A$4:$A$43,0)),"")</f>
        <v/>
      </c>
      <c r="E35" s="53" t="n">
        <f aca="false">SUMIFS('Monthly Log'!$G$4:$G$303,'Monthly Log'!$A$4:$A$303,$C$4,'Monthly Log'!$B$4:$B$303,$A35)</f>
        <v>0</v>
      </c>
      <c r="F35" s="54" t="str">
        <f aca="false">IF(N($D35)=0,"",$E35/$D35)</f>
        <v/>
      </c>
      <c r="G35" s="55" t="str">
        <f aca="false">IF($A35="","",$D35-$E35)</f>
        <v/>
      </c>
      <c r="H35" s="56" t="n">
        <f aca="false">SUMIFS('Monthly Log'!$C$4:$C$303,'Monthly Log'!$A$4:$A$303,$C$4,'Monthly Log'!$B$4:$B$303,$A35)</f>
        <v>0</v>
      </c>
      <c r="I35" s="56" t="n">
        <f aca="false">SUMIFS('Monthly Log'!$D$4:$D$303,'Monthly Log'!$A$4:$A$303,$C$4,'Monthly Log'!$B$4:$B$303,$A35)</f>
        <v>0</v>
      </c>
      <c r="J35" s="57" t="str">
        <f aca="false">IF($H35=0,"",$I35/$H35)</f>
        <v/>
      </c>
      <c r="K35" s="56" t="n">
        <f aca="false">SUMIFS('Monthly Log'!$E$4:$E$303,'Monthly Log'!$A$4:$A$303,$C$4,'Monthly Log'!$B$4:$B$303,$A35)</f>
        <v>0</v>
      </c>
      <c r="L35" s="56" t="n">
        <f aca="false">SUMIFS('Monthly Log'!$F$4:$F$303,'Monthly Log'!$A$4:$A$303,$C$4,'Monthly Log'!$B$4:$B$303,$A35)</f>
        <v>0</v>
      </c>
      <c r="M35" s="57" t="str">
        <f aca="false">IF($K35=0,"",$L35/$K35)</f>
        <v/>
      </c>
      <c r="N35" s="56" t="n">
        <f aca="false">SUMIFS('Monthly Log'!$I$4:$I$303,'Monthly Log'!$A$4:$A$303,$C$4,'Monthly Log'!$B$4:$B$303,$A35)</f>
        <v>0</v>
      </c>
      <c r="O35" s="56" t="n">
        <f aca="false">SUMIFS('Monthly Log'!$J$4:$J$303,'Monthly Log'!$A$4:$A$303,$C$4,'Monthly Log'!$B$4:$B$303,$A35)</f>
        <v>0</v>
      </c>
      <c r="P35" s="56" t="n">
        <f aca="false">SUMIFS('Monthly Log'!$K$4:$K$303,'Monthly Log'!$A$4:$A$303,$C$4,'Monthly Log'!$B$4:$B$303,$A35)</f>
        <v>0</v>
      </c>
      <c r="Q35" s="56" t="n">
        <f aca="false">SUMIFS('Monthly Log'!$L$4:$L$303,'Monthly Log'!$A$4:$A$303,$C$4,'Monthly Log'!$B$4:$B$303,$A35)</f>
        <v>0</v>
      </c>
      <c r="R35" s="51" t="str">
        <f aca="false">IFERROR(INDEX('Monthly Log'!$M$4:$M$303,MATCH(TEXT($C$4,"YYYY-MM")&amp;"|"&amp;$A35,'Monthly Log'!$O$4:$O$303,0)),"")</f>
        <v/>
      </c>
      <c r="S35" s="36" t="str">
        <f aca="false">IF($A35="","",IF(AND($H35=0,$K35=0,$E35=0),"Not started",IF(OR(AND($D35&gt;0,$E35/$D35&gt;$C$10),AND($H35&gt;0,$I35/$H35&lt;$C$8),$P35&gt;=$C$11),"Red",IF(OR(AND($D35&gt;0,$E35/$D35&gt;$C$9),AND($H35&gt;0,$I35/$H35&lt;$C$7),AND($K35&gt;0,$L35/$K35&lt;$C$7),$P35&gt;0,$Q35&gt;0),"Amber","Green"))))</f>
        <v/>
      </c>
      <c r="T35" s="58" t="str">
        <f aca="false">IFERROR(INDEX('Monthly Log'!$N$4:$N$303,MATCH(TEXT($C$4,"YYYY-MM")&amp;"|"&amp;$A35,'Monthly Log'!$O$4:$O$303,0)),"")</f>
        <v/>
      </c>
    </row>
    <row r="36" customFormat="false" ht="15" hidden="false" customHeight="true" outlineLevel="0" collapsed="false">
      <c r="A36" s="51" t="str">
        <f aca="false">IF('TOR Register'!$A24="","",'TOR Register'!$A24)</f>
        <v/>
      </c>
      <c r="B36" s="52" t="str">
        <f aca="false">IFERROR(INDEX('TOR Register'!$B$4:$B$43,MATCH($A36,'TOR Register'!$A$4:$A$43,0)),"")</f>
        <v/>
      </c>
      <c r="C36" s="52" t="str">
        <f aca="false">IFERROR(INDEX('TOR Register'!$E$4:$E$43,MATCH($A36,'TOR Register'!$A$4:$A$43,0)),"")</f>
        <v/>
      </c>
      <c r="D36" s="53" t="str">
        <f aca="false">IFERROR(INDEX('TOR Register'!$I$4:$I$43,MATCH($A36,'TOR Register'!$A$4:$A$43,0)),"")</f>
        <v/>
      </c>
      <c r="E36" s="53" t="n">
        <f aca="false">SUMIFS('Monthly Log'!$G$4:$G$303,'Monthly Log'!$A$4:$A$303,$C$4,'Monthly Log'!$B$4:$B$303,$A36)</f>
        <v>0</v>
      </c>
      <c r="F36" s="54" t="str">
        <f aca="false">IF(N($D36)=0,"",$E36/$D36)</f>
        <v/>
      </c>
      <c r="G36" s="55" t="str">
        <f aca="false">IF($A36="","",$D36-$E36)</f>
        <v/>
      </c>
      <c r="H36" s="56" t="n">
        <f aca="false">SUMIFS('Monthly Log'!$C$4:$C$303,'Monthly Log'!$A$4:$A$303,$C$4,'Monthly Log'!$B$4:$B$303,$A36)</f>
        <v>0</v>
      </c>
      <c r="I36" s="56" t="n">
        <f aca="false">SUMIFS('Monthly Log'!$D$4:$D$303,'Monthly Log'!$A$4:$A$303,$C$4,'Monthly Log'!$B$4:$B$303,$A36)</f>
        <v>0</v>
      </c>
      <c r="J36" s="57" t="str">
        <f aca="false">IF($H36=0,"",$I36/$H36)</f>
        <v/>
      </c>
      <c r="K36" s="56" t="n">
        <f aca="false">SUMIFS('Monthly Log'!$E$4:$E$303,'Monthly Log'!$A$4:$A$303,$C$4,'Monthly Log'!$B$4:$B$303,$A36)</f>
        <v>0</v>
      </c>
      <c r="L36" s="56" t="n">
        <f aca="false">SUMIFS('Monthly Log'!$F$4:$F$303,'Monthly Log'!$A$4:$A$303,$C$4,'Monthly Log'!$B$4:$B$303,$A36)</f>
        <v>0</v>
      </c>
      <c r="M36" s="57" t="str">
        <f aca="false">IF($K36=0,"",$L36/$K36)</f>
        <v/>
      </c>
      <c r="N36" s="56" t="n">
        <f aca="false">SUMIFS('Monthly Log'!$I$4:$I$303,'Monthly Log'!$A$4:$A$303,$C$4,'Monthly Log'!$B$4:$B$303,$A36)</f>
        <v>0</v>
      </c>
      <c r="O36" s="56" t="n">
        <f aca="false">SUMIFS('Monthly Log'!$J$4:$J$303,'Monthly Log'!$A$4:$A$303,$C$4,'Monthly Log'!$B$4:$B$303,$A36)</f>
        <v>0</v>
      </c>
      <c r="P36" s="56" t="n">
        <f aca="false">SUMIFS('Monthly Log'!$K$4:$K$303,'Monthly Log'!$A$4:$A$303,$C$4,'Monthly Log'!$B$4:$B$303,$A36)</f>
        <v>0</v>
      </c>
      <c r="Q36" s="56" t="n">
        <f aca="false">SUMIFS('Monthly Log'!$L$4:$L$303,'Monthly Log'!$A$4:$A$303,$C$4,'Monthly Log'!$B$4:$B$303,$A36)</f>
        <v>0</v>
      </c>
      <c r="R36" s="51" t="str">
        <f aca="false">IFERROR(INDEX('Monthly Log'!$M$4:$M$303,MATCH(TEXT($C$4,"YYYY-MM")&amp;"|"&amp;$A36,'Monthly Log'!$O$4:$O$303,0)),"")</f>
        <v/>
      </c>
      <c r="S36" s="36" t="str">
        <f aca="false">IF($A36="","",IF(AND($H36=0,$K36=0,$E36=0),"Not started",IF(OR(AND($D36&gt;0,$E36/$D36&gt;$C$10),AND($H36&gt;0,$I36/$H36&lt;$C$8),$P36&gt;=$C$11),"Red",IF(OR(AND($D36&gt;0,$E36/$D36&gt;$C$9),AND($H36&gt;0,$I36/$H36&lt;$C$7),AND($K36&gt;0,$L36/$K36&lt;$C$7),$P36&gt;0,$Q36&gt;0),"Amber","Green"))))</f>
        <v/>
      </c>
      <c r="T36" s="58" t="str">
        <f aca="false">IFERROR(INDEX('Monthly Log'!$N$4:$N$303,MATCH(TEXT($C$4,"YYYY-MM")&amp;"|"&amp;$A36,'Monthly Log'!$O$4:$O$303,0)),"")</f>
        <v/>
      </c>
    </row>
    <row r="37" customFormat="false" ht="15" hidden="false" customHeight="true" outlineLevel="0" collapsed="false">
      <c r="A37" s="51" t="str">
        <f aca="false">IF('TOR Register'!$A25="","",'TOR Register'!$A25)</f>
        <v/>
      </c>
      <c r="B37" s="52" t="str">
        <f aca="false">IFERROR(INDEX('TOR Register'!$B$4:$B$43,MATCH($A37,'TOR Register'!$A$4:$A$43,0)),"")</f>
        <v/>
      </c>
      <c r="C37" s="52" t="str">
        <f aca="false">IFERROR(INDEX('TOR Register'!$E$4:$E$43,MATCH($A37,'TOR Register'!$A$4:$A$43,0)),"")</f>
        <v/>
      </c>
      <c r="D37" s="53" t="str">
        <f aca="false">IFERROR(INDEX('TOR Register'!$I$4:$I$43,MATCH($A37,'TOR Register'!$A$4:$A$43,0)),"")</f>
        <v/>
      </c>
      <c r="E37" s="53" t="n">
        <f aca="false">SUMIFS('Monthly Log'!$G$4:$G$303,'Monthly Log'!$A$4:$A$303,$C$4,'Monthly Log'!$B$4:$B$303,$A37)</f>
        <v>0</v>
      </c>
      <c r="F37" s="54" t="str">
        <f aca="false">IF(N($D37)=0,"",$E37/$D37)</f>
        <v/>
      </c>
      <c r="G37" s="55" t="str">
        <f aca="false">IF($A37="","",$D37-$E37)</f>
        <v/>
      </c>
      <c r="H37" s="56" t="n">
        <f aca="false">SUMIFS('Monthly Log'!$C$4:$C$303,'Monthly Log'!$A$4:$A$303,$C$4,'Monthly Log'!$B$4:$B$303,$A37)</f>
        <v>0</v>
      </c>
      <c r="I37" s="56" t="n">
        <f aca="false">SUMIFS('Monthly Log'!$D$4:$D$303,'Monthly Log'!$A$4:$A$303,$C$4,'Monthly Log'!$B$4:$B$303,$A37)</f>
        <v>0</v>
      </c>
      <c r="J37" s="57" t="str">
        <f aca="false">IF($H37=0,"",$I37/$H37)</f>
        <v/>
      </c>
      <c r="K37" s="56" t="n">
        <f aca="false">SUMIFS('Monthly Log'!$E$4:$E$303,'Monthly Log'!$A$4:$A$303,$C$4,'Monthly Log'!$B$4:$B$303,$A37)</f>
        <v>0</v>
      </c>
      <c r="L37" s="56" t="n">
        <f aca="false">SUMIFS('Monthly Log'!$F$4:$F$303,'Monthly Log'!$A$4:$A$303,$C$4,'Monthly Log'!$B$4:$B$303,$A37)</f>
        <v>0</v>
      </c>
      <c r="M37" s="57" t="str">
        <f aca="false">IF($K37=0,"",$L37/$K37)</f>
        <v/>
      </c>
      <c r="N37" s="56" t="n">
        <f aca="false">SUMIFS('Monthly Log'!$I$4:$I$303,'Monthly Log'!$A$4:$A$303,$C$4,'Monthly Log'!$B$4:$B$303,$A37)</f>
        <v>0</v>
      </c>
      <c r="O37" s="56" t="n">
        <f aca="false">SUMIFS('Monthly Log'!$J$4:$J$303,'Monthly Log'!$A$4:$A$303,$C$4,'Monthly Log'!$B$4:$B$303,$A37)</f>
        <v>0</v>
      </c>
      <c r="P37" s="56" t="n">
        <f aca="false">SUMIFS('Monthly Log'!$K$4:$K$303,'Monthly Log'!$A$4:$A$303,$C$4,'Monthly Log'!$B$4:$B$303,$A37)</f>
        <v>0</v>
      </c>
      <c r="Q37" s="56" t="n">
        <f aca="false">SUMIFS('Monthly Log'!$L$4:$L$303,'Monthly Log'!$A$4:$A$303,$C$4,'Monthly Log'!$B$4:$B$303,$A37)</f>
        <v>0</v>
      </c>
      <c r="R37" s="51" t="str">
        <f aca="false">IFERROR(INDEX('Monthly Log'!$M$4:$M$303,MATCH(TEXT($C$4,"YYYY-MM")&amp;"|"&amp;$A37,'Monthly Log'!$O$4:$O$303,0)),"")</f>
        <v/>
      </c>
      <c r="S37" s="36" t="str">
        <f aca="false">IF($A37="","",IF(AND($H37=0,$K37=0,$E37=0),"Not started",IF(OR(AND($D37&gt;0,$E37/$D37&gt;$C$10),AND($H37&gt;0,$I37/$H37&lt;$C$8),$P37&gt;=$C$11),"Red",IF(OR(AND($D37&gt;0,$E37/$D37&gt;$C$9),AND($H37&gt;0,$I37/$H37&lt;$C$7),AND($K37&gt;0,$L37/$K37&lt;$C$7),$P37&gt;0,$Q37&gt;0),"Amber","Green"))))</f>
        <v/>
      </c>
      <c r="T37" s="58" t="str">
        <f aca="false">IFERROR(INDEX('Monthly Log'!$N$4:$N$303,MATCH(TEXT($C$4,"YYYY-MM")&amp;"|"&amp;$A37,'Monthly Log'!$O$4:$O$303,0)),"")</f>
        <v/>
      </c>
    </row>
    <row r="38" customFormat="false" ht="15" hidden="false" customHeight="true" outlineLevel="0" collapsed="false">
      <c r="A38" s="51" t="str">
        <f aca="false">IF('TOR Register'!$A26="","",'TOR Register'!$A26)</f>
        <v/>
      </c>
      <c r="B38" s="52" t="str">
        <f aca="false">IFERROR(INDEX('TOR Register'!$B$4:$B$43,MATCH($A38,'TOR Register'!$A$4:$A$43,0)),"")</f>
        <v/>
      </c>
      <c r="C38" s="52" t="str">
        <f aca="false">IFERROR(INDEX('TOR Register'!$E$4:$E$43,MATCH($A38,'TOR Register'!$A$4:$A$43,0)),"")</f>
        <v/>
      </c>
      <c r="D38" s="53" t="str">
        <f aca="false">IFERROR(INDEX('TOR Register'!$I$4:$I$43,MATCH($A38,'TOR Register'!$A$4:$A$43,0)),"")</f>
        <v/>
      </c>
      <c r="E38" s="53" t="n">
        <f aca="false">SUMIFS('Monthly Log'!$G$4:$G$303,'Monthly Log'!$A$4:$A$303,$C$4,'Monthly Log'!$B$4:$B$303,$A38)</f>
        <v>0</v>
      </c>
      <c r="F38" s="54" t="str">
        <f aca="false">IF(N($D38)=0,"",$E38/$D38)</f>
        <v/>
      </c>
      <c r="G38" s="55" t="str">
        <f aca="false">IF($A38="","",$D38-$E38)</f>
        <v/>
      </c>
      <c r="H38" s="56" t="n">
        <f aca="false">SUMIFS('Monthly Log'!$C$4:$C$303,'Monthly Log'!$A$4:$A$303,$C$4,'Monthly Log'!$B$4:$B$303,$A38)</f>
        <v>0</v>
      </c>
      <c r="I38" s="56" t="n">
        <f aca="false">SUMIFS('Monthly Log'!$D$4:$D$303,'Monthly Log'!$A$4:$A$303,$C$4,'Monthly Log'!$B$4:$B$303,$A38)</f>
        <v>0</v>
      </c>
      <c r="J38" s="57" t="str">
        <f aca="false">IF($H38=0,"",$I38/$H38)</f>
        <v/>
      </c>
      <c r="K38" s="56" t="n">
        <f aca="false">SUMIFS('Monthly Log'!$E$4:$E$303,'Monthly Log'!$A$4:$A$303,$C$4,'Monthly Log'!$B$4:$B$303,$A38)</f>
        <v>0</v>
      </c>
      <c r="L38" s="56" t="n">
        <f aca="false">SUMIFS('Monthly Log'!$F$4:$F$303,'Monthly Log'!$A$4:$A$303,$C$4,'Monthly Log'!$B$4:$B$303,$A38)</f>
        <v>0</v>
      </c>
      <c r="M38" s="57" t="str">
        <f aca="false">IF($K38=0,"",$L38/$K38)</f>
        <v/>
      </c>
      <c r="N38" s="56" t="n">
        <f aca="false">SUMIFS('Monthly Log'!$I$4:$I$303,'Monthly Log'!$A$4:$A$303,$C$4,'Monthly Log'!$B$4:$B$303,$A38)</f>
        <v>0</v>
      </c>
      <c r="O38" s="56" t="n">
        <f aca="false">SUMIFS('Monthly Log'!$J$4:$J$303,'Monthly Log'!$A$4:$A$303,$C$4,'Monthly Log'!$B$4:$B$303,$A38)</f>
        <v>0</v>
      </c>
      <c r="P38" s="56" t="n">
        <f aca="false">SUMIFS('Monthly Log'!$K$4:$K$303,'Monthly Log'!$A$4:$A$303,$C$4,'Monthly Log'!$B$4:$B$303,$A38)</f>
        <v>0</v>
      </c>
      <c r="Q38" s="56" t="n">
        <f aca="false">SUMIFS('Monthly Log'!$L$4:$L$303,'Monthly Log'!$A$4:$A$303,$C$4,'Monthly Log'!$B$4:$B$303,$A38)</f>
        <v>0</v>
      </c>
      <c r="R38" s="51" t="str">
        <f aca="false">IFERROR(INDEX('Monthly Log'!$M$4:$M$303,MATCH(TEXT($C$4,"YYYY-MM")&amp;"|"&amp;$A38,'Monthly Log'!$O$4:$O$303,0)),"")</f>
        <v/>
      </c>
      <c r="S38" s="36" t="str">
        <f aca="false">IF($A38="","",IF(AND($H38=0,$K38=0,$E38=0),"Not started",IF(OR(AND($D38&gt;0,$E38/$D38&gt;$C$10),AND($H38&gt;0,$I38/$H38&lt;$C$8),$P38&gt;=$C$11),"Red",IF(OR(AND($D38&gt;0,$E38/$D38&gt;$C$9),AND($H38&gt;0,$I38/$H38&lt;$C$7),AND($K38&gt;0,$L38/$K38&lt;$C$7),$P38&gt;0,$Q38&gt;0),"Amber","Green"))))</f>
        <v/>
      </c>
      <c r="T38" s="58" t="str">
        <f aca="false">IFERROR(INDEX('Monthly Log'!$N$4:$N$303,MATCH(TEXT($C$4,"YYYY-MM")&amp;"|"&amp;$A38,'Monthly Log'!$O$4:$O$303,0)),"")</f>
        <v/>
      </c>
    </row>
    <row r="39" customFormat="false" ht="15" hidden="false" customHeight="true" outlineLevel="0" collapsed="false">
      <c r="A39" s="51" t="str">
        <f aca="false">IF('TOR Register'!$A27="","",'TOR Register'!$A27)</f>
        <v/>
      </c>
      <c r="B39" s="52" t="str">
        <f aca="false">IFERROR(INDEX('TOR Register'!$B$4:$B$43,MATCH($A39,'TOR Register'!$A$4:$A$43,0)),"")</f>
        <v/>
      </c>
      <c r="C39" s="52" t="str">
        <f aca="false">IFERROR(INDEX('TOR Register'!$E$4:$E$43,MATCH($A39,'TOR Register'!$A$4:$A$43,0)),"")</f>
        <v/>
      </c>
      <c r="D39" s="53" t="str">
        <f aca="false">IFERROR(INDEX('TOR Register'!$I$4:$I$43,MATCH($A39,'TOR Register'!$A$4:$A$43,0)),"")</f>
        <v/>
      </c>
      <c r="E39" s="53" t="n">
        <f aca="false">SUMIFS('Monthly Log'!$G$4:$G$303,'Monthly Log'!$A$4:$A$303,$C$4,'Monthly Log'!$B$4:$B$303,$A39)</f>
        <v>0</v>
      </c>
      <c r="F39" s="54" t="str">
        <f aca="false">IF(N($D39)=0,"",$E39/$D39)</f>
        <v/>
      </c>
      <c r="G39" s="55" t="str">
        <f aca="false">IF($A39="","",$D39-$E39)</f>
        <v/>
      </c>
      <c r="H39" s="56" t="n">
        <f aca="false">SUMIFS('Monthly Log'!$C$4:$C$303,'Monthly Log'!$A$4:$A$303,$C$4,'Monthly Log'!$B$4:$B$303,$A39)</f>
        <v>0</v>
      </c>
      <c r="I39" s="56" t="n">
        <f aca="false">SUMIFS('Monthly Log'!$D$4:$D$303,'Monthly Log'!$A$4:$A$303,$C$4,'Monthly Log'!$B$4:$B$303,$A39)</f>
        <v>0</v>
      </c>
      <c r="J39" s="57" t="str">
        <f aca="false">IF($H39=0,"",$I39/$H39)</f>
        <v/>
      </c>
      <c r="K39" s="56" t="n">
        <f aca="false">SUMIFS('Monthly Log'!$E$4:$E$303,'Monthly Log'!$A$4:$A$303,$C$4,'Monthly Log'!$B$4:$B$303,$A39)</f>
        <v>0</v>
      </c>
      <c r="L39" s="56" t="n">
        <f aca="false">SUMIFS('Monthly Log'!$F$4:$F$303,'Monthly Log'!$A$4:$A$303,$C$4,'Monthly Log'!$B$4:$B$303,$A39)</f>
        <v>0</v>
      </c>
      <c r="M39" s="57" t="str">
        <f aca="false">IF($K39=0,"",$L39/$K39)</f>
        <v/>
      </c>
      <c r="N39" s="56" t="n">
        <f aca="false">SUMIFS('Monthly Log'!$I$4:$I$303,'Monthly Log'!$A$4:$A$303,$C$4,'Monthly Log'!$B$4:$B$303,$A39)</f>
        <v>0</v>
      </c>
      <c r="O39" s="56" t="n">
        <f aca="false">SUMIFS('Monthly Log'!$J$4:$J$303,'Monthly Log'!$A$4:$A$303,$C$4,'Monthly Log'!$B$4:$B$303,$A39)</f>
        <v>0</v>
      </c>
      <c r="P39" s="56" t="n">
        <f aca="false">SUMIFS('Monthly Log'!$K$4:$K$303,'Monthly Log'!$A$4:$A$303,$C$4,'Monthly Log'!$B$4:$B$303,$A39)</f>
        <v>0</v>
      </c>
      <c r="Q39" s="56" t="n">
        <f aca="false">SUMIFS('Monthly Log'!$L$4:$L$303,'Monthly Log'!$A$4:$A$303,$C$4,'Monthly Log'!$B$4:$B$303,$A39)</f>
        <v>0</v>
      </c>
      <c r="R39" s="51" t="str">
        <f aca="false">IFERROR(INDEX('Monthly Log'!$M$4:$M$303,MATCH(TEXT($C$4,"YYYY-MM")&amp;"|"&amp;$A39,'Monthly Log'!$O$4:$O$303,0)),"")</f>
        <v/>
      </c>
      <c r="S39" s="36" t="str">
        <f aca="false">IF($A39="","",IF(AND($H39=0,$K39=0,$E39=0),"Not started",IF(OR(AND($D39&gt;0,$E39/$D39&gt;$C$10),AND($H39&gt;0,$I39/$H39&lt;$C$8),$P39&gt;=$C$11),"Red",IF(OR(AND($D39&gt;0,$E39/$D39&gt;$C$9),AND($H39&gt;0,$I39/$H39&lt;$C$7),AND($K39&gt;0,$L39/$K39&lt;$C$7),$P39&gt;0,$Q39&gt;0),"Amber","Green"))))</f>
        <v/>
      </c>
      <c r="T39" s="58" t="str">
        <f aca="false">IFERROR(INDEX('Monthly Log'!$N$4:$N$303,MATCH(TEXT($C$4,"YYYY-MM")&amp;"|"&amp;$A39,'Monthly Log'!$O$4:$O$303,0)),"")</f>
        <v/>
      </c>
    </row>
    <row r="40" customFormat="false" ht="15" hidden="false" customHeight="true" outlineLevel="0" collapsed="false">
      <c r="A40" s="51" t="str">
        <f aca="false">IF('TOR Register'!$A28="","",'TOR Register'!$A28)</f>
        <v/>
      </c>
      <c r="B40" s="52" t="str">
        <f aca="false">IFERROR(INDEX('TOR Register'!$B$4:$B$43,MATCH($A40,'TOR Register'!$A$4:$A$43,0)),"")</f>
        <v/>
      </c>
      <c r="C40" s="52" t="str">
        <f aca="false">IFERROR(INDEX('TOR Register'!$E$4:$E$43,MATCH($A40,'TOR Register'!$A$4:$A$43,0)),"")</f>
        <v/>
      </c>
      <c r="D40" s="53" t="str">
        <f aca="false">IFERROR(INDEX('TOR Register'!$I$4:$I$43,MATCH($A40,'TOR Register'!$A$4:$A$43,0)),"")</f>
        <v/>
      </c>
      <c r="E40" s="53" t="n">
        <f aca="false">SUMIFS('Monthly Log'!$G$4:$G$303,'Monthly Log'!$A$4:$A$303,$C$4,'Monthly Log'!$B$4:$B$303,$A40)</f>
        <v>0</v>
      </c>
      <c r="F40" s="54" t="str">
        <f aca="false">IF(N($D40)=0,"",$E40/$D40)</f>
        <v/>
      </c>
      <c r="G40" s="55" t="str">
        <f aca="false">IF($A40="","",$D40-$E40)</f>
        <v/>
      </c>
      <c r="H40" s="56" t="n">
        <f aca="false">SUMIFS('Monthly Log'!$C$4:$C$303,'Monthly Log'!$A$4:$A$303,$C$4,'Monthly Log'!$B$4:$B$303,$A40)</f>
        <v>0</v>
      </c>
      <c r="I40" s="56" t="n">
        <f aca="false">SUMIFS('Monthly Log'!$D$4:$D$303,'Monthly Log'!$A$4:$A$303,$C$4,'Monthly Log'!$B$4:$B$303,$A40)</f>
        <v>0</v>
      </c>
      <c r="J40" s="57" t="str">
        <f aca="false">IF($H40=0,"",$I40/$H40)</f>
        <v/>
      </c>
      <c r="K40" s="56" t="n">
        <f aca="false">SUMIFS('Monthly Log'!$E$4:$E$303,'Monthly Log'!$A$4:$A$303,$C$4,'Monthly Log'!$B$4:$B$303,$A40)</f>
        <v>0</v>
      </c>
      <c r="L40" s="56" t="n">
        <f aca="false">SUMIFS('Monthly Log'!$F$4:$F$303,'Monthly Log'!$A$4:$A$303,$C$4,'Monthly Log'!$B$4:$B$303,$A40)</f>
        <v>0</v>
      </c>
      <c r="M40" s="57" t="str">
        <f aca="false">IF($K40=0,"",$L40/$K40)</f>
        <v/>
      </c>
      <c r="N40" s="56" t="n">
        <f aca="false">SUMIFS('Monthly Log'!$I$4:$I$303,'Monthly Log'!$A$4:$A$303,$C$4,'Monthly Log'!$B$4:$B$303,$A40)</f>
        <v>0</v>
      </c>
      <c r="O40" s="56" t="n">
        <f aca="false">SUMIFS('Monthly Log'!$J$4:$J$303,'Monthly Log'!$A$4:$A$303,$C$4,'Monthly Log'!$B$4:$B$303,$A40)</f>
        <v>0</v>
      </c>
      <c r="P40" s="56" t="n">
        <f aca="false">SUMIFS('Monthly Log'!$K$4:$K$303,'Monthly Log'!$A$4:$A$303,$C$4,'Monthly Log'!$B$4:$B$303,$A40)</f>
        <v>0</v>
      </c>
      <c r="Q40" s="56" t="n">
        <f aca="false">SUMIFS('Monthly Log'!$L$4:$L$303,'Monthly Log'!$A$4:$A$303,$C$4,'Monthly Log'!$B$4:$B$303,$A40)</f>
        <v>0</v>
      </c>
      <c r="R40" s="51" t="str">
        <f aca="false">IFERROR(INDEX('Monthly Log'!$M$4:$M$303,MATCH(TEXT($C$4,"YYYY-MM")&amp;"|"&amp;$A40,'Monthly Log'!$O$4:$O$303,0)),"")</f>
        <v/>
      </c>
      <c r="S40" s="36" t="str">
        <f aca="false">IF($A40="","",IF(AND($H40=0,$K40=0,$E40=0),"Not started",IF(OR(AND($D40&gt;0,$E40/$D40&gt;$C$10),AND($H40&gt;0,$I40/$H40&lt;$C$8),$P40&gt;=$C$11),"Red",IF(OR(AND($D40&gt;0,$E40/$D40&gt;$C$9),AND($H40&gt;0,$I40/$H40&lt;$C$7),AND($K40&gt;0,$L40/$K40&lt;$C$7),$P40&gt;0,$Q40&gt;0),"Amber","Green"))))</f>
        <v/>
      </c>
      <c r="T40" s="58" t="str">
        <f aca="false">IFERROR(INDEX('Monthly Log'!$N$4:$N$303,MATCH(TEXT($C$4,"YYYY-MM")&amp;"|"&amp;$A40,'Monthly Log'!$O$4:$O$303,0)),"")</f>
        <v/>
      </c>
    </row>
    <row r="41" customFormat="false" ht="15" hidden="false" customHeight="true" outlineLevel="0" collapsed="false">
      <c r="A41" s="51" t="str">
        <f aca="false">IF('TOR Register'!$A29="","",'TOR Register'!$A29)</f>
        <v/>
      </c>
      <c r="B41" s="52" t="str">
        <f aca="false">IFERROR(INDEX('TOR Register'!$B$4:$B$43,MATCH($A41,'TOR Register'!$A$4:$A$43,0)),"")</f>
        <v/>
      </c>
      <c r="C41" s="52" t="str">
        <f aca="false">IFERROR(INDEX('TOR Register'!$E$4:$E$43,MATCH($A41,'TOR Register'!$A$4:$A$43,0)),"")</f>
        <v/>
      </c>
      <c r="D41" s="53" t="str">
        <f aca="false">IFERROR(INDEX('TOR Register'!$I$4:$I$43,MATCH($A41,'TOR Register'!$A$4:$A$43,0)),"")</f>
        <v/>
      </c>
      <c r="E41" s="53" t="n">
        <f aca="false">SUMIFS('Monthly Log'!$G$4:$G$303,'Monthly Log'!$A$4:$A$303,$C$4,'Monthly Log'!$B$4:$B$303,$A41)</f>
        <v>0</v>
      </c>
      <c r="F41" s="54" t="str">
        <f aca="false">IF(N($D41)=0,"",$E41/$D41)</f>
        <v/>
      </c>
      <c r="G41" s="55" t="str">
        <f aca="false">IF($A41="","",$D41-$E41)</f>
        <v/>
      </c>
      <c r="H41" s="56" t="n">
        <f aca="false">SUMIFS('Monthly Log'!$C$4:$C$303,'Monthly Log'!$A$4:$A$303,$C$4,'Monthly Log'!$B$4:$B$303,$A41)</f>
        <v>0</v>
      </c>
      <c r="I41" s="56" t="n">
        <f aca="false">SUMIFS('Monthly Log'!$D$4:$D$303,'Monthly Log'!$A$4:$A$303,$C$4,'Monthly Log'!$B$4:$B$303,$A41)</f>
        <v>0</v>
      </c>
      <c r="J41" s="57" t="str">
        <f aca="false">IF($H41=0,"",$I41/$H41)</f>
        <v/>
      </c>
      <c r="K41" s="56" t="n">
        <f aca="false">SUMIFS('Monthly Log'!$E$4:$E$303,'Monthly Log'!$A$4:$A$303,$C$4,'Monthly Log'!$B$4:$B$303,$A41)</f>
        <v>0</v>
      </c>
      <c r="L41" s="56" t="n">
        <f aca="false">SUMIFS('Monthly Log'!$F$4:$F$303,'Monthly Log'!$A$4:$A$303,$C$4,'Monthly Log'!$B$4:$B$303,$A41)</f>
        <v>0</v>
      </c>
      <c r="M41" s="57" t="str">
        <f aca="false">IF($K41=0,"",$L41/$K41)</f>
        <v/>
      </c>
      <c r="N41" s="56" t="n">
        <f aca="false">SUMIFS('Monthly Log'!$I$4:$I$303,'Monthly Log'!$A$4:$A$303,$C$4,'Monthly Log'!$B$4:$B$303,$A41)</f>
        <v>0</v>
      </c>
      <c r="O41" s="56" t="n">
        <f aca="false">SUMIFS('Monthly Log'!$J$4:$J$303,'Monthly Log'!$A$4:$A$303,$C$4,'Monthly Log'!$B$4:$B$303,$A41)</f>
        <v>0</v>
      </c>
      <c r="P41" s="56" t="n">
        <f aca="false">SUMIFS('Monthly Log'!$K$4:$K$303,'Monthly Log'!$A$4:$A$303,$C$4,'Monthly Log'!$B$4:$B$303,$A41)</f>
        <v>0</v>
      </c>
      <c r="Q41" s="56" t="n">
        <f aca="false">SUMIFS('Monthly Log'!$L$4:$L$303,'Monthly Log'!$A$4:$A$303,$C$4,'Monthly Log'!$B$4:$B$303,$A41)</f>
        <v>0</v>
      </c>
      <c r="R41" s="51" t="str">
        <f aca="false">IFERROR(INDEX('Monthly Log'!$M$4:$M$303,MATCH(TEXT($C$4,"YYYY-MM")&amp;"|"&amp;$A41,'Monthly Log'!$O$4:$O$303,0)),"")</f>
        <v/>
      </c>
      <c r="S41" s="36" t="str">
        <f aca="false">IF($A41="","",IF(AND($H41=0,$K41=0,$E41=0),"Not started",IF(OR(AND($D41&gt;0,$E41/$D41&gt;$C$10),AND($H41&gt;0,$I41/$H41&lt;$C$8),$P41&gt;=$C$11),"Red",IF(OR(AND($D41&gt;0,$E41/$D41&gt;$C$9),AND($H41&gt;0,$I41/$H41&lt;$C$7),AND($K41&gt;0,$L41/$K41&lt;$C$7),$P41&gt;0,$Q41&gt;0),"Amber","Green"))))</f>
        <v/>
      </c>
      <c r="T41" s="58" t="str">
        <f aca="false">IFERROR(INDEX('Monthly Log'!$N$4:$N$303,MATCH(TEXT($C$4,"YYYY-MM")&amp;"|"&amp;$A41,'Monthly Log'!$O$4:$O$303,0)),"")</f>
        <v/>
      </c>
    </row>
    <row r="42" customFormat="false" ht="15" hidden="false" customHeight="true" outlineLevel="0" collapsed="false">
      <c r="A42" s="51" t="str">
        <f aca="false">IF('TOR Register'!$A30="","",'TOR Register'!$A30)</f>
        <v/>
      </c>
      <c r="B42" s="52" t="str">
        <f aca="false">IFERROR(INDEX('TOR Register'!$B$4:$B$43,MATCH($A42,'TOR Register'!$A$4:$A$43,0)),"")</f>
        <v/>
      </c>
      <c r="C42" s="52" t="str">
        <f aca="false">IFERROR(INDEX('TOR Register'!$E$4:$E$43,MATCH($A42,'TOR Register'!$A$4:$A$43,0)),"")</f>
        <v/>
      </c>
      <c r="D42" s="53" t="str">
        <f aca="false">IFERROR(INDEX('TOR Register'!$I$4:$I$43,MATCH($A42,'TOR Register'!$A$4:$A$43,0)),"")</f>
        <v/>
      </c>
      <c r="E42" s="53" t="n">
        <f aca="false">SUMIFS('Monthly Log'!$G$4:$G$303,'Monthly Log'!$A$4:$A$303,$C$4,'Monthly Log'!$B$4:$B$303,$A42)</f>
        <v>0</v>
      </c>
      <c r="F42" s="54" t="str">
        <f aca="false">IF(N($D42)=0,"",$E42/$D42)</f>
        <v/>
      </c>
      <c r="G42" s="55" t="str">
        <f aca="false">IF($A42="","",$D42-$E42)</f>
        <v/>
      </c>
      <c r="H42" s="56" t="n">
        <f aca="false">SUMIFS('Monthly Log'!$C$4:$C$303,'Monthly Log'!$A$4:$A$303,$C$4,'Monthly Log'!$B$4:$B$303,$A42)</f>
        <v>0</v>
      </c>
      <c r="I42" s="56" t="n">
        <f aca="false">SUMIFS('Monthly Log'!$D$4:$D$303,'Monthly Log'!$A$4:$A$303,$C$4,'Monthly Log'!$B$4:$B$303,$A42)</f>
        <v>0</v>
      </c>
      <c r="J42" s="57" t="str">
        <f aca="false">IF($H42=0,"",$I42/$H42)</f>
        <v/>
      </c>
      <c r="K42" s="56" t="n">
        <f aca="false">SUMIFS('Monthly Log'!$E$4:$E$303,'Monthly Log'!$A$4:$A$303,$C$4,'Monthly Log'!$B$4:$B$303,$A42)</f>
        <v>0</v>
      </c>
      <c r="L42" s="56" t="n">
        <f aca="false">SUMIFS('Monthly Log'!$F$4:$F$303,'Monthly Log'!$A$4:$A$303,$C$4,'Monthly Log'!$B$4:$B$303,$A42)</f>
        <v>0</v>
      </c>
      <c r="M42" s="57" t="str">
        <f aca="false">IF($K42=0,"",$L42/$K42)</f>
        <v/>
      </c>
      <c r="N42" s="56" t="n">
        <f aca="false">SUMIFS('Monthly Log'!$I$4:$I$303,'Monthly Log'!$A$4:$A$303,$C$4,'Monthly Log'!$B$4:$B$303,$A42)</f>
        <v>0</v>
      </c>
      <c r="O42" s="56" t="n">
        <f aca="false">SUMIFS('Monthly Log'!$J$4:$J$303,'Monthly Log'!$A$4:$A$303,$C$4,'Monthly Log'!$B$4:$B$303,$A42)</f>
        <v>0</v>
      </c>
      <c r="P42" s="56" t="n">
        <f aca="false">SUMIFS('Monthly Log'!$K$4:$K$303,'Monthly Log'!$A$4:$A$303,$C$4,'Monthly Log'!$B$4:$B$303,$A42)</f>
        <v>0</v>
      </c>
      <c r="Q42" s="56" t="n">
        <f aca="false">SUMIFS('Monthly Log'!$L$4:$L$303,'Monthly Log'!$A$4:$A$303,$C$4,'Monthly Log'!$B$4:$B$303,$A42)</f>
        <v>0</v>
      </c>
      <c r="R42" s="51" t="str">
        <f aca="false">IFERROR(INDEX('Monthly Log'!$M$4:$M$303,MATCH(TEXT($C$4,"YYYY-MM")&amp;"|"&amp;$A42,'Monthly Log'!$O$4:$O$303,0)),"")</f>
        <v/>
      </c>
      <c r="S42" s="36" t="str">
        <f aca="false">IF($A42="","",IF(AND($H42=0,$K42=0,$E42=0),"Not started",IF(OR(AND($D42&gt;0,$E42/$D42&gt;$C$10),AND($H42&gt;0,$I42/$H42&lt;$C$8),$P42&gt;=$C$11),"Red",IF(OR(AND($D42&gt;0,$E42/$D42&gt;$C$9),AND($H42&gt;0,$I42/$H42&lt;$C$7),AND($K42&gt;0,$L42/$K42&lt;$C$7),$P42&gt;0,$Q42&gt;0),"Amber","Green"))))</f>
        <v/>
      </c>
      <c r="T42" s="58" t="str">
        <f aca="false">IFERROR(INDEX('Monthly Log'!$N$4:$N$303,MATCH(TEXT($C$4,"YYYY-MM")&amp;"|"&amp;$A42,'Monthly Log'!$O$4:$O$303,0)),"")</f>
        <v/>
      </c>
    </row>
    <row r="43" customFormat="false" ht="15" hidden="false" customHeight="true" outlineLevel="0" collapsed="false">
      <c r="A43" s="51" t="str">
        <f aca="false">IF('TOR Register'!$A31="","",'TOR Register'!$A31)</f>
        <v/>
      </c>
      <c r="B43" s="52" t="str">
        <f aca="false">IFERROR(INDEX('TOR Register'!$B$4:$B$43,MATCH($A43,'TOR Register'!$A$4:$A$43,0)),"")</f>
        <v/>
      </c>
      <c r="C43" s="52" t="str">
        <f aca="false">IFERROR(INDEX('TOR Register'!$E$4:$E$43,MATCH($A43,'TOR Register'!$A$4:$A$43,0)),"")</f>
        <v/>
      </c>
      <c r="D43" s="53" t="str">
        <f aca="false">IFERROR(INDEX('TOR Register'!$I$4:$I$43,MATCH($A43,'TOR Register'!$A$4:$A$43,0)),"")</f>
        <v/>
      </c>
      <c r="E43" s="53" t="n">
        <f aca="false">SUMIFS('Monthly Log'!$G$4:$G$303,'Monthly Log'!$A$4:$A$303,$C$4,'Monthly Log'!$B$4:$B$303,$A43)</f>
        <v>0</v>
      </c>
      <c r="F43" s="54" t="str">
        <f aca="false">IF(N($D43)=0,"",$E43/$D43)</f>
        <v/>
      </c>
      <c r="G43" s="55" t="str">
        <f aca="false">IF($A43="","",$D43-$E43)</f>
        <v/>
      </c>
      <c r="H43" s="56" t="n">
        <f aca="false">SUMIFS('Monthly Log'!$C$4:$C$303,'Monthly Log'!$A$4:$A$303,$C$4,'Monthly Log'!$B$4:$B$303,$A43)</f>
        <v>0</v>
      </c>
      <c r="I43" s="56" t="n">
        <f aca="false">SUMIFS('Monthly Log'!$D$4:$D$303,'Monthly Log'!$A$4:$A$303,$C$4,'Monthly Log'!$B$4:$B$303,$A43)</f>
        <v>0</v>
      </c>
      <c r="J43" s="57" t="str">
        <f aca="false">IF($H43=0,"",$I43/$H43)</f>
        <v/>
      </c>
      <c r="K43" s="56" t="n">
        <f aca="false">SUMIFS('Monthly Log'!$E$4:$E$303,'Monthly Log'!$A$4:$A$303,$C$4,'Monthly Log'!$B$4:$B$303,$A43)</f>
        <v>0</v>
      </c>
      <c r="L43" s="56" t="n">
        <f aca="false">SUMIFS('Monthly Log'!$F$4:$F$303,'Monthly Log'!$A$4:$A$303,$C$4,'Monthly Log'!$B$4:$B$303,$A43)</f>
        <v>0</v>
      </c>
      <c r="M43" s="57" t="str">
        <f aca="false">IF($K43=0,"",$L43/$K43)</f>
        <v/>
      </c>
      <c r="N43" s="56" t="n">
        <f aca="false">SUMIFS('Monthly Log'!$I$4:$I$303,'Monthly Log'!$A$4:$A$303,$C$4,'Monthly Log'!$B$4:$B$303,$A43)</f>
        <v>0</v>
      </c>
      <c r="O43" s="56" t="n">
        <f aca="false">SUMIFS('Monthly Log'!$J$4:$J$303,'Monthly Log'!$A$4:$A$303,$C$4,'Monthly Log'!$B$4:$B$303,$A43)</f>
        <v>0</v>
      </c>
      <c r="P43" s="56" t="n">
        <f aca="false">SUMIFS('Monthly Log'!$K$4:$K$303,'Monthly Log'!$A$4:$A$303,$C$4,'Monthly Log'!$B$4:$B$303,$A43)</f>
        <v>0</v>
      </c>
      <c r="Q43" s="56" t="n">
        <f aca="false">SUMIFS('Monthly Log'!$L$4:$L$303,'Monthly Log'!$A$4:$A$303,$C$4,'Monthly Log'!$B$4:$B$303,$A43)</f>
        <v>0</v>
      </c>
      <c r="R43" s="51" t="str">
        <f aca="false">IFERROR(INDEX('Monthly Log'!$M$4:$M$303,MATCH(TEXT($C$4,"YYYY-MM")&amp;"|"&amp;$A43,'Monthly Log'!$O$4:$O$303,0)),"")</f>
        <v/>
      </c>
      <c r="S43" s="36" t="str">
        <f aca="false">IF($A43="","",IF(AND($H43=0,$K43=0,$E43=0),"Not started",IF(OR(AND($D43&gt;0,$E43/$D43&gt;$C$10),AND($H43&gt;0,$I43/$H43&lt;$C$8),$P43&gt;=$C$11),"Red",IF(OR(AND($D43&gt;0,$E43/$D43&gt;$C$9),AND($H43&gt;0,$I43/$H43&lt;$C$7),AND($K43&gt;0,$L43/$K43&lt;$C$7),$P43&gt;0,$Q43&gt;0),"Amber","Green"))))</f>
        <v/>
      </c>
      <c r="T43" s="58" t="str">
        <f aca="false">IFERROR(INDEX('Monthly Log'!$N$4:$N$303,MATCH(TEXT($C$4,"YYYY-MM")&amp;"|"&amp;$A43,'Monthly Log'!$O$4:$O$303,0)),"")</f>
        <v/>
      </c>
    </row>
    <row r="44" customFormat="false" ht="15" hidden="false" customHeight="true" outlineLevel="0" collapsed="false">
      <c r="A44" s="51" t="str">
        <f aca="false">IF('TOR Register'!$A32="","",'TOR Register'!$A32)</f>
        <v/>
      </c>
      <c r="B44" s="52" t="str">
        <f aca="false">IFERROR(INDEX('TOR Register'!$B$4:$B$43,MATCH($A44,'TOR Register'!$A$4:$A$43,0)),"")</f>
        <v/>
      </c>
      <c r="C44" s="52" t="str">
        <f aca="false">IFERROR(INDEX('TOR Register'!$E$4:$E$43,MATCH($A44,'TOR Register'!$A$4:$A$43,0)),"")</f>
        <v/>
      </c>
      <c r="D44" s="53" t="str">
        <f aca="false">IFERROR(INDEX('TOR Register'!$I$4:$I$43,MATCH($A44,'TOR Register'!$A$4:$A$43,0)),"")</f>
        <v/>
      </c>
      <c r="E44" s="53" t="n">
        <f aca="false">SUMIFS('Monthly Log'!$G$4:$G$303,'Monthly Log'!$A$4:$A$303,$C$4,'Monthly Log'!$B$4:$B$303,$A44)</f>
        <v>0</v>
      </c>
      <c r="F44" s="54" t="str">
        <f aca="false">IF(N($D44)=0,"",$E44/$D44)</f>
        <v/>
      </c>
      <c r="G44" s="55" t="str">
        <f aca="false">IF($A44="","",$D44-$E44)</f>
        <v/>
      </c>
      <c r="H44" s="56" t="n">
        <f aca="false">SUMIFS('Monthly Log'!$C$4:$C$303,'Monthly Log'!$A$4:$A$303,$C$4,'Monthly Log'!$B$4:$B$303,$A44)</f>
        <v>0</v>
      </c>
      <c r="I44" s="56" t="n">
        <f aca="false">SUMIFS('Monthly Log'!$D$4:$D$303,'Monthly Log'!$A$4:$A$303,$C$4,'Monthly Log'!$B$4:$B$303,$A44)</f>
        <v>0</v>
      </c>
      <c r="J44" s="57" t="str">
        <f aca="false">IF($H44=0,"",$I44/$H44)</f>
        <v/>
      </c>
      <c r="K44" s="56" t="n">
        <f aca="false">SUMIFS('Monthly Log'!$E$4:$E$303,'Monthly Log'!$A$4:$A$303,$C$4,'Monthly Log'!$B$4:$B$303,$A44)</f>
        <v>0</v>
      </c>
      <c r="L44" s="56" t="n">
        <f aca="false">SUMIFS('Monthly Log'!$F$4:$F$303,'Monthly Log'!$A$4:$A$303,$C$4,'Monthly Log'!$B$4:$B$303,$A44)</f>
        <v>0</v>
      </c>
      <c r="M44" s="57" t="str">
        <f aca="false">IF($K44=0,"",$L44/$K44)</f>
        <v/>
      </c>
      <c r="N44" s="56" t="n">
        <f aca="false">SUMIFS('Monthly Log'!$I$4:$I$303,'Monthly Log'!$A$4:$A$303,$C$4,'Monthly Log'!$B$4:$B$303,$A44)</f>
        <v>0</v>
      </c>
      <c r="O44" s="56" t="n">
        <f aca="false">SUMIFS('Monthly Log'!$J$4:$J$303,'Monthly Log'!$A$4:$A$303,$C$4,'Monthly Log'!$B$4:$B$303,$A44)</f>
        <v>0</v>
      </c>
      <c r="P44" s="56" t="n">
        <f aca="false">SUMIFS('Monthly Log'!$K$4:$K$303,'Monthly Log'!$A$4:$A$303,$C$4,'Monthly Log'!$B$4:$B$303,$A44)</f>
        <v>0</v>
      </c>
      <c r="Q44" s="56" t="n">
        <f aca="false">SUMIFS('Monthly Log'!$L$4:$L$303,'Monthly Log'!$A$4:$A$303,$C$4,'Monthly Log'!$B$4:$B$303,$A44)</f>
        <v>0</v>
      </c>
      <c r="R44" s="51" t="str">
        <f aca="false">IFERROR(INDEX('Monthly Log'!$M$4:$M$303,MATCH(TEXT($C$4,"YYYY-MM")&amp;"|"&amp;$A44,'Monthly Log'!$O$4:$O$303,0)),"")</f>
        <v/>
      </c>
      <c r="S44" s="36" t="str">
        <f aca="false">IF($A44="","",IF(AND($H44=0,$K44=0,$E44=0),"Not started",IF(OR(AND($D44&gt;0,$E44/$D44&gt;$C$10),AND($H44&gt;0,$I44/$H44&lt;$C$8),$P44&gt;=$C$11),"Red",IF(OR(AND($D44&gt;0,$E44/$D44&gt;$C$9),AND($H44&gt;0,$I44/$H44&lt;$C$7),AND($K44&gt;0,$L44/$K44&lt;$C$7),$P44&gt;0,$Q44&gt;0),"Amber","Green"))))</f>
        <v/>
      </c>
      <c r="T44" s="58" t="str">
        <f aca="false">IFERROR(INDEX('Monthly Log'!$N$4:$N$303,MATCH(TEXT($C$4,"YYYY-MM")&amp;"|"&amp;$A44,'Monthly Log'!$O$4:$O$303,0)),"")</f>
        <v/>
      </c>
    </row>
    <row r="45" customFormat="false" ht="15" hidden="false" customHeight="true" outlineLevel="0" collapsed="false">
      <c r="A45" s="51" t="str">
        <f aca="false">IF('TOR Register'!$A33="","",'TOR Register'!$A33)</f>
        <v/>
      </c>
      <c r="B45" s="52" t="str">
        <f aca="false">IFERROR(INDEX('TOR Register'!$B$4:$B$43,MATCH($A45,'TOR Register'!$A$4:$A$43,0)),"")</f>
        <v/>
      </c>
      <c r="C45" s="52" t="str">
        <f aca="false">IFERROR(INDEX('TOR Register'!$E$4:$E$43,MATCH($A45,'TOR Register'!$A$4:$A$43,0)),"")</f>
        <v/>
      </c>
      <c r="D45" s="53" t="str">
        <f aca="false">IFERROR(INDEX('TOR Register'!$I$4:$I$43,MATCH($A45,'TOR Register'!$A$4:$A$43,0)),"")</f>
        <v/>
      </c>
      <c r="E45" s="53" t="n">
        <f aca="false">SUMIFS('Monthly Log'!$G$4:$G$303,'Monthly Log'!$A$4:$A$303,$C$4,'Monthly Log'!$B$4:$B$303,$A45)</f>
        <v>0</v>
      </c>
      <c r="F45" s="54" t="str">
        <f aca="false">IF(N($D45)=0,"",$E45/$D45)</f>
        <v/>
      </c>
      <c r="G45" s="55" t="str">
        <f aca="false">IF($A45="","",$D45-$E45)</f>
        <v/>
      </c>
      <c r="H45" s="56" t="n">
        <f aca="false">SUMIFS('Monthly Log'!$C$4:$C$303,'Monthly Log'!$A$4:$A$303,$C$4,'Monthly Log'!$B$4:$B$303,$A45)</f>
        <v>0</v>
      </c>
      <c r="I45" s="56" t="n">
        <f aca="false">SUMIFS('Monthly Log'!$D$4:$D$303,'Monthly Log'!$A$4:$A$303,$C$4,'Monthly Log'!$B$4:$B$303,$A45)</f>
        <v>0</v>
      </c>
      <c r="J45" s="57" t="str">
        <f aca="false">IF($H45=0,"",$I45/$H45)</f>
        <v/>
      </c>
      <c r="K45" s="56" t="n">
        <f aca="false">SUMIFS('Monthly Log'!$E$4:$E$303,'Monthly Log'!$A$4:$A$303,$C$4,'Monthly Log'!$B$4:$B$303,$A45)</f>
        <v>0</v>
      </c>
      <c r="L45" s="56" t="n">
        <f aca="false">SUMIFS('Monthly Log'!$F$4:$F$303,'Monthly Log'!$A$4:$A$303,$C$4,'Monthly Log'!$B$4:$B$303,$A45)</f>
        <v>0</v>
      </c>
      <c r="M45" s="57" t="str">
        <f aca="false">IF($K45=0,"",$L45/$K45)</f>
        <v/>
      </c>
      <c r="N45" s="56" t="n">
        <f aca="false">SUMIFS('Monthly Log'!$I$4:$I$303,'Monthly Log'!$A$4:$A$303,$C$4,'Monthly Log'!$B$4:$B$303,$A45)</f>
        <v>0</v>
      </c>
      <c r="O45" s="56" t="n">
        <f aca="false">SUMIFS('Monthly Log'!$J$4:$J$303,'Monthly Log'!$A$4:$A$303,$C$4,'Monthly Log'!$B$4:$B$303,$A45)</f>
        <v>0</v>
      </c>
      <c r="P45" s="56" t="n">
        <f aca="false">SUMIFS('Monthly Log'!$K$4:$K$303,'Monthly Log'!$A$4:$A$303,$C$4,'Monthly Log'!$B$4:$B$303,$A45)</f>
        <v>0</v>
      </c>
      <c r="Q45" s="56" t="n">
        <f aca="false">SUMIFS('Monthly Log'!$L$4:$L$303,'Monthly Log'!$A$4:$A$303,$C$4,'Monthly Log'!$B$4:$B$303,$A45)</f>
        <v>0</v>
      </c>
      <c r="R45" s="51" t="str">
        <f aca="false">IFERROR(INDEX('Monthly Log'!$M$4:$M$303,MATCH(TEXT($C$4,"YYYY-MM")&amp;"|"&amp;$A45,'Monthly Log'!$O$4:$O$303,0)),"")</f>
        <v/>
      </c>
      <c r="S45" s="36" t="str">
        <f aca="false">IF($A45="","",IF(AND($H45=0,$K45=0,$E45=0),"Not started",IF(OR(AND($D45&gt;0,$E45/$D45&gt;$C$10),AND($H45&gt;0,$I45/$H45&lt;$C$8),$P45&gt;=$C$11),"Red",IF(OR(AND($D45&gt;0,$E45/$D45&gt;$C$9),AND($H45&gt;0,$I45/$H45&lt;$C$7),AND($K45&gt;0,$L45/$K45&lt;$C$7),$P45&gt;0,$Q45&gt;0),"Amber","Green"))))</f>
        <v/>
      </c>
      <c r="T45" s="58" t="str">
        <f aca="false">IFERROR(INDEX('Monthly Log'!$N$4:$N$303,MATCH(TEXT($C$4,"YYYY-MM")&amp;"|"&amp;$A45,'Monthly Log'!$O$4:$O$303,0)),"")</f>
        <v/>
      </c>
    </row>
    <row r="46" customFormat="false" ht="15" hidden="false" customHeight="true" outlineLevel="0" collapsed="false">
      <c r="A46" s="51" t="str">
        <f aca="false">IF('TOR Register'!$A34="","",'TOR Register'!$A34)</f>
        <v/>
      </c>
      <c r="B46" s="52" t="str">
        <f aca="false">IFERROR(INDEX('TOR Register'!$B$4:$B$43,MATCH($A46,'TOR Register'!$A$4:$A$43,0)),"")</f>
        <v/>
      </c>
      <c r="C46" s="52" t="str">
        <f aca="false">IFERROR(INDEX('TOR Register'!$E$4:$E$43,MATCH($A46,'TOR Register'!$A$4:$A$43,0)),"")</f>
        <v/>
      </c>
      <c r="D46" s="53" t="str">
        <f aca="false">IFERROR(INDEX('TOR Register'!$I$4:$I$43,MATCH($A46,'TOR Register'!$A$4:$A$43,0)),"")</f>
        <v/>
      </c>
      <c r="E46" s="53" t="n">
        <f aca="false">SUMIFS('Monthly Log'!$G$4:$G$303,'Monthly Log'!$A$4:$A$303,$C$4,'Monthly Log'!$B$4:$B$303,$A46)</f>
        <v>0</v>
      </c>
      <c r="F46" s="54" t="str">
        <f aca="false">IF(N($D46)=0,"",$E46/$D46)</f>
        <v/>
      </c>
      <c r="G46" s="55" t="str">
        <f aca="false">IF($A46="","",$D46-$E46)</f>
        <v/>
      </c>
      <c r="H46" s="56" t="n">
        <f aca="false">SUMIFS('Monthly Log'!$C$4:$C$303,'Monthly Log'!$A$4:$A$303,$C$4,'Monthly Log'!$B$4:$B$303,$A46)</f>
        <v>0</v>
      </c>
      <c r="I46" s="56" t="n">
        <f aca="false">SUMIFS('Monthly Log'!$D$4:$D$303,'Monthly Log'!$A$4:$A$303,$C$4,'Monthly Log'!$B$4:$B$303,$A46)</f>
        <v>0</v>
      </c>
      <c r="J46" s="57" t="str">
        <f aca="false">IF($H46=0,"",$I46/$H46)</f>
        <v/>
      </c>
      <c r="K46" s="56" t="n">
        <f aca="false">SUMIFS('Monthly Log'!$E$4:$E$303,'Monthly Log'!$A$4:$A$303,$C$4,'Monthly Log'!$B$4:$B$303,$A46)</f>
        <v>0</v>
      </c>
      <c r="L46" s="56" t="n">
        <f aca="false">SUMIFS('Monthly Log'!$F$4:$F$303,'Monthly Log'!$A$4:$A$303,$C$4,'Monthly Log'!$B$4:$B$303,$A46)</f>
        <v>0</v>
      </c>
      <c r="M46" s="57" t="str">
        <f aca="false">IF($K46=0,"",$L46/$K46)</f>
        <v/>
      </c>
      <c r="N46" s="56" t="n">
        <f aca="false">SUMIFS('Monthly Log'!$I$4:$I$303,'Monthly Log'!$A$4:$A$303,$C$4,'Monthly Log'!$B$4:$B$303,$A46)</f>
        <v>0</v>
      </c>
      <c r="O46" s="56" t="n">
        <f aca="false">SUMIFS('Monthly Log'!$J$4:$J$303,'Monthly Log'!$A$4:$A$303,$C$4,'Monthly Log'!$B$4:$B$303,$A46)</f>
        <v>0</v>
      </c>
      <c r="P46" s="56" t="n">
        <f aca="false">SUMIFS('Monthly Log'!$K$4:$K$303,'Monthly Log'!$A$4:$A$303,$C$4,'Monthly Log'!$B$4:$B$303,$A46)</f>
        <v>0</v>
      </c>
      <c r="Q46" s="56" t="n">
        <f aca="false">SUMIFS('Monthly Log'!$L$4:$L$303,'Monthly Log'!$A$4:$A$303,$C$4,'Monthly Log'!$B$4:$B$303,$A46)</f>
        <v>0</v>
      </c>
      <c r="R46" s="51" t="str">
        <f aca="false">IFERROR(INDEX('Monthly Log'!$M$4:$M$303,MATCH(TEXT($C$4,"YYYY-MM")&amp;"|"&amp;$A46,'Monthly Log'!$O$4:$O$303,0)),"")</f>
        <v/>
      </c>
      <c r="S46" s="36" t="str">
        <f aca="false">IF($A46="","",IF(AND($H46=0,$K46=0,$E46=0),"Not started",IF(OR(AND($D46&gt;0,$E46/$D46&gt;$C$10),AND($H46&gt;0,$I46/$H46&lt;$C$8),$P46&gt;=$C$11),"Red",IF(OR(AND($D46&gt;0,$E46/$D46&gt;$C$9),AND($H46&gt;0,$I46/$H46&lt;$C$7),AND($K46&gt;0,$L46/$K46&lt;$C$7),$P46&gt;0,$Q46&gt;0),"Amber","Green"))))</f>
        <v/>
      </c>
      <c r="T46" s="58" t="str">
        <f aca="false">IFERROR(INDEX('Monthly Log'!$N$4:$N$303,MATCH(TEXT($C$4,"YYYY-MM")&amp;"|"&amp;$A46,'Monthly Log'!$O$4:$O$303,0)),"")</f>
        <v/>
      </c>
    </row>
    <row r="47" customFormat="false" ht="15" hidden="false" customHeight="true" outlineLevel="0" collapsed="false">
      <c r="A47" s="51" t="str">
        <f aca="false">IF('TOR Register'!$A35="","",'TOR Register'!$A35)</f>
        <v/>
      </c>
      <c r="B47" s="52" t="str">
        <f aca="false">IFERROR(INDEX('TOR Register'!$B$4:$B$43,MATCH($A47,'TOR Register'!$A$4:$A$43,0)),"")</f>
        <v/>
      </c>
      <c r="C47" s="52" t="str">
        <f aca="false">IFERROR(INDEX('TOR Register'!$E$4:$E$43,MATCH($A47,'TOR Register'!$A$4:$A$43,0)),"")</f>
        <v/>
      </c>
      <c r="D47" s="53" t="str">
        <f aca="false">IFERROR(INDEX('TOR Register'!$I$4:$I$43,MATCH($A47,'TOR Register'!$A$4:$A$43,0)),"")</f>
        <v/>
      </c>
      <c r="E47" s="53" t="n">
        <f aca="false">SUMIFS('Monthly Log'!$G$4:$G$303,'Monthly Log'!$A$4:$A$303,$C$4,'Monthly Log'!$B$4:$B$303,$A47)</f>
        <v>0</v>
      </c>
      <c r="F47" s="54" t="str">
        <f aca="false">IF(N($D47)=0,"",$E47/$D47)</f>
        <v/>
      </c>
      <c r="G47" s="55" t="str">
        <f aca="false">IF($A47="","",$D47-$E47)</f>
        <v/>
      </c>
      <c r="H47" s="56" t="n">
        <f aca="false">SUMIFS('Monthly Log'!$C$4:$C$303,'Monthly Log'!$A$4:$A$303,$C$4,'Monthly Log'!$B$4:$B$303,$A47)</f>
        <v>0</v>
      </c>
      <c r="I47" s="56" t="n">
        <f aca="false">SUMIFS('Monthly Log'!$D$4:$D$303,'Monthly Log'!$A$4:$A$303,$C$4,'Monthly Log'!$B$4:$B$303,$A47)</f>
        <v>0</v>
      </c>
      <c r="J47" s="57" t="str">
        <f aca="false">IF($H47=0,"",$I47/$H47)</f>
        <v/>
      </c>
      <c r="K47" s="56" t="n">
        <f aca="false">SUMIFS('Monthly Log'!$E$4:$E$303,'Monthly Log'!$A$4:$A$303,$C$4,'Monthly Log'!$B$4:$B$303,$A47)</f>
        <v>0</v>
      </c>
      <c r="L47" s="56" t="n">
        <f aca="false">SUMIFS('Monthly Log'!$F$4:$F$303,'Monthly Log'!$A$4:$A$303,$C$4,'Monthly Log'!$B$4:$B$303,$A47)</f>
        <v>0</v>
      </c>
      <c r="M47" s="57" t="str">
        <f aca="false">IF($K47=0,"",$L47/$K47)</f>
        <v/>
      </c>
      <c r="N47" s="56" t="n">
        <f aca="false">SUMIFS('Monthly Log'!$I$4:$I$303,'Monthly Log'!$A$4:$A$303,$C$4,'Monthly Log'!$B$4:$B$303,$A47)</f>
        <v>0</v>
      </c>
      <c r="O47" s="56" t="n">
        <f aca="false">SUMIFS('Monthly Log'!$J$4:$J$303,'Monthly Log'!$A$4:$A$303,$C$4,'Monthly Log'!$B$4:$B$303,$A47)</f>
        <v>0</v>
      </c>
      <c r="P47" s="56" t="n">
        <f aca="false">SUMIFS('Monthly Log'!$K$4:$K$303,'Monthly Log'!$A$4:$A$303,$C$4,'Monthly Log'!$B$4:$B$303,$A47)</f>
        <v>0</v>
      </c>
      <c r="Q47" s="56" t="n">
        <f aca="false">SUMIFS('Monthly Log'!$L$4:$L$303,'Monthly Log'!$A$4:$A$303,$C$4,'Monthly Log'!$B$4:$B$303,$A47)</f>
        <v>0</v>
      </c>
      <c r="R47" s="51" t="str">
        <f aca="false">IFERROR(INDEX('Monthly Log'!$M$4:$M$303,MATCH(TEXT($C$4,"YYYY-MM")&amp;"|"&amp;$A47,'Monthly Log'!$O$4:$O$303,0)),"")</f>
        <v/>
      </c>
      <c r="S47" s="36" t="str">
        <f aca="false">IF($A47="","",IF(AND($H47=0,$K47=0,$E47=0),"Not started",IF(OR(AND($D47&gt;0,$E47/$D47&gt;$C$10),AND($H47&gt;0,$I47/$H47&lt;$C$8),$P47&gt;=$C$11),"Red",IF(OR(AND($D47&gt;0,$E47/$D47&gt;$C$9),AND($H47&gt;0,$I47/$H47&lt;$C$7),AND($K47&gt;0,$L47/$K47&lt;$C$7),$P47&gt;0,$Q47&gt;0),"Amber","Green"))))</f>
        <v/>
      </c>
      <c r="T47" s="58" t="str">
        <f aca="false">IFERROR(INDEX('Monthly Log'!$N$4:$N$303,MATCH(TEXT($C$4,"YYYY-MM")&amp;"|"&amp;$A47,'Monthly Log'!$O$4:$O$303,0)),"")</f>
        <v/>
      </c>
    </row>
    <row r="48" customFormat="false" ht="15" hidden="false" customHeight="true" outlineLevel="0" collapsed="false">
      <c r="A48" s="51" t="str">
        <f aca="false">IF('TOR Register'!$A36="","",'TOR Register'!$A36)</f>
        <v/>
      </c>
      <c r="B48" s="52" t="str">
        <f aca="false">IFERROR(INDEX('TOR Register'!$B$4:$B$43,MATCH($A48,'TOR Register'!$A$4:$A$43,0)),"")</f>
        <v/>
      </c>
      <c r="C48" s="52" t="str">
        <f aca="false">IFERROR(INDEX('TOR Register'!$E$4:$E$43,MATCH($A48,'TOR Register'!$A$4:$A$43,0)),"")</f>
        <v/>
      </c>
      <c r="D48" s="53" t="str">
        <f aca="false">IFERROR(INDEX('TOR Register'!$I$4:$I$43,MATCH($A48,'TOR Register'!$A$4:$A$43,0)),"")</f>
        <v/>
      </c>
      <c r="E48" s="53" t="n">
        <f aca="false">SUMIFS('Monthly Log'!$G$4:$G$303,'Monthly Log'!$A$4:$A$303,$C$4,'Monthly Log'!$B$4:$B$303,$A48)</f>
        <v>0</v>
      </c>
      <c r="F48" s="54" t="str">
        <f aca="false">IF(N($D48)=0,"",$E48/$D48)</f>
        <v/>
      </c>
      <c r="G48" s="55" t="str">
        <f aca="false">IF($A48="","",$D48-$E48)</f>
        <v/>
      </c>
      <c r="H48" s="56" t="n">
        <f aca="false">SUMIFS('Monthly Log'!$C$4:$C$303,'Monthly Log'!$A$4:$A$303,$C$4,'Monthly Log'!$B$4:$B$303,$A48)</f>
        <v>0</v>
      </c>
      <c r="I48" s="56" t="n">
        <f aca="false">SUMIFS('Monthly Log'!$D$4:$D$303,'Monthly Log'!$A$4:$A$303,$C$4,'Monthly Log'!$B$4:$B$303,$A48)</f>
        <v>0</v>
      </c>
      <c r="J48" s="57" t="str">
        <f aca="false">IF($H48=0,"",$I48/$H48)</f>
        <v/>
      </c>
      <c r="K48" s="56" t="n">
        <f aca="false">SUMIFS('Monthly Log'!$E$4:$E$303,'Monthly Log'!$A$4:$A$303,$C$4,'Monthly Log'!$B$4:$B$303,$A48)</f>
        <v>0</v>
      </c>
      <c r="L48" s="56" t="n">
        <f aca="false">SUMIFS('Monthly Log'!$F$4:$F$303,'Monthly Log'!$A$4:$A$303,$C$4,'Monthly Log'!$B$4:$B$303,$A48)</f>
        <v>0</v>
      </c>
      <c r="M48" s="57" t="str">
        <f aca="false">IF($K48=0,"",$L48/$K48)</f>
        <v/>
      </c>
      <c r="N48" s="56" t="n">
        <f aca="false">SUMIFS('Monthly Log'!$I$4:$I$303,'Monthly Log'!$A$4:$A$303,$C$4,'Monthly Log'!$B$4:$B$303,$A48)</f>
        <v>0</v>
      </c>
      <c r="O48" s="56" t="n">
        <f aca="false">SUMIFS('Monthly Log'!$J$4:$J$303,'Monthly Log'!$A$4:$A$303,$C$4,'Monthly Log'!$B$4:$B$303,$A48)</f>
        <v>0</v>
      </c>
      <c r="P48" s="56" t="n">
        <f aca="false">SUMIFS('Monthly Log'!$K$4:$K$303,'Monthly Log'!$A$4:$A$303,$C$4,'Monthly Log'!$B$4:$B$303,$A48)</f>
        <v>0</v>
      </c>
      <c r="Q48" s="56" t="n">
        <f aca="false">SUMIFS('Monthly Log'!$L$4:$L$303,'Monthly Log'!$A$4:$A$303,$C$4,'Monthly Log'!$B$4:$B$303,$A48)</f>
        <v>0</v>
      </c>
      <c r="R48" s="51" t="str">
        <f aca="false">IFERROR(INDEX('Monthly Log'!$M$4:$M$303,MATCH(TEXT($C$4,"YYYY-MM")&amp;"|"&amp;$A48,'Monthly Log'!$O$4:$O$303,0)),"")</f>
        <v/>
      </c>
      <c r="S48" s="36" t="str">
        <f aca="false">IF($A48="","",IF(AND($H48=0,$K48=0,$E48=0),"Not started",IF(OR(AND($D48&gt;0,$E48/$D48&gt;$C$10),AND($H48&gt;0,$I48/$H48&lt;$C$8),$P48&gt;=$C$11),"Red",IF(OR(AND($D48&gt;0,$E48/$D48&gt;$C$9),AND($H48&gt;0,$I48/$H48&lt;$C$7),AND($K48&gt;0,$L48/$K48&lt;$C$7),$P48&gt;0,$Q48&gt;0),"Amber","Green"))))</f>
        <v/>
      </c>
      <c r="T48" s="58" t="str">
        <f aca="false">IFERROR(INDEX('Monthly Log'!$N$4:$N$303,MATCH(TEXT($C$4,"YYYY-MM")&amp;"|"&amp;$A48,'Monthly Log'!$O$4:$O$303,0)),"")</f>
        <v/>
      </c>
    </row>
    <row r="49" customFormat="false" ht="15" hidden="false" customHeight="true" outlineLevel="0" collapsed="false">
      <c r="A49" s="51" t="str">
        <f aca="false">IF('TOR Register'!$A37="","",'TOR Register'!$A37)</f>
        <v/>
      </c>
      <c r="B49" s="52" t="str">
        <f aca="false">IFERROR(INDEX('TOR Register'!$B$4:$B$43,MATCH($A49,'TOR Register'!$A$4:$A$43,0)),"")</f>
        <v/>
      </c>
      <c r="C49" s="52" t="str">
        <f aca="false">IFERROR(INDEX('TOR Register'!$E$4:$E$43,MATCH($A49,'TOR Register'!$A$4:$A$43,0)),"")</f>
        <v/>
      </c>
      <c r="D49" s="53" t="str">
        <f aca="false">IFERROR(INDEX('TOR Register'!$I$4:$I$43,MATCH($A49,'TOR Register'!$A$4:$A$43,0)),"")</f>
        <v/>
      </c>
      <c r="E49" s="53" t="n">
        <f aca="false">SUMIFS('Monthly Log'!$G$4:$G$303,'Monthly Log'!$A$4:$A$303,$C$4,'Monthly Log'!$B$4:$B$303,$A49)</f>
        <v>0</v>
      </c>
      <c r="F49" s="54" t="str">
        <f aca="false">IF(N($D49)=0,"",$E49/$D49)</f>
        <v/>
      </c>
      <c r="G49" s="55" t="str">
        <f aca="false">IF($A49="","",$D49-$E49)</f>
        <v/>
      </c>
      <c r="H49" s="56" t="n">
        <f aca="false">SUMIFS('Monthly Log'!$C$4:$C$303,'Monthly Log'!$A$4:$A$303,$C$4,'Monthly Log'!$B$4:$B$303,$A49)</f>
        <v>0</v>
      </c>
      <c r="I49" s="56" t="n">
        <f aca="false">SUMIFS('Monthly Log'!$D$4:$D$303,'Monthly Log'!$A$4:$A$303,$C$4,'Monthly Log'!$B$4:$B$303,$A49)</f>
        <v>0</v>
      </c>
      <c r="J49" s="57" t="str">
        <f aca="false">IF($H49=0,"",$I49/$H49)</f>
        <v/>
      </c>
      <c r="K49" s="56" t="n">
        <f aca="false">SUMIFS('Monthly Log'!$E$4:$E$303,'Monthly Log'!$A$4:$A$303,$C$4,'Monthly Log'!$B$4:$B$303,$A49)</f>
        <v>0</v>
      </c>
      <c r="L49" s="56" t="n">
        <f aca="false">SUMIFS('Monthly Log'!$F$4:$F$303,'Monthly Log'!$A$4:$A$303,$C$4,'Monthly Log'!$B$4:$B$303,$A49)</f>
        <v>0</v>
      </c>
      <c r="M49" s="57" t="str">
        <f aca="false">IF($K49=0,"",$L49/$K49)</f>
        <v/>
      </c>
      <c r="N49" s="56" t="n">
        <f aca="false">SUMIFS('Monthly Log'!$I$4:$I$303,'Monthly Log'!$A$4:$A$303,$C$4,'Monthly Log'!$B$4:$B$303,$A49)</f>
        <v>0</v>
      </c>
      <c r="O49" s="56" t="n">
        <f aca="false">SUMIFS('Monthly Log'!$J$4:$J$303,'Monthly Log'!$A$4:$A$303,$C$4,'Monthly Log'!$B$4:$B$303,$A49)</f>
        <v>0</v>
      </c>
      <c r="P49" s="56" t="n">
        <f aca="false">SUMIFS('Monthly Log'!$K$4:$K$303,'Monthly Log'!$A$4:$A$303,$C$4,'Monthly Log'!$B$4:$B$303,$A49)</f>
        <v>0</v>
      </c>
      <c r="Q49" s="56" t="n">
        <f aca="false">SUMIFS('Monthly Log'!$L$4:$L$303,'Monthly Log'!$A$4:$A$303,$C$4,'Monthly Log'!$B$4:$B$303,$A49)</f>
        <v>0</v>
      </c>
      <c r="R49" s="51" t="str">
        <f aca="false">IFERROR(INDEX('Monthly Log'!$M$4:$M$303,MATCH(TEXT($C$4,"YYYY-MM")&amp;"|"&amp;$A49,'Monthly Log'!$O$4:$O$303,0)),"")</f>
        <v/>
      </c>
      <c r="S49" s="36" t="str">
        <f aca="false">IF($A49="","",IF(AND($H49=0,$K49=0,$E49=0),"Not started",IF(OR(AND($D49&gt;0,$E49/$D49&gt;$C$10),AND($H49&gt;0,$I49/$H49&lt;$C$8),$P49&gt;=$C$11),"Red",IF(OR(AND($D49&gt;0,$E49/$D49&gt;$C$9),AND($H49&gt;0,$I49/$H49&lt;$C$7),AND($K49&gt;0,$L49/$K49&lt;$C$7),$P49&gt;0,$Q49&gt;0),"Amber","Green"))))</f>
        <v/>
      </c>
      <c r="T49" s="58" t="str">
        <f aca="false">IFERROR(INDEX('Monthly Log'!$N$4:$N$303,MATCH(TEXT($C$4,"YYYY-MM")&amp;"|"&amp;$A49,'Monthly Log'!$O$4:$O$303,0)),"")</f>
        <v/>
      </c>
    </row>
    <row r="50" customFormat="false" ht="15" hidden="false" customHeight="true" outlineLevel="0" collapsed="false">
      <c r="A50" s="51" t="str">
        <f aca="false">IF('TOR Register'!$A38="","",'TOR Register'!$A38)</f>
        <v/>
      </c>
      <c r="B50" s="52" t="str">
        <f aca="false">IFERROR(INDEX('TOR Register'!$B$4:$B$43,MATCH($A50,'TOR Register'!$A$4:$A$43,0)),"")</f>
        <v/>
      </c>
      <c r="C50" s="52" t="str">
        <f aca="false">IFERROR(INDEX('TOR Register'!$E$4:$E$43,MATCH($A50,'TOR Register'!$A$4:$A$43,0)),"")</f>
        <v/>
      </c>
      <c r="D50" s="53" t="str">
        <f aca="false">IFERROR(INDEX('TOR Register'!$I$4:$I$43,MATCH($A50,'TOR Register'!$A$4:$A$43,0)),"")</f>
        <v/>
      </c>
      <c r="E50" s="53" t="n">
        <f aca="false">SUMIFS('Monthly Log'!$G$4:$G$303,'Monthly Log'!$A$4:$A$303,$C$4,'Monthly Log'!$B$4:$B$303,$A50)</f>
        <v>0</v>
      </c>
      <c r="F50" s="54" t="str">
        <f aca="false">IF(N($D50)=0,"",$E50/$D50)</f>
        <v/>
      </c>
      <c r="G50" s="55" t="str">
        <f aca="false">IF($A50="","",$D50-$E50)</f>
        <v/>
      </c>
      <c r="H50" s="56" t="n">
        <f aca="false">SUMIFS('Monthly Log'!$C$4:$C$303,'Monthly Log'!$A$4:$A$303,$C$4,'Monthly Log'!$B$4:$B$303,$A50)</f>
        <v>0</v>
      </c>
      <c r="I50" s="56" t="n">
        <f aca="false">SUMIFS('Monthly Log'!$D$4:$D$303,'Monthly Log'!$A$4:$A$303,$C$4,'Monthly Log'!$B$4:$B$303,$A50)</f>
        <v>0</v>
      </c>
      <c r="J50" s="57" t="str">
        <f aca="false">IF($H50=0,"",$I50/$H50)</f>
        <v/>
      </c>
      <c r="K50" s="56" t="n">
        <f aca="false">SUMIFS('Monthly Log'!$E$4:$E$303,'Monthly Log'!$A$4:$A$303,$C$4,'Monthly Log'!$B$4:$B$303,$A50)</f>
        <v>0</v>
      </c>
      <c r="L50" s="56" t="n">
        <f aca="false">SUMIFS('Monthly Log'!$F$4:$F$303,'Monthly Log'!$A$4:$A$303,$C$4,'Monthly Log'!$B$4:$B$303,$A50)</f>
        <v>0</v>
      </c>
      <c r="M50" s="57" t="str">
        <f aca="false">IF($K50=0,"",$L50/$K50)</f>
        <v/>
      </c>
      <c r="N50" s="56" t="n">
        <f aca="false">SUMIFS('Monthly Log'!$I$4:$I$303,'Monthly Log'!$A$4:$A$303,$C$4,'Monthly Log'!$B$4:$B$303,$A50)</f>
        <v>0</v>
      </c>
      <c r="O50" s="56" t="n">
        <f aca="false">SUMIFS('Monthly Log'!$J$4:$J$303,'Monthly Log'!$A$4:$A$303,$C$4,'Monthly Log'!$B$4:$B$303,$A50)</f>
        <v>0</v>
      </c>
      <c r="P50" s="56" t="n">
        <f aca="false">SUMIFS('Monthly Log'!$K$4:$K$303,'Monthly Log'!$A$4:$A$303,$C$4,'Monthly Log'!$B$4:$B$303,$A50)</f>
        <v>0</v>
      </c>
      <c r="Q50" s="56" t="n">
        <f aca="false">SUMIFS('Monthly Log'!$L$4:$L$303,'Monthly Log'!$A$4:$A$303,$C$4,'Monthly Log'!$B$4:$B$303,$A50)</f>
        <v>0</v>
      </c>
      <c r="R50" s="51" t="str">
        <f aca="false">IFERROR(INDEX('Monthly Log'!$M$4:$M$303,MATCH(TEXT($C$4,"YYYY-MM")&amp;"|"&amp;$A50,'Monthly Log'!$O$4:$O$303,0)),"")</f>
        <v/>
      </c>
      <c r="S50" s="36" t="str">
        <f aca="false">IF($A50="","",IF(AND($H50=0,$K50=0,$E50=0),"Not started",IF(OR(AND($D50&gt;0,$E50/$D50&gt;$C$10),AND($H50&gt;0,$I50/$H50&lt;$C$8),$P50&gt;=$C$11),"Red",IF(OR(AND($D50&gt;0,$E50/$D50&gt;$C$9),AND($H50&gt;0,$I50/$H50&lt;$C$7),AND($K50&gt;0,$L50/$K50&lt;$C$7),$P50&gt;0,$Q50&gt;0),"Amber","Green"))))</f>
        <v/>
      </c>
      <c r="T50" s="58" t="str">
        <f aca="false">IFERROR(INDEX('Monthly Log'!$N$4:$N$303,MATCH(TEXT($C$4,"YYYY-MM")&amp;"|"&amp;$A50,'Monthly Log'!$O$4:$O$303,0)),"")</f>
        <v/>
      </c>
    </row>
    <row r="51" customFormat="false" ht="15" hidden="false" customHeight="true" outlineLevel="0" collapsed="false">
      <c r="A51" s="51" t="str">
        <f aca="false">IF('TOR Register'!$A39="","",'TOR Register'!$A39)</f>
        <v/>
      </c>
      <c r="B51" s="52" t="str">
        <f aca="false">IFERROR(INDEX('TOR Register'!$B$4:$B$43,MATCH($A51,'TOR Register'!$A$4:$A$43,0)),"")</f>
        <v/>
      </c>
      <c r="C51" s="52" t="str">
        <f aca="false">IFERROR(INDEX('TOR Register'!$E$4:$E$43,MATCH($A51,'TOR Register'!$A$4:$A$43,0)),"")</f>
        <v/>
      </c>
      <c r="D51" s="53" t="str">
        <f aca="false">IFERROR(INDEX('TOR Register'!$I$4:$I$43,MATCH($A51,'TOR Register'!$A$4:$A$43,0)),"")</f>
        <v/>
      </c>
      <c r="E51" s="53" t="n">
        <f aca="false">SUMIFS('Monthly Log'!$G$4:$G$303,'Monthly Log'!$A$4:$A$303,$C$4,'Monthly Log'!$B$4:$B$303,$A51)</f>
        <v>0</v>
      </c>
      <c r="F51" s="54" t="str">
        <f aca="false">IF(N($D51)=0,"",$E51/$D51)</f>
        <v/>
      </c>
      <c r="G51" s="55" t="str">
        <f aca="false">IF($A51="","",$D51-$E51)</f>
        <v/>
      </c>
      <c r="H51" s="56" t="n">
        <f aca="false">SUMIFS('Monthly Log'!$C$4:$C$303,'Monthly Log'!$A$4:$A$303,$C$4,'Monthly Log'!$B$4:$B$303,$A51)</f>
        <v>0</v>
      </c>
      <c r="I51" s="56" t="n">
        <f aca="false">SUMIFS('Monthly Log'!$D$4:$D$303,'Monthly Log'!$A$4:$A$303,$C$4,'Monthly Log'!$B$4:$B$303,$A51)</f>
        <v>0</v>
      </c>
      <c r="J51" s="57" t="str">
        <f aca="false">IF($H51=0,"",$I51/$H51)</f>
        <v/>
      </c>
      <c r="K51" s="56" t="n">
        <f aca="false">SUMIFS('Monthly Log'!$E$4:$E$303,'Monthly Log'!$A$4:$A$303,$C$4,'Monthly Log'!$B$4:$B$303,$A51)</f>
        <v>0</v>
      </c>
      <c r="L51" s="56" t="n">
        <f aca="false">SUMIFS('Monthly Log'!$F$4:$F$303,'Monthly Log'!$A$4:$A$303,$C$4,'Monthly Log'!$B$4:$B$303,$A51)</f>
        <v>0</v>
      </c>
      <c r="M51" s="57" t="str">
        <f aca="false">IF($K51=0,"",$L51/$K51)</f>
        <v/>
      </c>
      <c r="N51" s="56" t="n">
        <f aca="false">SUMIFS('Monthly Log'!$I$4:$I$303,'Monthly Log'!$A$4:$A$303,$C$4,'Monthly Log'!$B$4:$B$303,$A51)</f>
        <v>0</v>
      </c>
      <c r="O51" s="56" t="n">
        <f aca="false">SUMIFS('Monthly Log'!$J$4:$J$303,'Monthly Log'!$A$4:$A$303,$C$4,'Monthly Log'!$B$4:$B$303,$A51)</f>
        <v>0</v>
      </c>
      <c r="P51" s="56" t="n">
        <f aca="false">SUMIFS('Monthly Log'!$K$4:$K$303,'Monthly Log'!$A$4:$A$303,$C$4,'Monthly Log'!$B$4:$B$303,$A51)</f>
        <v>0</v>
      </c>
      <c r="Q51" s="56" t="n">
        <f aca="false">SUMIFS('Monthly Log'!$L$4:$L$303,'Monthly Log'!$A$4:$A$303,$C$4,'Monthly Log'!$B$4:$B$303,$A51)</f>
        <v>0</v>
      </c>
      <c r="R51" s="51" t="str">
        <f aca="false">IFERROR(INDEX('Monthly Log'!$M$4:$M$303,MATCH(TEXT($C$4,"YYYY-MM")&amp;"|"&amp;$A51,'Monthly Log'!$O$4:$O$303,0)),"")</f>
        <v/>
      </c>
      <c r="S51" s="36" t="str">
        <f aca="false">IF($A51="","",IF(AND($H51=0,$K51=0,$E51=0),"Not started",IF(OR(AND($D51&gt;0,$E51/$D51&gt;$C$10),AND($H51&gt;0,$I51/$H51&lt;$C$8),$P51&gt;=$C$11),"Red",IF(OR(AND($D51&gt;0,$E51/$D51&gt;$C$9),AND($H51&gt;0,$I51/$H51&lt;$C$7),AND($K51&gt;0,$L51/$K51&lt;$C$7),$P51&gt;0,$Q51&gt;0),"Amber","Green"))))</f>
        <v/>
      </c>
      <c r="T51" s="58" t="str">
        <f aca="false">IFERROR(INDEX('Monthly Log'!$N$4:$N$303,MATCH(TEXT($C$4,"YYYY-MM")&amp;"|"&amp;$A51,'Monthly Log'!$O$4:$O$303,0)),"")</f>
        <v/>
      </c>
    </row>
    <row r="52" customFormat="false" ht="15" hidden="false" customHeight="true" outlineLevel="0" collapsed="false">
      <c r="A52" s="51" t="str">
        <f aca="false">IF('TOR Register'!$A40="","",'TOR Register'!$A40)</f>
        <v/>
      </c>
      <c r="B52" s="52" t="str">
        <f aca="false">IFERROR(INDEX('TOR Register'!$B$4:$B$43,MATCH($A52,'TOR Register'!$A$4:$A$43,0)),"")</f>
        <v/>
      </c>
      <c r="C52" s="52" t="str">
        <f aca="false">IFERROR(INDEX('TOR Register'!$E$4:$E$43,MATCH($A52,'TOR Register'!$A$4:$A$43,0)),"")</f>
        <v/>
      </c>
      <c r="D52" s="53" t="str">
        <f aca="false">IFERROR(INDEX('TOR Register'!$I$4:$I$43,MATCH($A52,'TOR Register'!$A$4:$A$43,0)),"")</f>
        <v/>
      </c>
      <c r="E52" s="53" t="n">
        <f aca="false">SUMIFS('Monthly Log'!$G$4:$G$303,'Monthly Log'!$A$4:$A$303,$C$4,'Monthly Log'!$B$4:$B$303,$A52)</f>
        <v>0</v>
      </c>
      <c r="F52" s="54" t="str">
        <f aca="false">IF(N($D52)=0,"",$E52/$D52)</f>
        <v/>
      </c>
      <c r="G52" s="55" t="str">
        <f aca="false">IF($A52="","",$D52-$E52)</f>
        <v/>
      </c>
      <c r="H52" s="56" t="n">
        <f aca="false">SUMIFS('Monthly Log'!$C$4:$C$303,'Monthly Log'!$A$4:$A$303,$C$4,'Monthly Log'!$B$4:$B$303,$A52)</f>
        <v>0</v>
      </c>
      <c r="I52" s="56" t="n">
        <f aca="false">SUMIFS('Monthly Log'!$D$4:$D$303,'Monthly Log'!$A$4:$A$303,$C$4,'Monthly Log'!$B$4:$B$303,$A52)</f>
        <v>0</v>
      </c>
      <c r="J52" s="57" t="str">
        <f aca="false">IF($H52=0,"",$I52/$H52)</f>
        <v/>
      </c>
      <c r="K52" s="56" t="n">
        <f aca="false">SUMIFS('Monthly Log'!$E$4:$E$303,'Monthly Log'!$A$4:$A$303,$C$4,'Monthly Log'!$B$4:$B$303,$A52)</f>
        <v>0</v>
      </c>
      <c r="L52" s="56" t="n">
        <f aca="false">SUMIFS('Monthly Log'!$F$4:$F$303,'Monthly Log'!$A$4:$A$303,$C$4,'Monthly Log'!$B$4:$B$303,$A52)</f>
        <v>0</v>
      </c>
      <c r="M52" s="57" t="str">
        <f aca="false">IF($K52=0,"",$L52/$K52)</f>
        <v/>
      </c>
      <c r="N52" s="56" t="n">
        <f aca="false">SUMIFS('Monthly Log'!$I$4:$I$303,'Monthly Log'!$A$4:$A$303,$C$4,'Monthly Log'!$B$4:$B$303,$A52)</f>
        <v>0</v>
      </c>
      <c r="O52" s="56" t="n">
        <f aca="false">SUMIFS('Monthly Log'!$J$4:$J$303,'Monthly Log'!$A$4:$A$303,$C$4,'Monthly Log'!$B$4:$B$303,$A52)</f>
        <v>0</v>
      </c>
      <c r="P52" s="56" t="n">
        <f aca="false">SUMIFS('Monthly Log'!$K$4:$K$303,'Monthly Log'!$A$4:$A$303,$C$4,'Monthly Log'!$B$4:$B$303,$A52)</f>
        <v>0</v>
      </c>
      <c r="Q52" s="56" t="n">
        <f aca="false">SUMIFS('Monthly Log'!$L$4:$L$303,'Monthly Log'!$A$4:$A$303,$C$4,'Monthly Log'!$B$4:$B$303,$A52)</f>
        <v>0</v>
      </c>
      <c r="R52" s="51" t="str">
        <f aca="false">IFERROR(INDEX('Monthly Log'!$M$4:$M$303,MATCH(TEXT($C$4,"YYYY-MM")&amp;"|"&amp;$A52,'Monthly Log'!$O$4:$O$303,0)),"")</f>
        <v/>
      </c>
      <c r="S52" s="36" t="str">
        <f aca="false">IF($A52="","",IF(AND($H52=0,$K52=0,$E52=0),"Not started",IF(OR(AND($D52&gt;0,$E52/$D52&gt;$C$10),AND($H52&gt;0,$I52/$H52&lt;$C$8),$P52&gt;=$C$11),"Red",IF(OR(AND($D52&gt;0,$E52/$D52&gt;$C$9),AND($H52&gt;0,$I52/$H52&lt;$C$7),AND($K52&gt;0,$L52/$K52&lt;$C$7),$P52&gt;0,$Q52&gt;0),"Amber","Green"))))</f>
        <v/>
      </c>
      <c r="T52" s="58" t="str">
        <f aca="false">IFERROR(INDEX('Monthly Log'!$N$4:$N$303,MATCH(TEXT($C$4,"YYYY-MM")&amp;"|"&amp;$A52,'Monthly Log'!$O$4:$O$303,0)),"")</f>
        <v/>
      </c>
    </row>
    <row r="53" customFormat="false" ht="15" hidden="false" customHeight="true" outlineLevel="0" collapsed="false">
      <c r="A53" s="51" t="str">
        <f aca="false">IF('TOR Register'!$A41="","",'TOR Register'!$A41)</f>
        <v/>
      </c>
      <c r="B53" s="52" t="str">
        <f aca="false">IFERROR(INDEX('TOR Register'!$B$4:$B$43,MATCH($A53,'TOR Register'!$A$4:$A$43,0)),"")</f>
        <v/>
      </c>
      <c r="C53" s="52" t="str">
        <f aca="false">IFERROR(INDEX('TOR Register'!$E$4:$E$43,MATCH($A53,'TOR Register'!$A$4:$A$43,0)),"")</f>
        <v/>
      </c>
      <c r="D53" s="53" t="str">
        <f aca="false">IFERROR(INDEX('TOR Register'!$I$4:$I$43,MATCH($A53,'TOR Register'!$A$4:$A$43,0)),"")</f>
        <v/>
      </c>
      <c r="E53" s="53" t="n">
        <f aca="false">SUMIFS('Monthly Log'!$G$4:$G$303,'Monthly Log'!$A$4:$A$303,$C$4,'Monthly Log'!$B$4:$B$303,$A53)</f>
        <v>0</v>
      </c>
      <c r="F53" s="54" t="str">
        <f aca="false">IF(N($D53)=0,"",$E53/$D53)</f>
        <v/>
      </c>
      <c r="G53" s="55" t="str">
        <f aca="false">IF($A53="","",$D53-$E53)</f>
        <v/>
      </c>
      <c r="H53" s="56" t="n">
        <f aca="false">SUMIFS('Monthly Log'!$C$4:$C$303,'Monthly Log'!$A$4:$A$303,$C$4,'Monthly Log'!$B$4:$B$303,$A53)</f>
        <v>0</v>
      </c>
      <c r="I53" s="56" t="n">
        <f aca="false">SUMIFS('Monthly Log'!$D$4:$D$303,'Monthly Log'!$A$4:$A$303,$C$4,'Monthly Log'!$B$4:$B$303,$A53)</f>
        <v>0</v>
      </c>
      <c r="J53" s="57" t="str">
        <f aca="false">IF($H53=0,"",$I53/$H53)</f>
        <v/>
      </c>
      <c r="K53" s="56" t="n">
        <f aca="false">SUMIFS('Monthly Log'!$E$4:$E$303,'Monthly Log'!$A$4:$A$303,$C$4,'Monthly Log'!$B$4:$B$303,$A53)</f>
        <v>0</v>
      </c>
      <c r="L53" s="56" t="n">
        <f aca="false">SUMIFS('Monthly Log'!$F$4:$F$303,'Monthly Log'!$A$4:$A$303,$C$4,'Monthly Log'!$B$4:$B$303,$A53)</f>
        <v>0</v>
      </c>
      <c r="M53" s="57" t="str">
        <f aca="false">IF($K53=0,"",$L53/$K53)</f>
        <v/>
      </c>
      <c r="N53" s="56" t="n">
        <f aca="false">SUMIFS('Monthly Log'!$I$4:$I$303,'Monthly Log'!$A$4:$A$303,$C$4,'Monthly Log'!$B$4:$B$303,$A53)</f>
        <v>0</v>
      </c>
      <c r="O53" s="56" t="n">
        <f aca="false">SUMIFS('Monthly Log'!$J$4:$J$303,'Monthly Log'!$A$4:$A$303,$C$4,'Monthly Log'!$B$4:$B$303,$A53)</f>
        <v>0</v>
      </c>
      <c r="P53" s="56" t="n">
        <f aca="false">SUMIFS('Monthly Log'!$K$4:$K$303,'Monthly Log'!$A$4:$A$303,$C$4,'Monthly Log'!$B$4:$B$303,$A53)</f>
        <v>0</v>
      </c>
      <c r="Q53" s="56" t="n">
        <f aca="false">SUMIFS('Monthly Log'!$L$4:$L$303,'Monthly Log'!$A$4:$A$303,$C$4,'Monthly Log'!$B$4:$B$303,$A53)</f>
        <v>0</v>
      </c>
      <c r="R53" s="51" t="str">
        <f aca="false">IFERROR(INDEX('Monthly Log'!$M$4:$M$303,MATCH(TEXT($C$4,"YYYY-MM")&amp;"|"&amp;$A53,'Monthly Log'!$O$4:$O$303,0)),"")</f>
        <v/>
      </c>
      <c r="S53" s="36" t="str">
        <f aca="false">IF($A53="","",IF(AND($H53=0,$K53=0,$E53=0),"Not started",IF(OR(AND($D53&gt;0,$E53/$D53&gt;$C$10),AND($H53&gt;0,$I53/$H53&lt;$C$8),$P53&gt;=$C$11),"Red",IF(OR(AND($D53&gt;0,$E53/$D53&gt;$C$9),AND($H53&gt;0,$I53/$H53&lt;$C$7),AND($K53&gt;0,$L53/$K53&lt;$C$7),$P53&gt;0,$Q53&gt;0),"Amber","Green"))))</f>
        <v/>
      </c>
      <c r="T53" s="58" t="str">
        <f aca="false">IFERROR(INDEX('Monthly Log'!$N$4:$N$303,MATCH(TEXT($C$4,"YYYY-MM")&amp;"|"&amp;$A53,'Monthly Log'!$O$4:$O$303,0)),"")</f>
        <v/>
      </c>
    </row>
    <row r="54" customFormat="false" ht="15" hidden="false" customHeight="true" outlineLevel="0" collapsed="false">
      <c r="A54" s="51" t="str">
        <f aca="false">IF('TOR Register'!$A42="","",'TOR Register'!$A42)</f>
        <v/>
      </c>
      <c r="B54" s="52" t="str">
        <f aca="false">IFERROR(INDEX('TOR Register'!$B$4:$B$43,MATCH($A54,'TOR Register'!$A$4:$A$43,0)),"")</f>
        <v/>
      </c>
      <c r="C54" s="52" t="str">
        <f aca="false">IFERROR(INDEX('TOR Register'!$E$4:$E$43,MATCH($A54,'TOR Register'!$A$4:$A$43,0)),"")</f>
        <v/>
      </c>
      <c r="D54" s="53" t="str">
        <f aca="false">IFERROR(INDEX('TOR Register'!$I$4:$I$43,MATCH($A54,'TOR Register'!$A$4:$A$43,0)),"")</f>
        <v/>
      </c>
      <c r="E54" s="53" t="n">
        <f aca="false">SUMIFS('Monthly Log'!$G$4:$G$303,'Monthly Log'!$A$4:$A$303,$C$4,'Monthly Log'!$B$4:$B$303,$A54)</f>
        <v>0</v>
      </c>
      <c r="F54" s="54" t="str">
        <f aca="false">IF(N($D54)=0,"",$E54/$D54)</f>
        <v/>
      </c>
      <c r="G54" s="55" t="str">
        <f aca="false">IF($A54="","",$D54-$E54)</f>
        <v/>
      </c>
      <c r="H54" s="56" t="n">
        <f aca="false">SUMIFS('Monthly Log'!$C$4:$C$303,'Monthly Log'!$A$4:$A$303,$C$4,'Monthly Log'!$B$4:$B$303,$A54)</f>
        <v>0</v>
      </c>
      <c r="I54" s="56" t="n">
        <f aca="false">SUMIFS('Monthly Log'!$D$4:$D$303,'Monthly Log'!$A$4:$A$303,$C$4,'Monthly Log'!$B$4:$B$303,$A54)</f>
        <v>0</v>
      </c>
      <c r="J54" s="57" t="str">
        <f aca="false">IF($H54=0,"",$I54/$H54)</f>
        <v/>
      </c>
      <c r="K54" s="56" t="n">
        <f aca="false">SUMIFS('Monthly Log'!$E$4:$E$303,'Monthly Log'!$A$4:$A$303,$C$4,'Monthly Log'!$B$4:$B$303,$A54)</f>
        <v>0</v>
      </c>
      <c r="L54" s="56" t="n">
        <f aca="false">SUMIFS('Monthly Log'!$F$4:$F$303,'Monthly Log'!$A$4:$A$303,$C$4,'Monthly Log'!$B$4:$B$303,$A54)</f>
        <v>0</v>
      </c>
      <c r="M54" s="57" t="str">
        <f aca="false">IF($K54=0,"",$L54/$K54)</f>
        <v/>
      </c>
      <c r="N54" s="56" t="n">
        <f aca="false">SUMIFS('Monthly Log'!$I$4:$I$303,'Monthly Log'!$A$4:$A$303,$C$4,'Monthly Log'!$B$4:$B$303,$A54)</f>
        <v>0</v>
      </c>
      <c r="O54" s="56" t="n">
        <f aca="false">SUMIFS('Monthly Log'!$J$4:$J$303,'Monthly Log'!$A$4:$A$303,$C$4,'Monthly Log'!$B$4:$B$303,$A54)</f>
        <v>0</v>
      </c>
      <c r="P54" s="56" t="n">
        <f aca="false">SUMIFS('Monthly Log'!$K$4:$K$303,'Monthly Log'!$A$4:$A$303,$C$4,'Monthly Log'!$B$4:$B$303,$A54)</f>
        <v>0</v>
      </c>
      <c r="Q54" s="56" t="n">
        <f aca="false">SUMIFS('Monthly Log'!$L$4:$L$303,'Monthly Log'!$A$4:$A$303,$C$4,'Monthly Log'!$B$4:$B$303,$A54)</f>
        <v>0</v>
      </c>
      <c r="R54" s="51" t="str">
        <f aca="false">IFERROR(INDEX('Monthly Log'!$M$4:$M$303,MATCH(TEXT($C$4,"YYYY-MM")&amp;"|"&amp;$A54,'Monthly Log'!$O$4:$O$303,0)),"")</f>
        <v/>
      </c>
      <c r="S54" s="36" t="str">
        <f aca="false">IF($A54="","",IF(AND($H54=0,$K54=0,$E54=0),"Not started",IF(OR(AND($D54&gt;0,$E54/$D54&gt;$C$10),AND($H54&gt;0,$I54/$H54&lt;$C$8),$P54&gt;=$C$11),"Red",IF(OR(AND($D54&gt;0,$E54/$D54&gt;$C$9),AND($H54&gt;0,$I54/$H54&lt;$C$7),AND($K54&gt;0,$L54/$K54&lt;$C$7),$P54&gt;0,$Q54&gt;0),"Amber","Green"))))</f>
        <v/>
      </c>
      <c r="T54" s="58" t="str">
        <f aca="false">IFERROR(INDEX('Monthly Log'!$N$4:$N$303,MATCH(TEXT($C$4,"YYYY-MM")&amp;"|"&amp;$A54,'Monthly Log'!$O$4:$O$303,0)),"")</f>
        <v/>
      </c>
    </row>
    <row r="55" customFormat="false" ht="15" hidden="false" customHeight="true" outlineLevel="0" collapsed="false">
      <c r="A55" s="51" t="str">
        <f aca="false">IF('TOR Register'!$A43="","",'TOR Register'!$A43)</f>
        <v/>
      </c>
      <c r="B55" s="52" t="str">
        <f aca="false">IFERROR(INDEX('TOR Register'!$B$4:$B$43,MATCH($A55,'TOR Register'!$A$4:$A$43,0)),"")</f>
        <v/>
      </c>
      <c r="C55" s="52" t="str">
        <f aca="false">IFERROR(INDEX('TOR Register'!$E$4:$E$43,MATCH($A55,'TOR Register'!$A$4:$A$43,0)),"")</f>
        <v/>
      </c>
      <c r="D55" s="53" t="str">
        <f aca="false">IFERROR(INDEX('TOR Register'!$I$4:$I$43,MATCH($A55,'TOR Register'!$A$4:$A$43,0)),"")</f>
        <v/>
      </c>
      <c r="E55" s="53" t="n">
        <f aca="false">SUMIFS('Monthly Log'!$G$4:$G$303,'Monthly Log'!$A$4:$A$303,$C$4,'Monthly Log'!$B$4:$B$303,$A55)</f>
        <v>0</v>
      </c>
      <c r="F55" s="54" t="str">
        <f aca="false">IF(N($D55)=0,"",$E55/$D55)</f>
        <v/>
      </c>
      <c r="G55" s="55" t="str">
        <f aca="false">IF($A55="","",$D55-$E55)</f>
        <v/>
      </c>
      <c r="H55" s="56" t="n">
        <f aca="false">SUMIFS('Monthly Log'!$C$4:$C$303,'Monthly Log'!$A$4:$A$303,$C$4,'Monthly Log'!$B$4:$B$303,$A55)</f>
        <v>0</v>
      </c>
      <c r="I55" s="56" t="n">
        <f aca="false">SUMIFS('Monthly Log'!$D$4:$D$303,'Monthly Log'!$A$4:$A$303,$C$4,'Monthly Log'!$B$4:$B$303,$A55)</f>
        <v>0</v>
      </c>
      <c r="J55" s="57" t="str">
        <f aca="false">IF($H55=0,"",$I55/$H55)</f>
        <v/>
      </c>
      <c r="K55" s="56" t="n">
        <f aca="false">SUMIFS('Monthly Log'!$E$4:$E$303,'Monthly Log'!$A$4:$A$303,$C$4,'Monthly Log'!$B$4:$B$303,$A55)</f>
        <v>0</v>
      </c>
      <c r="L55" s="56" t="n">
        <f aca="false">SUMIFS('Monthly Log'!$F$4:$F$303,'Monthly Log'!$A$4:$A$303,$C$4,'Monthly Log'!$B$4:$B$303,$A55)</f>
        <v>0</v>
      </c>
      <c r="M55" s="57" t="str">
        <f aca="false">IF($K55=0,"",$L55/$K55)</f>
        <v/>
      </c>
      <c r="N55" s="56" t="n">
        <f aca="false">SUMIFS('Monthly Log'!$I$4:$I$303,'Monthly Log'!$A$4:$A$303,$C$4,'Monthly Log'!$B$4:$B$303,$A55)</f>
        <v>0</v>
      </c>
      <c r="O55" s="56" t="n">
        <f aca="false">SUMIFS('Monthly Log'!$J$4:$J$303,'Monthly Log'!$A$4:$A$303,$C$4,'Monthly Log'!$B$4:$B$303,$A55)</f>
        <v>0</v>
      </c>
      <c r="P55" s="56" t="n">
        <f aca="false">SUMIFS('Monthly Log'!$K$4:$K$303,'Monthly Log'!$A$4:$A$303,$C$4,'Monthly Log'!$B$4:$B$303,$A55)</f>
        <v>0</v>
      </c>
      <c r="Q55" s="56" t="n">
        <f aca="false">SUMIFS('Monthly Log'!$L$4:$L$303,'Monthly Log'!$A$4:$A$303,$C$4,'Monthly Log'!$B$4:$B$303,$A55)</f>
        <v>0</v>
      </c>
      <c r="R55" s="51" t="str">
        <f aca="false">IFERROR(INDEX('Monthly Log'!$M$4:$M$303,MATCH(TEXT($C$4,"YYYY-MM")&amp;"|"&amp;$A55,'Monthly Log'!$O$4:$O$303,0)),"")</f>
        <v/>
      </c>
      <c r="S55" s="36" t="str">
        <f aca="false">IF($A55="","",IF(AND($H55=0,$K55=0,$E55=0),"Not started",IF(OR(AND($D55&gt;0,$E55/$D55&gt;$C$10),AND($H55&gt;0,$I55/$H55&lt;$C$8),$P55&gt;=$C$11),"Red",IF(OR(AND($D55&gt;0,$E55/$D55&gt;$C$9),AND($H55&gt;0,$I55/$H55&lt;$C$7),AND($K55&gt;0,$L55/$K55&lt;$C$7),$P55&gt;0,$Q55&gt;0),"Amber","Green"))))</f>
        <v/>
      </c>
      <c r="T55" s="58" t="str">
        <f aca="false">IFERROR(INDEX('Monthly Log'!$N$4:$N$303,MATCH(TEXT($C$4,"YYYY-MM")&amp;"|"&amp;$A55,'Monthly Log'!$O$4:$O$303,0)),"")</f>
        <v/>
      </c>
    </row>
    <row r="56" customFormat="false" ht="15" hidden="false" customHeight="fals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</row>
    <row r="57" customFormat="false" ht="15" hidden="false" customHeight="false" outlineLevel="0" collapsed="false">
      <c r="A57" s="39" t="s">
        <v>407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</row>
    <row r="58" customFormat="false" ht="21.75" hidden="false" customHeight="true" outlineLevel="0" collapsed="false">
      <c r="A58" s="35" t="s">
        <v>408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"/>
      <c r="O58" s="3"/>
      <c r="P58" s="3"/>
      <c r="Q58" s="3"/>
      <c r="R58" s="3"/>
      <c r="S58" s="3"/>
      <c r="T58" s="3"/>
    </row>
    <row r="59" customFormat="false" ht="21.75" hidden="false" customHeight="true" outlineLevel="0" collapsed="false">
      <c r="A59" s="35" t="s">
        <v>409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"/>
      <c r="O59" s="3"/>
      <c r="P59" s="3"/>
      <c r="Q59" s="3"/>
      <c r="R59" s="3"/>
      <c r="S59" s="3"/>
      <c r="T59" s="3"/>
    </row>
    <row r="60" customFormat="false" ht="21.75" hidden="false" customHeight="true" outlineLevel="0" collapsed="false">
      <c r="A60" s="35" t="s">
        <v>410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"/>
      <c r="O60" s="3"/>
      <c r="P60" s="3"/>
      <c r="Q60" s="3"/>
      <c r="R60" s="3"/>
      <c r="S60" s="3"/>
      <c r="T60" s="3"/>
    </row>
    <row r="61" customFormat="false" ht="21.75" hidden="false" customHeight="true" outlineLevel="0" collapsed="false">
      <c r="A61" s="35" t="s">
        <v>411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"/>
      <c r="O61" s="3"/>
      <c r="P61" s="3"/>
      <c r="Q61" s="3"/>
      <c r="R61" s="3"/>
      <c r="S61" s="3"/>
      <c r="T61" s="3"/>
    </row>
    <row r="62" customFormat="false" ht="21.75" hidden="false" customHeight="true" outlineLevel="0" collapsed="false">
      <c r="A62" s="35" t="s">
        <v>412</v>
      </c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"/>
      <c r="O62" s="3"/>
      <c r="P62" s="3"/>
      <c r="Q62" s="3"/>
      <c r="R62" s="3"/>
      <c r="S62" s="3"/>
      <c r="T62" s="3"/>
    </row>
    <row r="63" customFormat="false" ht="21.75" hidden="false" customHeight="true" outlineLevel="0" collapsed="false">
      <c r="A63" s="35" t="s">
        <v>413</v>
      </c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"/>
      <c r="O63" s="3"/>
      <c r="P63" s="3"/>
      <c r="Q63" s="3"/>
      <c r="R63" s="3"/>
      <c r="S63" s="3"/>
      <c r="T63" s="3"/>
    </row>
  </sheetData>
  <mergeCells count="32">
    <mergeCell ref="A1:T1"/>
    <mergeCell ref="A2:T2"/>
    <mergeCell ref="G7:H7"/>
    <mergeCell ref="I7:J7"/>
    <mergeCell ref="K7:L7"/>
    <mergeCell ref="M7:N7"/>
    <mergeCell ref="O7:P7"/>
    <mergeCell ref="Q7:R7"/>
    <mergeCell ref="G8:H8"/>
    <mergeCell ref="I8:J8"/>
    <mergeCell ref="K8:L8"/>
    <mergeCell ref="M8:N8"/>
    <mergeCell ref="O8:P8"/>
    <mergeCell ref="Q8:R8"/>
    <mergeCell ref="G10:H10"/>
    <mergeCell ref="I10:J10"/>
    <mergeCell ref="K10:L10"/>
    <mergeCell ref="M10:N10"/>
    <mergeCell ref="O10:P10"/>
    <mergeCell ref="Q10:R10"/>
    <mergeCell ref="G11:H11"/>
    <mergeCell ref="I11:J11"/>
    <mergeCell ref="K11:L11"/>
    <mergeCell ref="M11:N11"/>
    <mergeCell ref="O11:P11"/>
    <mergeCell ref="Q11:R11"/>
    <mergeCell ref="A58:M58"/>
    <mergeCell ref="A59:M59"/>
    <mergeCell ref="A60:M60"/>
    <mergeCell ref="A61:M61"/>
    <mergeCell ref="A62:M62"/>
    <mergeCell ref="A63:M63"/>
  </mergeCells>
  <conditionalFormatting sqref="R16:R55">
    <cfRule type="cellIs" priority="2" operator="equal" aboveAverage="0" equalAverage="0" bottom="0" percent="0" rank="0" text="" dxfId="11">
      <formula>"Red"</formula>
    </cfRule>
    <cfRule type="cellIs" priority="3" operator="equal" aboveAverage="0" equalAverage="0" bottom="0" percent="0" rank="0" text="" dxfId="12">
      <formula>"Amber"</formula>
    </cfRule>
    <cfRule type="cellIs" priority="4" operator="equal" aboveAverage="0" equalAverage="0" bottom="0" percent="0" rank="0" text="" dxfId="13">
      <formula>"Green"</formula>
    </cfRule>
  </conditionalFormatting>
  <conditionalFormatting sqref="S16:S55">
    <cfRule type="cellIs" priority="5" operator="equal" aboveAverage="0" equalAverage="0" bottom="0" percent="0" rank="0" text="" dxfId="11">
      <formula>"Red"</formula>
    </cfRule>
    <cfRule type="cellIs" priority="6" operator="equal" aboveAverage="0" equalAverage="0" bottom="0" percent="0" rank="0" text="" dxfId="12">
      <formula>"Amber"</formula>
    </cfRule>
    <cfRule type="cellIs" priority="7" operator="equal" aboveAverage="0" equalAverage="0" bottom="0" percent="0" rank="0" text="" dxfId="13">
      <formula>"Green"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L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7" min="2" style="0" width="12"/>
    <col collapsed="false" customWidth="true" hidden="false" outlineLevel="0" max="8" min="8" style="0" width="17"/>
    <col collapsed="false" customWidth="true" hidden="false" outlineLevel="0" max="11" min="9" style="0" width="10"/>
  </cols>
  <sheetData>
    <row r="1" customFormat="false" ht="25.5" hidden="false" customHeight="true" outlineLevel="0" collapsed="false">
      <c r="A1" s="1" t="s">
        <v>414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415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1.5" hidden="false" customHeight="true" outlineLevel="0" collapsed="false">
      <c r="A4" s="12" t="s">
        <v>416</v>
      </c>
      <c r="B4" s="12" t="s">
        <v>396</v>
      </c>
      <c r="C4" s="12" t="s">
        <v>397</v>
      </c>
      <c r="D4" s="12" t="s">
        <v>398</v>
      </c>
      <c r="E4" s="12" t="s">
        <v>399</v>
      </c>
      <c r="F4" s="12" t="s">
        <v>400</v>
      </c>
      <c r="G4" s="12" t="s">
        <v>401</v>
      </c>
      <c r="H4" s="12" t="s">
        <v>128</v>
      </c>
      <c r="I4" s="12" t="s">
        <v>403</v>
      </c>
      <c r="J4" s="12" t="s">
        <v>404</v>
      </c>
      <c r="K4" s="12" t="s">
        <v>405</v>
      </c>
      <c r="L4" s="3"/>
    </row>
    <row r="5" customFormat="false" ht="15" hidden="false" customHeight="false" outlineLevel="0" collapsed="false">
      <c r="A5" s="27" t="n">
        <v>46082</v>
      </c>
      <c r="B5" s="33" t="n">
        <f aca="false">IF($A5="","",SUMIFS('Monthly Log'!$C$4:$C$303,'Monthly Log'!$A$4:$A$303,$A5))</f>
        <v>7</v>
      </c>
      <c r="C5" s="33" t="n">
        <f aca="false">IF($A5="","",SUMIFS('Monthly Log'!$D$4:$D$303,'Monthly Log'!$A$4:$A$303,$A5))</f>
        <v>7</v>
      </c>
      <c r="D5" s="54" t="n">
        <f aca="false">IF(N($B5)=0,"",$C5/$B5)</f>
        <v>1</v>
      </c>
      <c r="E5" s="33" t="n">
        <f aca="false">IF($A5="","",SUMIFS('Monthly Log'!$E$4:$E$303,'Monthly Log'!$A$4:$A$303,$A5))</f>
        <v>7</v>
      </c>
      <c r="F5" s="33" t="n">
        <f aca="false">IF($A5="","",SUMIFS('Monthly Log'!$F$4:$F$303,'Monthly Log'!$A$4:$A$303,$A5))</f>
        <v>7</v>
      </c>
      <c r="G5" s="54" t="n">
        <f aca="false">IF(N($E5)=0,"",$F5/$E5)</f>
        <v>1</v>
      </c>
      <c r="H5" s="55" t="n">
        <f aca="false">IF($A5="","",SUMIFS('Monthly Log'!$G$4:$G$303,'Monthly Log'!$A$4:$A$303,$A5))</f>
        <v>315000</v>
      </c>
      <c r="I5" s="33" t="n">
        <f aca="false">IF($A5="","",SUMIFS('Monthly Log'!$J$4:$J$303,'Monthly Log'!$A$4:$A$303,$A5))</f>
        <v>17</v>
      </c>
      <c r="J5" s="33" t="n">
        <f aca="false">IF($A5="","",SUMIFS('Monthly Log'!$K$4:$K$303,'Monthly Log'!$A$4:$A$303,$A5))</f>
        <v>2</v>
      </c>
      <c r="K5" s="33" t="n">
        <f aca="false">IF($A5="","",SUMIFS('Monthly Log'!$L$4:$L$303,'Monthly Log'!$A$4:$A$303,$A5))</f>
        <v>4</v>
      </c>
      <c r="L5" s="3"/>
    </row>
    <row r="6" customFormat="false" ht="15" hidden="false" customHeight="false" outlineLevel="0" collapsed="false">
      <c r="A6" s="29" t="n">
        <v>46113</v>
      </c>
      <c r="B6" s="37" t="n">
        <f aca="false">IF($A6="","",SUMIFS('Monthly Log'!$C$4:$C$303,'Monthly Log'!$A$4:$A$303,$A6))</f>
        <v>12</v>
      </c>
      <c r="C6" s="37" t="n">
        <f aca="false">IF($A6="","",SUMIFS('Monthly Log'!$D$4:$D$303,'Monthly Log'!$A$4:$A$303,$A6))</f>
        <v>12</v>
      </c>
      <c r="D6" s="59" t="n">
        <f aca="false">IF(N($B6)=0,"",$C6/$B6)</f>
        <v>1</v>
      </c>
      <c r="E6" s="37" t="n">
        <f aca="false">IF($A6="","",SUMIFS('Monthly Log'!$E$4:$E$303,'Monthly Log'!$A$4:$A$303,$A6))</f>
        <v>14</v>
      </c>
      <c r="F6" s="37" t="n">
        <f aca="false">IF($A6="","",SUMIFS('Monthly Log'!$F$4:$F$303,'Monthly Log'!$A$4:$A$303,$A6))</f>
        <v>14</v>
      </c>
      <c r="G6" s="59" t="n">
        <f aca="false">IF(N($E6)=0,"",$F6/$E6)</f>
        <v>1</v>
      </c>
      <c r="H6" s="60" t="n">
        <f aca="false">IF($A6="","",SUMIFS('Monthly Log'!$G$4:$G$303,'Monthly Log'!$A$4:$A$303,$A6))</f>
        <v>629000</v>
      </c>
      <c r="I6" s="37" t="n">
        <f aca="false">IF($A6="","",SUMIFS('Monthly Log'!$J$4:$J$303,'Monthly Log'!$A$4:$A$303,$A6))</f>
        <v>19</v>
      </c>
      <c r="J6" s="37" t="n">
        <f aca="false">IF($A6="","",SUMIFS('Monthly Log'!$K$4:$K$303,'Monthly Log'!$A$4:$A$303,$A6))</f>
        <v>3</v>
      </c>
      <c r="K6" s="37" t="n">
        <f aca="false">IF($A6="","",SUMIFS('Monthly Log'!$L$4:$L$303,'Monthly Log'!$A$4:$A$303,$A6))</f>
        <v>4</v>
      </c>
      <c r="L6" s="3"/>
    </row>
    <row r="7" customFormat="false" ht="15" hidden="false" customHeight="false" outlineLevel="0" collapsed="false">
      <c r="A7" s="27" t="n">
        <v>46143</v>
      </c>
      <c r="B7" s="33" t="n">
        <f aca="false">IF($A7="","",SUMIFS('Monthly Log'!$C$4:$C$303,'Monthly Log'!$A$4:$A$303,$A7))</f>
        <v>19</v>
      </c>
      <c r="C7" s="33" t="n">
        <f aca="false">IF($A7="","",SUMIFS('Monthly Log'!$D$4:$D$303,'Monthly Log'!$A$4:$A$303,$A7))</f>
        <v>17</v>
      </c>
      <c r="D7" s="54" t="n">
        <f aca="false">IF(N($B7)=0,"",$C7/$B7)</f>
        <v>0.894736842105263</v>
      </c>
      <c r="E7" s="33" t="n">
        <f aca="false">IF($A7="","",SUMIFS('Monthly Log'!$E$4:$E$303,'Monthly Log'!$A$4:$A$303,$A7))</f>
        <v>19</v>
      </c>
      <c r="F7" s="33" t="n">
        <f aca="false">IF($A7="","",SUMIFS('Monthly Log'!$F$4:$F$303,'Monthly Log'!$A$4:$A$303,$A7))</f>
        <v>17</v>
      </c>
      <c r="G7" s="54" t="n">
        <f aca="false">IF(N($E7)=0,"",$F7/$E7)</f>
        <v>0.894736842105263</v>
      </c>
      <c r="H7" s="55" t="n">
        <f aca="false">IF($A7="","",SUMIFS('Monthly Log'!$G$4:$G$303,'Monthly Log'!$A$4:$A$303,$A7))</f>
        <v>958000</v>
      </c>
      <c r="I7" s="33" t="n">
        <f aca="false">IF($A7="","",SUMIFS('Monthly Log'!$J$4:$J$303,'Monthly Log'!$A$4:$A$303,$A7))</f>
        <v>23</v>
      </c>
      <c r="J7" s="33" t="n">
        <f aca="false">IF($A7="","",SUMIFS('Monthly Log'!$K$4:$K$303,'Monthly Log'!$A$4:$A$303,$A7))</f>
        <v>6</v>
      </c>
      <c r="K7" s="33" t="n">
        <f aca="false">IF($A7="","",SUMIFS('Monthly Log'!$L$4:$L$303,'Monthly Log'!$A$4:$A$303,$A7))</f>
        <v>4</v>
      </c>
      <c r="L7" s="3"/>
    </row>
    <row r="8" customFormat="false" ht="15" hidden="false" customHeight="false" outlineLevel="0" collapsed="false">
      <c r="A8" s="29" t="n">
        <v>46174</v>
      </c>
      <c r="B8" s="37" t="n">
        <f aca="false">IF($A8="","",SUMIFS('Monthly Log'!$C$4:$C$303,'Monthly Log'!$A$4:$A$303,$A8))</f>
        <v>26</v>
      </c>
      <c r="C8" s="37" t="n">
        <f aca="false">IF($A8="","",SUMIFS('Monthly Log'!$D$4:$D$303,'Monthly Log'!$A$4:$A$303,$A8))</f>
        <v>23</v>
      </c>
      <c r="D8" s="59" t="n">
        <f aca="false">IF(N($B8)=0,"",$C8/$B8)</f>
        <v>0.884615384615385</v>
      </c>
      <c r="E8" s="37" t="n">
        <f aca="false">IF($A8="","",SUMIFS('Monthly Log'!$E$4:$E$303,'Monthly Log'!$A$4:$A$303,$A8))</f>
        <v>28</v>
      </c>
      <c r="F8" s="37" t="n">
        <f aca="false">IF($A8="","",SUMIFS('Monthly Log'!$F$4:$F$303,'Monthly Log'!$A$4:$A$303,$A8))</f>
        <v>23</v>
      </c>
      <c r="G8" s="59" t="n">
        <f aca="false">IF(N($E8)=0,"",$F8/$E8)</f>
        <v>0.821428571428571</v>
      </c>
      <c r="H8" s="60" t="n">
        <f aca="false">IF($A8="","",SUMIFS('Monthly Log'!$G$4:$G$303,'Monthly Log'!$A$4:$A$303,$A8))</f>
        <v>1354000</v>
      </c>
      <c r="I8" s="37" t="n">
        <f aca="false">IF($A8="","",SUMIFS('Monthly Log'!$J$4:$J$303,'Monthly Log'!$A$4:$A$303,$A8))</f>
        <v>26</v>
      </c>
      <c r="J8" s="37" t="n">
        <f aca="false">IF($A8="","",SUMIFS('Monthly Log'!$K$4:$K$303,'Monthly Log'!$A$4:$A$303,$A8))</f>
        <v>6</v>
      </c>
      <c r="K8" s="37" t="n">
        <f aca="false">IF($A8="","",SUMIFS('Monthly Log'!$L$4:$L$303,'Monthly Log'!$A$4:$A$303,$A8))</f>
        <v>3</v>
      </c>
      <c r="L8" s="3"/>
    </row>
    <row r="9" customFormat="false" ht="15" hidden="false" customHeight="false" outlineLevel="0" collapsed="false">
      <c r="A9" s="27" t="n">
        <v>46204</v>
      </c>
      <c r="B9" s="33" t="n">
        <f aca="false">IF($A9="","",SUMIFS('Monthly Log'!$C$4:$C$303,'Monthly Log'!$A$4:$A$303,$A9))</f>
        <v>35</v>
      </c>
      <c r="C9" s="33" t="n">
        <f aca="false">IF($A9="","",SUMIFS('Monthly Log'!$D$4:$D$303,'Monthly Log'!$A$4:$A$303,$A9))</f>
        <v>29</v>
      </c>
      <c r="D9" s="54" t="n">
        <f aca="false">IF(N($B9)=0,"",$C9/$B9)</f>
        <v>0.828571428571429</v>
      </c>
      <c r="E9" s="33" t="n">
        <f aca="false">IF($A9="","",SUMIFS('Monthly Log'!$E$4:$E$303,'Monthly Log'!$A$4:$A$303,$A9))</f>
        <v>38</v>
      </c>
      <c r="F9" s="33" t="n">
        <f aca="false">IF($A9="","",SUMIFS('Monthly Log'!$F$4:$F$303,'Monthly Log'!$A$4:$A$303,$A9))</f>
        <v>32</v>
      </c>
      <c r="G9" s="54" t="n">
        <f aca="false">IF(N($E9)=0,"",$F9/$E9)</f>
        <v>0.842105263157895</v>
      </c>
      <c r="H9" s="55" t="n">
        <f aca="false">IF($A9="","",SUMIFS('Monthly Log'!$G$4:$G$303,'Monthly Log'!$A$4:$A$303,$A9))</f>
        <v>1728000</v>
      </c>
      <c r="I9" s="33" t="n">
        <f aca="false">IF($A9="","",SUMIFS('Monthly Log'!$J$4:$J$303,'Monthly Log'!$A$4:$A$303,$A9))</f>
        <v>24</v>
      </c>
      <c r="J9" s="33" t="n">
        <f aca="false">IF($A9="","",SUMIFS('Monthly Log'!$K$4:$K$303,'Monthly Log'!$A$4:$A$303,$A9))</f>
        <v>6</v>
      </c>
      <c r="K9" s="33" t="n">
        <f aca="false">IF($A9="","",SUMIFS('Monthly Log'!$L$4:$L$303,'Monthly Log'!$A$4:$A$303,$A9))</f>
        <v>5</v>
      </c>
      <c r="L9" s="3"/>
    </row>
    <row r="10" customFormat="false" ht="15" hidden="false" customHeight="false" outlineLevel="0" collapsed="false">
      <c r="A10" s="29" t="n">
        <v>46235</v>
      </c>
      <c r="B10" s="37" t="n">
        <f aca="false">IF($A10="","",SUMIFS('Monthly Log'!$C$4:$C$303,'Monthly Log'!$A$4:$A$303,$A10))</f>
        <v>42</v>
      </c>
      <c r="C10" s="37" t="n">
        <f aca="false">IF($A10="","",SUMIFS('Monthly Log'!$D$4:$D$303,'Monthly Log'!$A$4:$A$303,$A10))</f>
        <v>35</v>
      </c>
      <c r="D10" s="59" t="n">
        <f aca="false">IF(N($B10)=0,"",$C10/$B10)</f>
        <v>0.833333333333333</v>
      </c>
      <c r="E10" s="37" t="n">
        <f aca="false">IF($A10="","",SUMIFS('Monthly Log'!$E$4:$E$303,'Monthly Log'!$A$4:$A$303,$A10))</f>
        <v>48</v>
      </c>
      <c r="F10" s="37" t="n">
        <f aca="false">IF($A10="","",SUMIFS('Monthly Log'!$F$4:$F$303,'Monthly Log'!$A$4:$A$303,$A10))</f>
        <v>39</v>
      </c>
      <c r="G10" s="59" t="n">
        <f aca="false">IF(N($E10)=0,"",$F10/$E10)</f>
        <v>0.8125</v>
      </c>
      <c r="H10" s="60" t="n">
        <f aca="false">IF($A10="","",SUMIFS('Monthly Log'!$G$4:$G$303,'Monthly Log'!$A$4:$A$303,$A10))</f>
        <v>2092000</v>
      </c>
      <c r="I10" s="37" t="n">
        <f aca="false">IF($A10="","",SUMIFS('Monthly Log'!$J$4:$J$303,'Monthly Log'!$A$4:$A$303,$A10))</f>
        <v>22</v>
      </c>
      <c r="J10" s="37" t="n">
        <f aca="false">IF($A10="","",SUMIFS('Monthly Log'!$K$4:$K$303,'Monthly Log'!$A$4:$A$303,$A10))</f>
        <v>4</v>
      </c>
      <c r="K10" s="37" t="n">
        <f aca="false">IF($A10="","",SUMIFS('Monthly Log'!$L$4:$L$303,'Monthly Log'!$A$4:$A$303,$A10))</f>
        <v>7</v>
      </c>
      <c r="L10" s="3"/>
    </row>
    <row r="11" customFormat="false" ht="15" hidden="false" customHeight="false" outlineLevel="0" collapsed="false">
      <c r="A11" s="27"/>
      <c r="B11" s="33" t="str">
        <f aca="false">IF($A11="","",SUMIFS('Monthly Log'!$C$4:$C$303,'Monthly Log'!$A$4:$A$303,$A11))</f>
        <v/>
      </c>
      <c r="C11" s="33" t="str">
        <f aca="false">IF($A11="","",SUMIFS('Monthly Log'!$D$4:$D$303,'Monthly Log'!$A$4:$A$303,$A11))</f>
        <v/>
      </c>
      <c r="D11" s="54" t="str">
        <f aca="false">IF(N($B11)=0,"",$C11/$B11)</f>
        <v/>
      </c>
      <c r="E11" s="33" t="str">
        <f aca="false">IF($A11="","",SUMIFS('Monthly Log'!$E$4:$E$303,'Monthly Log'!$A$4:$A$303,$A11))</f>
        <v/>
      </c>
      <c r="F11" s="33" t="str">
        <f aca="false">IF($A11="","",SUMIFS('Monthly Log'!$F$4:$F$303,'Monthly Log'!$A$4:$A$303,$A11))</f>
        <v/>
      </c>
      <c r="G11" s="54" t="str">
        <f aca="false">IF(N($E11)=0,"",$F11/$E11)</f>
        <v/>
      </c>
      <c r="H11" s="55" t="str">
        <f aca="false">IF($A11="","",SUMIFS('Monthly Log'!$G$4:$G$303,'Monthly Log'!$A$4:$A$303,$A11))</f>
        <v/>
      </c>
      <c r="I11" s="33" t="str">
        <f aca="false">IF($A11="","",SUMIFS('Monthly Log'!$J$4:$J$303,'Monthly Log'!$A$4:$A$303,$A11))</f>
        <v/>
      </c>
      <c r="J11" s="33" t="str">
        <f aca="false">IF($A11="","",SUMIFS('Monthly Log'!$K$4:$K$303,'Monthly Log'!$A$4:$A$303,$A11))</f>
        <v/>
      </c>
      <c r="K11" s="33" t="str">
        <f aca="false">IF($A11="","",SUMIFS('Monthly Log'!$L$4:$L$303,'Monthly Log'!$A$4:$A$303,$A11))</f>
        <v/>
      </c>
      <c r="L11" s="3"/>
    </row>
    <row r="12" customFormat="false" ht="15" hidden="false" customHeight="false" outlineLevel="0" collapsed="false">
      <c r="A12" s="29"/>
      <c r="B12" s="37" t="str">
        <f aca="false">IF($A12="","",SUMIFS('Monthly Log'!$C$4:$C$303,'Monthly Log'!$A$4:$A$303,$A12))</f>
        <v/>
      </c>
      <c r="C12" s="37" t="str">
        <f aca="false">IF($A12="","",SUMIFS('Monthly Log'!$D$4:$D$303,'Monthly Log'!$A$4:$A$303,$A12))</f>
        <v/>
      </c>
      <c r="D12" s="59" t="str">
        <f aca="false">IF(N($B12)=0,"",$C12/$B12)</f>
        <v/>
      </c>
      <c r="E12" s="37" t="str">
        <f aca="false">IF($A12="","",SUMIFS('Monthly Log'!$E$4:$E$303,'Monthly Log'!$A$4:$A$303,$A12))</f>
        <v/>
      </c>
      <c r="F12" s="37" t="str">
        <f aca="false">IF($A12="","",SUMIFS('Monthly Log'!$F$4:$F$303,'Monthly Log'!$A$4:$A$303,$A12))</f>
        <v/>
      </c>
      <c r="G12" s="59" t="str">
        <f aca="false">IF(N($E12)=0,"",$F12/$E12)</f>
        <v/>
      </c>
      <c r="H12" s="60" t="str">
        <f aca="false">IF($A12="","",SUMIFS('Monthly Log'!$G$4:$G$303,'Monthly Log'!$A$4:$A$303,$A12))</f>
        <v/>
      </c>
      <c r="I12" s="37" t="str">
        <f aca="false">IF($A12="","",SUMIFS('Monthly Log'!$J$4:$J$303,'Monthly Log'!$A$4:$A$303,$A12))</f>
        <v/>
      </c>
      <c r="J12" s="37" t="str">
        <f aca="false">IF($A12="","",SUMIFS('Monthly Log'!$K$4:$K$303,'Monthly Log'!$A$4:$A$303,$A12))</f>
        <v/>
      </c>
      <c r="K12" s="37" t="str">
        <f aca="false">IF($A12="","",SUMIFS('Monthly Log'!$L$4:$L$303,'Monthly Log'!$A$4:$A$303,$A12))</f>
        <v/>
      </c>
      <c r="L12" s="3"/>
    </row>
    <row r="13" customFormat="false" ht="15" hidden="false" customHeight="false" outlineLevel="0" collapsed="false">
      <c r="A13" s="27"/>
      <c r="B13" s="33" t="str">
        <f aca="false">IF($A13="","",SUMIFS('Monthly Log'!$C$4:$C$303,'Monthly Log'!$A$4:$A$303,$A13))</f>
        <v/>
      </c>
      <c r="C13" s="33" t="str">
        <f aca="false">IF($A13="","",SUMIFS('Monthly Log'!$D$4:$D$303,'Monthly Log'!$A$4:$A$303,$A13))</f>
        <v/>
      </c>
      <c r="D13" s="54" t="str">
        <f aca="false">IF(N($B13)=0,"",$C13/$B13)</f>
        <v/>
      </c>
      <c r="E13" s="33" t="str">
        <f aca="false">IF($A13="","",SUMIFS('Monthly Log'!$E$4:$E$303,'Monthly Log'!$A$4:$A$303,$A13))</f>
        <v/>
      </c>
      <c r="F13" s="33" t="str">
        <f aca="false">IF($A13="","",SUMIFS('Monthly Log'!$F$4:$F$303,'Monthly Log'!$A$4:$A$303,$A13))</f>
        <v/>
      </c>
      <c r="G13" s="54" t="str">
        <f aca="false">IF(N($E13)=0,"",$F13/$E13)</f>
        <v/>
      </c>
      <c r="H13" s="55" t="str">
        <f aca="false">IF($A13="","",SUMIFS('Monthly Log'!$G$4:$G$303,'Monthly Log'!$A$4:$A$303,$A13))</f>
        <v/>
      </c>
      <c r="I13" s="33" t="str">
        <f aca="false">IF($A13="","",SUMIFS('Monthly Log'!$J$4:$J$303,'Monthly Log'!$A$4:$A$303,$A13))</f>
        <v/>
      </c>
      <c r="J13" s="33" t="str">
        <f aca="false">IF($A13="","",SUMIFS('Monthly Log'!$K$4:$K$303,'Monthly Log'!$A$4:$A$303,$A13))</f>
        <v/>
      </c>
      <c r="K13" s="33" t="str">
        <f aca="false">IF($A13="","",SUMIFS('Monthly Log'!$L$4:$L$303,'Monthly Log'!$A$4:$A$303,$A13))</f>
        <v/>
      </c>
      <c r="L13" s="3"/>
    </row>
    <row r="14" customFormat="false" ht="15" hidden="false" customHeight="false" outlineLevel="0" collapsed="false">
      <c r="A14" s="29"/>
      <c r="B14" s="37" t="str">
        <f aca="false">IF($A14="","",SUMIFS('Monthly Log'!$C$4:$C$303,'Monthly Log'!$A$4:$A$303,$A14))</f>
        <v/>
      </c>
      <c r="C14" s="37" t="str">
        <f aca="false">IF($A14="","",SUMIFS('Monthly Log'!$D$4:$D$303,'Monthly Log'!$A$4:$A$303,$A14))</f>
        <v/>
      </c>
      <c r="D14" s="59" t="str">
        <f aca="false">IF(N($B14)=0,"",$C14/$B14)</f>
        <v/>
      </c>
      <c r="E14" s="37" t="str">
        <f aca="false">IF($A14="","",SUMIFS('Monthly Log'!$E$4:$E$303,'Monthly Log'!$A$4:$A$303,$A14))</f>
        <v/>
      </c>
      <c r="F14" s="37" t="str">
        <f aca="false">IF($A14="","",SUMIFS('Monthly Log'!$F$4:$F$303,'Monthly Log'!$A$4:$A$303,$A14))</f>
        <v/>
      </c>
      <c r="G14" s="59" t="str">
        <f aca="false">IF(N($E14)=0,"",$F14/$E14)</f>
        <v/>
      </c>
      <c r="H14" s="60" t="str">
        <f aca="false">IF($A14="","",SUMIFS('Monthly Log'!$G$4:$G$303,'Monthly Log'!$A$4:$A$303,$A14))</f>
        <v/>
      </c>
      <c r="I14" s="37" t="str">
        <f aca="false">IF($A14="","",SUMIFS('Monthly Log'!$J$4:$J$303,'Monthly Log'!$A$4:$A$303,$A14))</f>
        <v/>
      </c>
      <c r="J14" s="37" t="str">
        <f aca="false">IF($A14="","",SUMIFS('Monthly Log'!$K$4:$K$303,'Monthly Log'!$A$4:$A$303,$A14))</f>
        <v/>
      </c>
      <c r="K14" s="37" t="str">
        <f aca="false">IF($A14="","",SUMIFS('Monthly Log'!$L$4:$L$303,'Monthly Log'!$A$4:$A$303,$A14))</f>
        <v/>
      </c>
      <c r="L14" s="3"/>
    </row>
    <row r="15" customFormat="false" ht="15" hidden="false" customHeight="false" outlineLevel="0" collapsed="false">
      <c r="A15" s="27"/>
      <c r="B15" s="33" t="str">
        <f aca="false">IF($A15="","",SUMIFS('Monthly Log'!$C$4:$C$303,'Monthly Log'!$A$4:$A$303,$A15))</f>
        <v/>
      </c>
      <c r="C15" s="33" t="str">
        <f aca="false">IF($A15="","",SUMIFS('Monthly Log'!$D$4:$D$303,'Monthly Log'!$A$4:$A$303,$A15))</f>
        <v/>
      </c>
      <c r="D15" s="54" t="str">
        <f aca="false">IF(N($B15)=0,"",$C15/$B15)</f>
        <v/>
      </c>
      <c r="E15" s="33" t="str">
        <f aca="false">IF($A15="","",SUMIFS('Monthly Log'!$E$4:$E$303,'Monthly Log'!$A$4:$A$303,$A15))</f>
        <v/>
      </c>
      <c r="F15" s="33" t="str">
        <f aca="false">IF($A15="","",SUMIFS('Monthly Log'!$F$4:$F$303,'Monthly Log'!$A$4:$A$303,$A15))</f>
        <v/>
      </c>
      <c r="G15" s="54" t="str">
        <f aca="false">IF(N($E15)=0,"",$F15/$E15)</f>
        <v/>
      </c>
      <c r="H15" s="55" t="str">
        <f aca="false">IF($A15="","",SUMIFS('Monthly Log'!$G$4:$G$303,'Monthly Log'!$A$4:$A$303,$A15))</f>
        <v/>
      </c>
      <c r="I15" s="33" t="str">
        <f aca="false">IF($A15="","",SUMIFS('Monthly Log'!$J$4:$J$303,'Monthly Log'!$A$4:$A$303,$A15))</f>
        <v/>
      </c>
      <c r="J15" s="33" t="str">
        <f aca="false">IF($A15="","",SUMIFS('Monthly Log'!$K$4:$K$303,'Monthly Log'!$A$4:$A$303,$A15))</f>
        <v/>
      </c>
      <c r="K15" s="33" t="str">
        <f aca="false">IF($A15="","",SUMIFS('Monthly Log'!$L$4:$L$303,'Monthly Log'!$A$4:$A$303,$A15))</f>
        <v/>
      </c>
      <c r="L15" s="3"/>
    </row>
    <row r="16" customFormat="false" ht="15" hidden="false" customHeight="false" outlineLevel="0" collapsed="false">
      <c r="A16" s="29"/>
      <c r="B16" s="37" t="str">
        <f aca="false">IF($A16="","",SUMIFS('Monthly Log'!$C$4:$C$303,'Monthly Log'!$A$4:$A$303,$A16))</f>
        <v/>
      </c>
      <c r="C16" s="37" t="str">
        <f aca="false">IF($A16="","",SUMIFS('Monthly Log'!$D$4:$D$303,'Monthly Log'!$A$4:$A$303,$A16))</f>
        <v/>
      </c>
      <c r="D16" s="59" t="str">
        <f aca="false">IF(N($B16)=0,"",$C16/$B16)</f>
        <v/>
      </c>
      <c r="E16" s="37" t="str">
        <f aca="false">IF($A16="","",SUMIFS('Monthly Log'!$E$4:$E$303,'Monthly Log'!$A$4:$A$303,$A16))</f>
        <v/>
      </c>
      <c r="F16" s="37" t="str">
        <f aca="false">IF($A16="","",SUMIFS('Monthly Log'!$F$4:$F$303,'Monthly Log'!$A$4:$A$303,$A16))</f>
        <v/>
      </c>
      <c r="G16" s="59" t="str">
        <f aca="false">IF(N($E16)=0,"",$F16/$E16)</f>
        <v/>
      </c>
      <c r="H16" s="60" t="str">
        <f aca="false">IF($A16="","",SUMIFS('Monthly Log'!$G$4:$G$303,'Monthly Log'!$A$4:$A$303,$A16))</f>
        <v/>
      </c>
      <c r="I16" s="37" t="str">
        <f aca="false">IF($A16="","",SUMIFS('Monthly Log'!$J$4:$J$303,'Monthly Log'!$A$4:$A$303,$A16))</f>
        <v/>
      </c>
      <c r="J16" s="37" t="str">
        <f aca="false">IF($A16="","",SUMIFS('Monthly Log'!$K$4:$K$303,'Monthly Log'!$A$4:$A$303,$A16))</f>
        <v/>
      </c>
      <c r="K16" s="37" t="str">
        <f aca="false">IF($A16="","",SUMIFS('Monthly Log'!$L$4:$L$303,'Monthly Log'!$A$4:$A$303,$A16))</f>
        <v/>
      </c>
      <c r="L16" s="3"/>
    </row>
    <row r="17" customFormat="false" ht="15" hidden="false" customHeight="false" outlineLevel="0" collapsed="false">
      <c r="A17" s="27"/>
      <c r="B17" s="33" t="str">
        <f aca="false">IF($A17="","",SUMIFS('Monthly Log'!$C$4:$C$303,'Monthly Log'!$A$4:$A$303,$A17))</f>
        <v/>
      </c>
      <c r="C17" s="33" t="str">
        <f aca="false">IF($A17="","",SUMIFS('Monthly Log'!$D$4:$D$303,'Monthly Log'!$A$4:$A$303,$A17))</f>
        <v/>
      </c>
      <c r="D17" s="54" t="str">
        <f aca="false">IF(N($B17)=0,"",$C17/$B17)</f>
        <v/>
      </c>
      <c r="E17" s="33" t="str">
        <f aca="false">IF($A17="","",SUMIFS('Monthly Log'!$E$4:$E$303,'Monthly Log'!$A$4:$A$303,$A17))</f>
        <v/>
      </c>
      <c r="F17" s="33" t="str">
        <f aca="false">IF($A17="","",SUMIFS('Monthly Log'!$F$4:$F$303,'Monthly Log'!$A$4:$A$303,$A17))</f>
        <v/>
      </c>
      <c r="G17" s="54" t="str">
        <f aca="false">IF(N($E17)=0,"",$F17/$E17)</f>
        <v/>
      </c>
      <c r="H17" s="55" t="str">
        <f aca="false">IF($A17="","",SUMIFS('Monthly Log'!$G$4:$G$303,'Monthly Log'!$A$4:$A$303,$A17))</f>
        <v/>
      </c>
      <c r="I17" s="33" t="str">
        <f aca="false">IF($A17="","",SUMIFS('Monthly Log'!$J$4:$J$303,'Monthly Log'!$A$4:$A$303,$A17))</f>
        <v/>
      </c>
      <c r="J17" s="33" t="str">
        <f aca="false">IF($A17="","",SUMIFS('Monthly Log'!$K$4:$K$303,'Monthly Log'!$A$4:$A$303,$A17))</f>
        <v/>
      </c>
      <c r="K17" s="33" t="str">
        <f aca="false">IF($A17="","",SUMIFS('Monthly Log'!$L$4:$L$303,'Monthly Log'!$A$4:$A$303,$A17))</f>
        <v/>
      </c>
      <c r="L17" s="3"/>
    </row>
    <row r="18" customFormat="false" ht="15" hidden="false" customHeight="false" outlineLevel="0" collapsed="false">
      <c r="A18" s="29"/>
      <c r="B18" s="37" t="str">
        <f aca="false">IF($A18="","",SUMIFS('Monthly Log'!$C$4:$C$303,'Monthly Log'!$A$4:$A$303,$A18))</f>
        <v/>
      </c>
      <c r="C18" s="37" t="str">
        <f aca="false">IF($A18="","",SUMIFS('Monthly Log'!$D$4:$D$303,'Monthly Log'!$A$4:$A$303,$A18))</f>
        <v/>
      </c>
      <c r="D18" s="59" t="str">
        <f aca="false">IF(N($B18)=0,"",$C18/$B18)</f>
        <v/>
      </c>
      <c r="E18" s="37" t="str">
        <f aca="false">IF($A18="","",SUMIFS('Monthly Log'!$E$4:$E$303,'Monthly Log'!$A$4:$A$303,$A18))</f>
        <v/>
      </c>
      <c r="F18" s="37" t="str">
        <f aca="false">IF($A18="","",SUMIFS('Monthly Log'!$F$4:$F$303,'Monthly Log'!$A$4:$A$303,$A18))</f>
        <v/>
      </c>
      <c r="G18" s="59" t="str">
        <f aca="false">IF(N($E18)=0,"",$F18/$E18)</f>
        <v/>
      </c>
      <c r="H18" s="60" t="str">
        <f aca="false">IF($A18="","",SUMIFS('Monthly Log'!$G$4:$G$303,'Monthly Log'!$A$4:$A$303,$A18))</f>
        <v/>
      </c>
      <c r="I18" s="37" t="str">
        <f aca="false">IF($A18="","",SUMIFS('Monthly Log'!$J$4:$J$303,'Monthly Log'!$A$4:$A$303,$A18))</f>
        <v/>
      </c>
      <c r="J18" s="37" t="str">
        <f aca="false">IF($A18="","",SUMIFS('Monthly Log'!$K$4:$K$303,'Monthly Log'!$A$4:$A$303,$A18))</f>
        <v/>
      </c>
      <c r="K18" s="37" t="str">
        <f aca="false">IF($A18="","",SUMIFS('Monthly Log'!$L$4:$L$303,'Monthly Log'!$A$4:$A$303,$A18))</f>
        <v/>
      </c>
      <c r="L18" s="3"/>
    </row>
    <row r="19" customFormat="false" ht="15" hidden="false" customHeight="false" outlineLevel="0" collapsed="false">
      <c r="A19" s="27"/>
      <c r="B19" s="33" t="str">
        <f aca="false">IF($A19="","",SUMIFS('Monthly Log'!$C$4:$C$303,'Monthly Log'!$A$4:$A$303,$A19))</f>
        <v/>
      </c>
      <c r="C19" s="33" t="str">
        <f aca="false">IF($A19="","",SUMIFS('Monthly Log'!$D$4:$D$303,'Monthly Log'!$A$4:$A$303,$A19))</f>
        <v/>
      </c>
      <c r="D19" s="54" t="str">
        <f aca="false">IF(N($B19)=0,"",$C19/$B19)</f>
        <v/>
      </c>
      <c r="E19" s="33" t="str">
        <f aca="false">IF($A19="","",SUMIFS('Monthly Log'!$E$4:$E$303,'Monthly Log'!$A$4:$A$303,$A19))</f>
        <v/>
      </c>
      <c r="F19" s="33" t="str">
        <f aca="false">IF($A19="","",SUMIFS('Monthly Log'!$F$4:$F$303,'Monthly Log'!$A$4:$A$303,$A19))</f>
        <v/>
      </c>
      <c r="G19" s="54" t="str">
        <f aca="false">IF(N($E19)=0,"",$F19/$E19)</f>
        <v/>
      </c>
      <c r="H19" s="55" t="str">
        <f aca="false">IF($A19="","",SUMIFS('Monthly Log'!$G$4:$G$303,'Monthly Log'!$A$4:$A$303,$A19))</f>
        <v/>
      </c>
      <c r="I19" s="33" t="str">
        <f aca="false">IF($A19="","",SUMIFS('Monthly Log'!$J$4:$J$303,'Monthly Log'!$A$4:$A$303,$A19))</f>
        <v/>
      </c>
      <c r="J19" s="33" t="str">
        <f aca="false">IF($A19="","",SUMIFS('Monthly Log'!$K$4:$K$303,'Monthly Log'!$A$4:$A$303,$A19))</f>
        <v/>
      </c>
      <c r="K19" s="33" t="str">
        <f aca="false">IF($A19="","",SUMIFS('Monthly Log'!$L$4:$L$303,'Monthly Log'!$A$4:$A$303,$A19))</f>
        <v/>
      </c>
      <c r="L19" s="3"/>
    </row>
    <row r="20" customFormat="false" ht="15" hidden="false" customHeight="false" outlineLevel="0" collapsed="false">
      <c r="A20" s="29"/>
      <c r="B20" s="37" t="str">
        <f aca="false">IF($A20="","",SUMIFS('Monthly Log'!$C$4:$C$303,'Monthly Log'!$A$4:$A$303,$A20))</f>
        <v/>
      </c>
      <c r="C20" s="37" t="str">
        <f aca="false">IF($A20="","",SUMIFS('Monthly Log'!$D$4:$D$303,'Monthly Log'!$A$4:$A$303,$A20))</f>
        <v/>
      </c>
      <c r="D20" s="59" t="str">
        <f aca="false">IF(N($B20)=0,"",$C20/$B20)</f>
        <v/>
      </c>
      <c r="E20" s="37" t="str">
        <f aca="false">IF($A20="","",SUMIFS('Monthly Log'!$E$4:$E$303,'Monthly Log'!$A$4:$A$303,$A20))</f>
        <v/>
      </c>
      <c r="F20" s="37" t="str">
        <f aca="false">IF($A20="","",SUMIFS('Monthly Log'!$F$4:$F$303,'Monthly Log'!$A$4:$A$303,$A20))</f>
        <v/>
      </c>
      <c r="G20" s="59" t="str">
        <f aca="false">IF(N($E20)=0,"",$F20/$E20)</f>
        <v/>
      </c>
      <c r="H20" s="60" t="str">
        <f aca="false">IF($A20="","",SUMIFS('Monthly Log'!$G$4:$G$303,'Monthly Log'!$A$4:$A$303,$A20))</f>
        <v/>
      </c>
      <c r="I20" s="37" t="str">
        <f aca="false">IF($A20="","",SUMIFS('Monthly Log'!$J$4:$J$303,'Monthly Log'!$A$4:$A$303,$A20))</f>
        <v/>
      </c>
      <c r="J20" s="37" t="str">
        <f aca="false">IF($A20="","",SUMIFS('Monthly Log'!$K$4:$K$303,'Monthly Log'!$A$4:$A$303,$A20))</f>
        <v/>
      </c>
      <c r="K20" s="37" t="str">
        <f aca="false">IF($A20="","",SUMIFS('Monthly Log'!$L$4:$L$303,'Monthly Log'!$A$4:$A$303,$A20))</f>
        <v/>
      </c>
      <c r="L20" s="3"/>
    </row>
    <row r="21" customFormat="false" ht="15" hidden="false" customHeight="false" outlineLevel="0" collapsed="false">
      <c r="A21" s="27"/>
      <c r="B21" s="33" t="str">
        <f aca="false">IF($A21="","",SUMIFS('Monthly Log'!$C$4:$C$303,'Monthly Log'!$A$4:$A$303,$A21))</f>
        <v/>
      </c>
      <c r="C21" s="33" t="str">
        <f aca="false">IF($A21="","",SUMIFS('Monthly Log'!$D$4:$D$303,'Monthly Log'!$A$4:$A$303,$A21))</f>
        <v/>
      </c>
      <c r="D21" s="54" t="str">
        <f aca="false">IF(N($B21)=0,"",$C21/$B21)</f>
        <v/>
      </c>
      <c r="E21" s="33" t="str">
        <f aca="false">IF($A21="","",SUMIFS('Monthly Log'!$E$4:$E$303,'Monthly Log'!$A$4:$A$303,$A21))</f>
        <v/>
      </c>
      <c r="F21" s="33" t="str">
        <f aca="false">IF($A21="","",SUMIFS('Monthly Log'!$F$4:$F$303,'Monthly Log'!$A$4:$A$303,$A21))</f>
        <v/>
      </c>
      <c r="G21" s="54" t="str">
        <f aca="false">IF(N($E21)=0,"",$F21/$E21)</f>
        <v/>
      </c>
      <c r="H21" s="55" t="str">
        <f aca="false">IF($A21="","",SUMIFS('Monthly Log'!$G$4:$G$303,'Monthly Log'!$A$4:$A$303,$A21))</f>
        <v/>
      </c>
      <c r="I21" s="33" t="str">
        <f aca="false">IF($A21="","",SUMIFS('Monthly Log'!$J$4:$J$303,'Monthly Log'!$A$4:$A$303,$A21))</f>
        <v/>
      </c>
      <c r="J21" s="33" t="str">
        <f aca="false">IF($A21="","",SUMIFS('Monthly Log'!$K$4:$K$303,'Monthly Log'!$A$4:$A$303,$A21))</f>
        <v/>
      </c>
      <c r="K21" s="33" t="str">
        <f aca="false">IF($A21="","",SUMIFS('Monthly Log'!$L$4:$L$303,'Monthly Log'!$A$4:$A$303,$A21))</f>
        <v/>
      </c>
      <c r="L21" s="3"/>
    </row>
    <row r="22" customFormat="false" ht="15" hidden="false" customHeight="false" outlineLevel="0" collapsed="false">
      <c r="A22" s="29"/>
      <c r="B22" s="37" t="str">
        <f aca="false">IF($A22="","",SUMIFS('Monthly Log'!$C$4:$C$303,'Monthly Log'!$A$4:$A$303,$A22))</f>
        <v/>
      </c>
      <c r="C22" s="37" t="str">
        <f aca="false">IF($A22="","",SUMIFS('Monthly Log'!$D$4:$D$303,'Monthly Log'!$A$4:$A$303,$A22))</f>
        <v/>
      </c>
      <c r="D22" s="59" t="str">
        <f aca="false">IF(N($B22)=0,"",$C22/$B22)</f>
        <v/>
      </c>
      <c r="E22" s="37" t="str">
        <f aca="false">IF($A22="","",SUMIFS('Monthly Log'!$E$4:$E$303,'Monthly Log'!$A$4:$A$303,$A22))</f>
        <v/>
      </c>
      <c r="F22" s="37" t="str">
        <f aca="false">IF($A22="","",SUMIFS('Monthly Log'!$F$4:$F$303,'Monthly Log'!$A$4:$A$303,$A22))</f>
        <v/>
      </c>
      <c r="G22" s="59" t="str">
        <f aca="false">IF(N($E22)=0,"",$F22/$E22)</f>
        <v/>
      </c>
      <c r="H22" s="60" t="str">
        <f aca="false">IF($A22="","",SUMIFS('Monthly Log'!$G$4:$G$303,'Monthly Log'!$A$4:$A$303,$A22))</f>
        <v/>
      </c>
      <c r="I22" s="37" t="str">
        <f aca="false">IF($A22="","",SUMIFS('Monthly Log'!$J$4:$J$303,'Monthly Log'!$A$4:$A$303,$A22))</f>
        <v/>
      </c>
      <c r="J22" s="37" t="str">
        <f aca="false">IF($A22="","",SUMIFS('Monthly Log'!$K$4:$K$303,'Monthly Log'!$A$4:$A$303,$A22))</f>
        <v/>
      </c>
      <c r="K22" s="37" t="str">
        <f aca="false">IF($A22="","",SUMIFS('Monthly Log'!$L$4:$L$303,'Monthly Log'!$A$4:$A$303,$A22))</f>
        <v/>
      </c>
      <c r="L22" s="3"/>
    </row>
    <row r="23" customFormat="false" ht="15" hidden="false" customHeight="false" outlineLevel="0" collapsed="false">
      <c r="A23" s="27"/>
      <c r="B23" s="33" t="str">
        <f aca="false">IF($A23="","",SUMIFS('Monthly Log'!$C$4:$C$303,'Monthly Log'!$A$4:$A$303,$A23))</f>
        <v/>
      </c>
      <c r="C23" s="33" t="str">
        <f aca="false">IF($A23="","",SUMIFS('Monthly Log'!$D$4:$D$303,'Monthly Log'!$A$4:$A$303,$A23))</f>
        <v/>
      </c>
      <c r="D23" s="54" t="str">
        <f aca="false">IF(N($B23)=0,"",$C23/$B23)</f>
        <v/>
      </c>
      <c r="E23" s="33" t="str">
        <f aca="false">IF($A23="","",SUMIFS('Monthly Log'!$E$4:$E$303,'Monthly Log'!$A$4:$A$303,$A23))</f>
        <v/>
      </c>
      <c r="F23" s="33" t="str">
        <f aca="false">IF($A23="","",SUMIFS('Monthly Log'!$F$4:$F$303,'Monthly Log'!$A$4:$A$303,$A23))</f>
        <v/>
      </c>
      <c r="G23" s="54" t="str">
        <f aca="false">IF(N($E23)=0,"",$F23/$E23)</f>
        <v/>
      </c>
      <c r="H23" s="55" t="str">
        <f aca="false">IF($A23="","",SUMIFS('Monthly Log'!$G$4:$G$303,'Monthly Log'!$A$4:$A$303,$A23))</f>
        <v/>
      </c>
      <c r="I23" s="33" t="str">
        <f aca="false">IF($A23="","",SUMIFS('Monthly Log'!$J$4:$J$303,'Monthly Log'!$A$4:$A$303,$A23))</f>
        <v/>
      </c>
      <c r="J23" s="33" t="str">
        <f aca="false">IF($A23="","",SUMIFS('Monthly Log'!$K$4:$K$303,'Monthly Log'!$A$4:$A$303,$A23))</f>
        <v/>
      </c>
      <c r="K23" s="33" t="str">
        <f aca="false">IF($A23="","",SUMIFS('Monthly Log'!$L$4:$L$303,'Monthly Log'!$A$4:$A$303,$A23))</f>
        <v/>
      </c>
      <c r="L23" s="3"/>
    </row>
    <row r="24" customFormat="false" ht="15" hidden="false" customHeight="false" outlineLevel="0" collapsed="false">
      <c r="A24" s="29"/>
      <c r="B24" s="37" t="str">
        <f aca="false">IF($A24="","",SUMIFS('Monthly Log'!$C$4:$C$303,'Monthly Log'!$A$4:$A$303,$A24))</f>
        <v/>
      </c>
      <c r="C24" s="37" t="str">
        <f aca="false">IF($A24="","",SUMIFS('Monthly Log'!$D$4:$D$303,'Monthly Log'!$A$4:$A$303,$A24))</f>
        <v/>
      </c>
      <c r="D24" s="59" t="str">
        <f aca="false">IF(N($B24)=0,"",$C24/$B24)</f>
        <v/>
      </c>
      <c r="E24" s="37" t="str">
        <f aca="false">IF($A24="","",SUMIFS('Monthly Log'!$E$4:$E$303,'Monthly Log'!$A$4:$A$303,$A24))</f>
        <v/>
      </c>
      <c r="F24" s="37" t="str">
        <f aca="false">IF($A24="","",SUMIFS('Monthly Log'!$F$4:$F$303,'Monthly Log'!$A$4:$A$303,$A24))</f>
        <v/>
      </c>
      <c r="G24" s="59" t="str">
        <f aca="false">IF(N($E24)=0,"",$F24/$E24)</f>
        <v/>
      </c>
      <c r="H24" s="60" t="str">
        <f aca="false">IF($A24="","",SUMIFS('Monthly Log'!$G$4:$G$303,'Monthly Log'!$A$4:$A$303,$A24))</f>
        <v/>
      </c>
      <c r="I24" s="37" t="str">
        <f aca="false">IF($A24="","",SUMIFS('Monthly Log'!$J$4:$J$303,'Monthly Log'!$A$4:$A$303,$A24))</f>
        <v/>
      </c>
      <c r="J24" s="37" t="str">
        <f aca="false">IF($A24="","",SUMIFS('Monthly Log'!$K$4:$K$303,'Monthly Log'!$A$4:$A$303,$A24))</f>
        <v/>
      </c>
      <c r="K24" s="37" t="str">
        <f aca="false">IF($A24="","",SUMIFS('Monthly Log'!$L$4:$L$303,'Monthly Log'!$A$4:$A$303,$A24))</f>
        <v/>
      </c>
      <c r="L24" s="3"/>
    </row>
    <row r="25" customFormat="false" ht="15" hidden="false" customHeight="false" outlineLevel="0" collapsed="false">
      <c r="A25" s="27"/>
      <c r="B25" s="33" t="str">
        <f aca="false">IF($A25="","",SUMIFS('Monthly Log'!$C$4:$C$303,'Monthly Log'!$A$4:$A$303,$A25))</f>
        <v/>
      </c>
      <c r="C25" s="33" t="str">
        <f aca="false">IF($A25="","",SUMIFS('Monthly Log'!$D$4:$D$303,'Monthly Log'!$A$4:$A$303,$A25))</f>
        <v/>
      </c>
      <c r="D25" s="54" t="str">
        <f aca="false">IF(N($B25)=0,"",$C25/$B25)</f>
        <v/>
      </c>
      <c r="E25" s="33" t="str">
        <f aca="false">IF($A25="","",SUMIFS('Monthly Log'!$E$4:$E$303,'Monthly Log'!$A$4:$A$303,$A25))</f>
        <v/>
      </c>
      <c r="F25" s="33" t="str">
        <f aca="false">IF($A25="","",SUMIFS('Monthly Log'!$F$4:$F$303,'Monthly Log'!$A$4:$A$303,$A25))</f>
        <v/>
      </c>
      <c r="G25" s="54" t="str">
        <f aca="false">IF(N($E25)=0,"",$F25/$E25)</f>
        <v/>
      </c>
      <c r="H25" s="55" t="str">
        <f aca="false">IF($A25="","",SUMIFS('Monthly Log'!$G$4:$G$303,'Monthly Log'!$A$4:$A$303,$A25))</f>
        <v/>
      </c>
      <c r="I25" s="33" t="str">
        <f aca="false">IF($A25="","",SUMIFS('Monthly Log'!$J$4:$J$303,'Monthly Log'!$A$4:$A$303,$A25))</f>
        <v/>
      </c>
      <c r="J25" s="33" t="str">
        <f aca="false">IF($A25="","",SUMIFS('Monthly Log'!$K$4:$K$303,'Monthly Log'!$A$4:$A$303,$A25))</f>
        <v/>
      </c>
      <c r="K25" s="33" t="str">
        <f aca="false">IF($A25="","",SUMIFS('Monthly Log'!$L$4:$L$303,'Monthly Log'!$A$4:$A$303,$A25))</f>
        <v/>
      </c>
      <c r="L25" s="3"/>
    </row>
    <row r="26" customFormat="false" ht="15" hidden="false" customHeight="false" outlineLevel="0" collapsed="false">
      <c r="A26" s="29"/>
      <c r="B26" s="37" t="str">
        <f aca="false">IF($A26="","",SUMIFS('Monthly Log'!$C$4:$C$303,'Monthly Log'!$A$4:$A$303,$A26))</f>
        <v/>
      </c>
      <c r="C26" s="37" t="str">
        <f aca="false">IF($A26="","",SUMIFS('Monthly Log'!$D$4:$D$303,'Monthly Log'!$A$4:$A$303,$A26))</f>
        <v/>
      </c>
      <c r="D26" s="59" t="str">
        <f aca="false">IF(N($B26)=0,"",$C26/$B26)</f>
        <v/>
      </c>
      <c r="E26" s="37" t="str">
        <f aca="false">IF($A26="","",SUMIFS('Monthly Log'!$E$4:$E$303,'Monthly Log'!$A$4:$A$303,$A26))</f>
        <v/>
      </c>
      <c r="F26" s="37" t="str">
        <f aca="false">IF($A26="","",SUMIFS('Monthly Log'!$F$4:$F$303,'Monthly Log'!$A$4:$A$303,$A26))</f>
        <v/>
      </c>
      <c r="G26" s="59" t="str">
        <f aca="false">IF(N($E26)=0,"",$F26/$E26)</f>
        <v/>
      </c>
      <c r="H26" s="60" t="str">
        <f aca="false">IF($A26="","",SUMIFS('Monthly Log'!$G$4:$G$303,'Monthly Log'!$A$4:$A$303,$A26))</f>
        <v/>
      </c>
      <c r="I26" s="37" t="str">
        <f aca="false">IF($A26="","",SUMIFS('Monthly Log'!$J$4:$J$303,'Monthly Log'!$A$4:$A$303,$A26))</f>
        <v/>
      </c>
      <c r="J26" s="37" t="str">
        <f aca="false">IF($A26="","",SUMIFS('Monthly Log'!$K$4:$K$303,'Monthly Log'!$A$4:$A$303,$A26))</f>
        <v/>
      </c>
      <c r="K26" s="37" t="str">
        <f aca="false">IF($A26="","",SUMIFS('Monthly Log'!$L$4:$L$303,'Monthly Log'!$A$4:$A$303,$A26))</f>
        <v/>
      </c>
      <c r="L26" s="3"/>
    </row>
    <row r="27" customFormat="false" ht="15" hidden="false" customHeight="false" outlineLevel="0" collapsed="false">
      <c r="A27" s="27"/>
      <c r="B27" s="33" t="str">
        <f aca="false">IF($A27="","",SUMIFS('Monthly Log'!$C$4:$C$303,'Monthly Log'!$A$4:$A$303,$A27))</f>
        <v/>
      </c>
      <c r="C27" s="33" t="str">
        <f aca="false">IF($A27="","",SUMIFS('Monthly Log'!$D$4:$D$303,'Monthly Log'!$A$4:$A$303,$A27))</f>
        <v/>
      </c>
      <c r="D27" s="54" t="str">
        <f aca="false">IF(N($B27)=0,"",$C27/$B27)</f>
        <v/>
      </c>
      <c r="E27" s="33" t="str">
        <f aca="false">IF($A27="","",SUMIFS('Monthly Log'!$E$4:$E$303,'Monthly Log'!$A$4:$A$303,$A27))</f>
        <v/>
      </c>
      <c r="F27" s="33" t="str">
        <f aca="false">IF($A27="","",SUMIFS('Monthly Log'!$F$4:$F$303,'Monthly Log'!$A$4:$A$303,$A27))</f>
        <v/>
      </c>
      <c r="G27" s="54" t="str">
        <f aca="false">IF(N($E27)=0,"",$F27/$E27)</f>
        <v/>
      </c>
      <c r="H27" s="55" t="str">
        <f aca="false">IF($A27="","",SUMIFS('Monthly Log'!$G$4:$G$303,'Monthly Log'!$A$4:$A$303,$A27))</f>
        <v/>
      </c>
      <c r="I27" s="33" t="str">
        <f aca="false">IF($A27="","",SUMIFS('Monthly Log'!$J$4:$J$303,'Monthly Log'!$A$4:$A$303,$A27))</f>
        <v/>
      </c>
      <c r="J27" s="33" t="str">
        <f aca="false">IF($A27="","",SUMIFS('Monthly Log'!$K$4:$K$303,'Monthly Log'!$A$4:$A$303,$A27))</f>
        <v/>
      </c>
      <c r="K27" s="33" t="str">
        <f aca="false">IF($A27="","",SUMIFS('Monthly Log'!$L$4:$L$303,'Monthly Log'!$A$4:$A$303,$A27))</f>
        <v/>
      </c>
      <c r="L27" s="3"/>
    </row>
    <row r="28" customFormat="false" ht="15" hidden="false" customHeight="false" outlineLevel="0" collapsed="false">
      <c r="A28" s="29"/>
      <c r="B28" s="37" t="str">
        <f aca="false">IF($A28="","",SUMIFS('Monthly Log'!$C$4:$C$303,'Monthly Log'!$A$4:$A$303,$A28))</f>
        <v/>
      </c>
      <c r="C28" s="37" t="str">
        <f aca="false">IF($A28="","",SUMIFS('Monthly Log'!$D$4:$D$303,'Monthly Log'!$A$4:$A$303,$A28))</f>
        <v/>
      </c>
      <c r="D28" s="59" t="str">
        <f aca="false">IF(N($B28)=0,"",$C28/$B28)</f>
        <v/>
      </c>
      <c r="E28" s="37" t="str">
        <f aca="false">IF($A28="","",SUMIFS('Monthly Log'!$E$4:$E$303,'Monthly Log'!$A$4:$A$303,$A28))</f>
        <v/>
      </c>
      <c r="F28" s="37" t="str">
        <f aca="false">IF($A28="","",SUMIFS('Monthly Log'!$F$4:$F$303,'Monthly Log'!$A$4:$A$303,$A28))</f>
        <v/>
      </c>
      <c r="G28" s="59" t="str">
        <f aca="false">IF(N($E28)=0,"",$F28/$E28)</f>
        <v/>
      </c>
      <c r="H28" s="60" t="str">
        <f aca="false">IF($A28="","",SUMIFS('Monthly Log'!$G$4:$G$303,'Monthly Log'!$A$4:$A$303,$A28))</f>
        <v/>
      </c>
      <c r="I28" s="37" t="str">
        <f aca="false">IF($A28="","",SUMIFS('Monthly Log'!$J$4:$J$303,'Monthly Log'!$A$4:$A$303,$A28))</f>
        <v/>
      </c>
      <c r="J28" s="37" t="str">
        <f aca="false">IF($A28="","",SUMIFS('Monthly Log'!$K$4:$K$303,'Monthly Log'!$A$4:$A$303,$A28))</f>
        <v/>
      </c>
      <c r="K28" s="37" t="str">
        <f aca="false">IF($A28="","",SUMIFS('Monthly Log'!$L$4:$L$303,'Monthly Log'!$A$4:$A$303,$A28))</f>
        <v/>
      </c>
      <c r="L28" s="3"/>
    </row>
    <row r="29" customFormat="false" ht="15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customFormat="false" ht="15" hidden="false" customHeight="false" outlineLevel="0" collapsed="false">
      <c r="A30" s="39" t="s">
        <v>417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customFormat="false" ht="31.5" hidden="false" customHeight="true" outlineLevel="0" collapsed="false">
      <c r="A31" s="12" t="s">
        <v>182</v>
      </c>
      <c r="B31" s="12" t="s">
        <v>392</v>
      </c>
      <c r="C31" s="12" t="s">
        <v>393</v>
      </c>
      <c r="D31" s="12" t="s">
        <v>398</v>
      </c>
      <c r="E31" s="12" t="s">
        <v>401</v>
      </c>
      <c r="F31" s="3"/>
      <c r="G31" s="3"/>
      <c r="H31" s="3"/>
      <c r="I31" s="3"/>
      <c r="J31" s="3"/>
      <c r="K31" s="3"/>
      <c r="L31" s="3"/>
    </row>
    <row r="32" customFormat="false" ht="15" hidden="false" customHeight="false" outlineLevel="0" collapsed="false">
      <c r="A32" s="52" t="str">
        <f aca="false">IF(Dashboard!$B16="","",Dashboard!$B16)</f>
        <v>Client Portal Rebuild</v>
      </c>
      <c r="B32" s="53" t="n">
        <f aca="false">Dashboard!$D16</f>
        <v>500000</v>
      </c>
      <c r="C32" s="53" t="n">
        <f aca="false">Dashboard!$E16</f>
        <v>412000</v>
      </c>
      <c r="D32" s="61" t="n">
        <f aca="false">IF(Dashboard!$J16="","",Dashboard!$J16)</f>
        <v>0.777777777777778</v>
      </c>
      <c r="E32" s="61" t="n">
        <f aca="false">IF(Dashboard!$M16="","",Dashboard!$M16)</f>
        <v>0.818181818181818</v>
      </c>
      <c r="F32" s="3"/>
      <c r="G32" s="3"/>
      <c r="H32" s="3"/>
      <c r="I32" s="3"/>
      <c r="J32" s="3"/>
      <c r="K32" s="3"/>
      <c r="L32" s="3"/>
    </row>
    <row r="33" customFormat="false" ht="15" hidden="false" customHeight="false" outlineLevel="0" collapsed="false">
      <c r="A33" s="52" t="str">
        <f aca="false">IF(Dashboard!$B17="","",Dashboard!$B17)</f>
        <v>Data Platform Migration</v>
      </c>
      <c r="B33" s="53" t="n">
        <f aca="false">Dashboard!$D17</f>
        <v>820000</v>
      </c>
      <c r="C33" s="53" t="n">
        <f aca="false">Dashboard!$E17</f>
        <v>690000</v>
      </c>
      <c r="D33" s="61" t="n">
        <f aca="false">IF(Dashboard!$J17="","",Dashboard!$J17)</f>
        <v>0.9</v>
      </c>
      <c r="E33" s="61" t="n">
        <f aca="false">IF(Dashboard!$M17="","",Dashboard!$M17)</f>
        <v>0.9</v>
      </c>
      <c r="F33" s="3"/>
      <c r="G33" s="3"/>
      <c r="H33" s="3"/>
      <c r="I33" s="3"/>
      <c r="J33" s="3"/>
      <c r="K33" s="3"/>
      <c r="L33" s="3"/>
    </row>
    <row r="34" customFormat="false" ht="15" hidden="false" customHeight="false" outlineLevel="0" collapsed="false">
      <c r="A34" s="52" t="str">
        <f aca="false">IF(Dashboard!$B18="","",Dashboard!$B18)</f>
        <v>Regulatory Reporting Uplift</v>
      </c>
      <c r="B34" s="53" t="n">
        <f aca="false">Dashboard!$D18</f>
        <v>340000</v>
      </c>
      <c r="C34" s="53" t="n">
        <f aca="false">Dashboard!$E18</f>
        <v>351000</v>
      </c>
      <c r="D34" s="61" t="n">
        <f aca="false">IF(Dashboard!$J18="","",Dashboard!$J18)</f>
        <v>0.625</v>
      </c>
      <c r="E34" s="61" t="n">
        <f aca="false">IF(Dashboard!$M18="","",Dashboard!$M18)</f>
        <v>0.6</v>
      </c>
      <c r="F34" s="3"/>
      <c r="G34" s="3"/>
      <c r="H34" s="3"/>
      <c r="I34" s="3"/>
      <c r="J34" s="3"/>
      <c r="K34" s="3"/>
      <c r="L34" s="3"/>
    </row>
    <row r="35" customFormat="false" ht="15" hidden="false" customHeight="false" outlineLevel="0" collapsed="false">
      <c r="A35" s="52" t="str">
        <f aca="false">IF(Dashboard!$B19="","",Dashboard!$B19)</f>
        <v>Market Expansion - APAC</v>
      </c>
      <c r="B35" s="53" t="n">
        <f aca="false">Dashboard!$D19</f>
        <v>610000</v>
      </c>
      <c r="C35" s="53" t="n">
        <f aca="false">Dashboard!$E19</f>
        <v>415000</v>
      </c>
      <c r="D35" s="61" t="n">
        <f aca="false">IF(Dashboard!$J19="","",Dashboard!$J19)</f>
        <v>1</v>
      </c>
      <c r="E35" s="61" t="n">
        <f aca="false">IF(Dashboard!$M19="","",Dashboard!$M19)</f>
        <v>1</v>
      </c>
      <c r="F35" s="3"/>
      <c r="G35" s="3"/>
      <c r="H35" s="3"/>
      <c r="I35" s="3"/>
      <c r="J35" s="3"/>
      <c r="K35" s="3"/>
      <c r="L35" s="3"/>
    </row>
    <row r="36" customFormat="false" ht="15" hidden="false" customHeight="false" outlineLevel="0" collapsed="false">
      <c r="A36" s="52" t="str">
        <f aca="false">IF(Dashboard!$B20="","",Dashboard!$B20)</f>
        <v>Cost-to-Serve Optimisation</v>
      </c>
      <c r="B36" s="53" t="n">
        <f aca="false">Dashboard!$D20</f>
        <v>275000</v>
      </c>
      <c r="C36" s="53" t="n">
        <f aca="false">Dashboard!$E20</f>
        <v>224000</v>
      </c>
      <c r="D36" s="61" t="n">
        <f aca="false">IF(Dashboard!$J20="","",Dashboard!$J20)</f>
        <v>0.857142857142857</v>
      </c>
      <c r="E36" s="61" t="n">
        <f aca="false">IF(Dashboard!$M20="","",Dashboard!$M20)</f>
        <v>0.777777777777778</v>
      </c>
      <c r="F36" s="3"/>
      <c r="G36" s="3"/>
      <c r="H36" s="3"/>
      <c r="I36" s="3"/>
      <c r="J36" s="3"/>
      <c r="K36" s="3"/>
      <c r="L36" s="3"/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0"/>
    <col collapsed="false" customWidth="true" hidden="false" outlineLevel="0" max="5" min="4" style="0" width="12"/>
  </cols>
  <sheetData>
    <row r="1" customFormat="false" ht="25.5" hidden="false" customHeight="true" outlineLevel="0" collapsed="false">
      <c r="A1" s="1" t="s">
        <v>418</v>
      </c>
      <c r="B1" s="1"/>
      <c r="C1" s="1"/>
      <c r="D1" s="1"/>
      <c r="E1" s="1"/>
    </row>
    <row r="2" customFormat="false" ht="15" hidden="false" customHeight="false" outlineLevel="0" collapsed="false">
      <c r="A2" s="2" t="s">
        <v>419</v>
      </c>
      <c r="B2" s="2"/>
      <c r="C2" s="2"/>
      <c r="D2" s="2"/>
      <c r="E2" s="2"/>
    </row>
    <row r="3" customFormat="false" ht="31.5" hidden="false" customHeight="true" outlineLevel="0" collapsed="false">
      <c r="A3" s="12" t="s">
        <v>420</v>
      </c>
      <c r="B3" s="12" t="s">
        <v>421</v>
      </c>
      <c r="C3" s="12" t="s">
        <v>422</v>
      </c>
      <c r="D3" s="12" t="s">
        <v>277</v>
      </c>
      <c r="E3" s="12" t="s">
        <v>423</v>
      </c>
    </row>
    <row r="4" customFormat="false" ht="15" hidden="false" customHeight="false" outlineLevel="0" collapsed="false">
      <c r="A4" s="13" t="s">
        <v>137</v>
      </c>
      <c r="B4" s="13" t="s">
        <v>209</v>
      </c>
      <c r="C4" s="13" t="s">
        <v>298</v>
      </c>
      <c r="D4" s="13" t="s">
        <v>290</v>
      </c>
      <c r="E4" s="13" t="n">
        <v>1</v>
      </c>
    </row>
    <row r="5" customFormat="false" ht="15" hidden="false" customHeight="false" outlineLevel="0" collapsed="false">
      <c r="A5" s="13" t="s">
        <v>139</v>
      </c>
      <c r="B5" s="13" t="s">
        <v>203</v>
      </c>
      <c r="C5" s="13" t="s">
        <v>293</v>
      </c>
      <c r="D5" s="13" t="s">
        <v>295</v>
      </c>
      <c r="E5" s="13" t="n">
        <v>2</v>
      </c>
    </row>
    <row r="6" customFormat="false" ht="15" hidden="false" customHeight="false" outlineLevel="0" collapsed="false">
      <c r="A6" s="13" t="s">
        <v>156</v>
      </c>
      <c r="B6" s="13" t="s">
        <v>197</v>
      </c>
      <c r="C6" s="13" t="s">
        <v>308</v>
      </c>
      <c r="D6" s="3"/>
      <c r="E6" s="13" t="n">
        <v>3</v>
      </c>
    </row>
    <row r="7" customFormat="false" ht="15" hidden="false" customHeight="false" outlineLevel="0" collapsed="false">
      <c r="A7" s="3"/>
      <c r="B7" s="13" t="s">
        <v>184</v>
      </c>
      <c r="C7" s="3"/>
      <c r="D7" s="3"/>
      <c r="E7" s="13" t="n">
        <v>4</v>
      </c>
    </row>
    <row r="8" customFormat="false" ht="15" hidden="false" customHeight="false" outlineLevel="0" collapsed="false">
      <c r="A8" s="3"/>
      <c r="B8" s="13" t="s">
        <v>424</v>
      </c>
      <c r="C8" s="3"/>
      <c r="D8" s="3"/>
      <c r="E8" s="13" t="n">
        <v>5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2026-08-30T07:27:50Z</dcterms:created>
  <dc:creator>openpyxl</dc:creator>
  <dc:description/>
  <dc:language>en-US</dc:language>
  <cp:lastModifiedBy/>
  <dcterms:modified xsi:type="dcterms:W3CDTF">2026-08-30T07:27:52Z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