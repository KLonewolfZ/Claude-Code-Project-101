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6.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 Me" sheetId="1" state="visible" r:id="rId3"/>
    <sheet name="CEO Brief" sheetId="2" state="visible" r:id="rId4"/>
    <sheet name="TOR Register" sheetId="3" state="visible" r:id="rId5"/>
    <sheet name="Daily Log" sheetId="4" state="visible" r:id="rId6"/>
    <sheet name="Monthly Log" sheetId="5" state="visible" r:id="rId7"/>
    <sheet name="Deliverables &amp; RACI" sheetId="6" state="visible" r:id="rId8"/>
    <sheet name="Risks &amp; Issues" sheetId="7" state="visible" r:id="rId9"/>
    <sheet name="Dashboard" sheetId="8" state="visible" r:id="rId10"/>
    <sheet name="Charts" sheetId="9" state="visible" r:id="rId11"/>
    <sheet name="Lists" sheetId="10" state="visible" r:id="rId12"/>
  </sheets>
  <definedNames>
    <definedName function="false" hidden="true" localSheetId="3" name="_xlnm._FilterDatabase" vbProcedure="false">'Daily Log'!$A$3:$N$1503</definedName>
    <definedName function="false" hidden="true" localSheetId="5" name="_xlnm._FilterDatabase" vbProcedure="false">'Deliverables &amp; RACI'!$A$3:$J$203</definedName>
    <definedName function="false" hidden="true" localSheetId="4" name="_xlnm._FilterDatabase" vbProcedure="false">'Monthly Log'!$A$3:$N$303</definedName>
    <definedName function="false" hidden="true" localSheetId="6" name="_xlnm._FilterDatabase" vbProcedure="false">'Risks &amp; Issues'!$A$3:$M$203</definedName>
    <definedName function="false" hidden="true" localSheetId="2" name="_xlnm._FilterDatabase" vbProcedure="false">'TOR Register'!$A$3:$N$43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<sst xmlns="http://schemas.openxmlformats.org/spreadsheetml/2006/main" count="1119" uniqueCount="506">
  <si>
    <t xml:space="preserve">  Project Strategy TOR Dashboard - daily and monthly</t>
  </si>
  <si>
    <t xml:space="preserve">  Tracks delivery against what each project's Terms of Reference committed to. Log daily during the month; report monthly at governance.</t>
  </si>
  <si>
    <t xml:space="preserve">What this workbook is for</t>
  </si>
  <si>
    <t xml:space="preserve">A single pack the team can run at two speeds. Every metric answers one question: is this project still delivering what its Terms of Reference said it would, for the money and by the dates the TOR approved?</t>
  </si>
  <si>
    <t xml:space="preserve">Two cadences, one dashboard</t>
  </si>
  <si>
    <t xml:space="preserve">Daily</t>
  </si>
  <si>
    <t xml:space="preserve">Log progress each working day on 'Daily Log'. Use it to spot slippage inside the month, while there is still time to act. Set Dashboard C3 to Daily and put the date in C4.</t>
  </si>
  <si>
    <t xml:space="preserve">Monthly</t>
  </si>
  <si>
    <t xml:space="preserve">One row per project per month on 'Monthly Log' - the governance and SteerCo record, and what the monthly trend charts keep. Set Dashboard C3 to Monthly and put the first day of the month in C4.</t>
  </si>
  <si>
    <t xml:space="preserve">How they join</t>
  </si>
  <si>
    <t xml:space="preserve">Both logs hold the same cumulative-to-date figures, so the last daily row of a month IS that month's monthly row. The roll-up block on 'Daily Log' reads off any date so you can copy it straight into the Monthly Log - no double entry, no drift.</t>
  </si>
  <si>
    <t xml:space="preserve">The daily routine - two minutes per project</t>
  </si>
  <si>
    <t xml:space="preserve">1.  Add today's rows</t>
  </si>
  <si>
    <t xml:space="preserve">On 'Daily Log', copy yesterday's block down, change the date, and update anything that moved. Figures are CUMULATIVE TO DATE, not in-day.</t>
  </si>
  <si>
    <t xml:space="preserve">2.  Look at the Dashboard</t>
  </si>
  <si>
    <t xml:space="preserve">Cadence Daily, today's date in C4. Anything Red or Amber is today's problem, not next month's.</t>
  </si>
  <si>
    <t xml:space="preserve">The monthly cycle - five steps</t>
  </si>
  <si>
    <t xml:space="preserve">1.  Update registers</t>
  </si>
  <si>
    <t xml:space="preserve">Add or update rows on 'Deliverables &amp; RACI' and 'Risks &amp; Issues' as things change.</t>
  </si>
  <si>
    <t xml:space="preserve">2.  Roll the month up</t>
  </si>
  <si>
    <t xml:space="preserve">On 'Daily Log', put the month-end date in the roll-up block (cell R3). It shows each project's figures on that date. Copy them into a new month row on 'Monthly Log'. If the team does not log daily, just type the month's figures straight into 'Monthly Log'.</t>
  </si>
  <si>
    <t xml:space="preserve">3.  Copy the live counts</t>
  </si>
  <si>
    <t xml:space="preserve">Copy Open Risks and High Risks from 'Risks &amp; Issues', and RACI Gaps from 'Deliverables &amp; RACI', into the month's row. Freezing them into the log is what gives the trend charts their history - the registers only ever show today.</t>
  </si>
  <si>
    <t xml:space="preserve">4.  Set cadence and month</t>
  </si>
  <si>
    <t xml:space="preserve">On 'Dashboard', set C3 to Monthly and C4 to the first day of the month.</t>
  </si>
  <si>
    <t xml:space="preserve">5.  Review and present</t>
  </si>
  <si>
    <t xml:space="preserve">Walk the Dashboard exception table, then 'Charts' for the trend. Red and Amber rows are the agenda.</t>
  </si>
  <si>
    <t xml:space="preserve">Tab guide</t>
  </si>
  <si>
    <t xml:space="preserve">Read Me</t>
  </si>
  <si>
    <t xml:space="preserve">This page.</t>
  </si>
  <si>
    <t xml:space="preserve">CEO Brief</t>
  </si>
  <si>
    <t xml:space="preserve">The five things worth knowing, in sentences. Every line is calculated from the Dashboard at the cadence and date set there, so it cannot be edited into a better story. This is what the file opens on.</t>
  </si>
  <si>
    <t xml:space="preserve">TOR Register</t>
  </si>
  <si>
    <t xml:space="preserve">The baseline. One row per project holding what the signed TOR committed to: objective, scope boundaries, dates, approved budget, planned milestone and deliverable counts. Change this only through an approved change request.</t>
  </si>
  <si>
    <t xml:space="preserve">Daily Log</t>
  </si>
  <si>
    <t xml:space="preserve">Day-by-day entry, one row per project per working day, cumulative to date. Also carries the month-end roll-up block.</t>
  </si>
  <si>
    <t xml:space="preserve">Monthly Log</t>
  </si>
  <si>
    <t xml:space="preserve">One row per project per month, cumulative to date. The governance record and the source of the monthly trend charts.</t>
  </si>
  <si>
    <t xml:space="preserve">Deliverables &amp; RACI</t>
  </si>
  <si>
    <t xml:space="preserve">Deliverable-level register mapped back to TOR clauses, with Responsible / Accountable / Consulted / Informed. A blank Accountable is a governance gap and is counted for you.</t>
  </si>
  <si>
    <t xml:space="preserve">Risks &amp; Issues</t>
  </si>
  <si>
    <t xml:space="preserve">Risk and issue register with likelihood x impact scoring and live counts per project.</t>
  </si>
  <si>
    <t xml:space="preserve">Dashboard</t>
  </si>
  <si>
    <t xml:space="preserve">Portfolio tiles and a per-project table, for whichever cadence C3 is set to.</t>
  </si>
  <si>
    <t xml:space="preserve">Charts</t>
  </si>
  <si>
    <t xml:space="preserve">Monthly trend, per-project comparisons, and daily trend for the current month.</t>
  </si>
  <si>
    <t xml:space="preserve">Lists</t>
  </si>
  <si>
    <t xml:space="preserve">Dropdown values. Extend here if the team uses different status wording.</t>
  </si>
  <si>
    <t xml:space="preserve">How each metric is defined</t>
  </si>
  <si>
    <t xml:space="preserve">Scope adherence %</t>
  </si>
  <si>
    <t xml:space="preserve">Deliverables accepted to date / deliverables due to date. Measures whether the TOR's promised outputs are actually landing and being accepted, not just started.</t>
  </si>
  <si>
    <t xml:space="preserve">Milestone hit rate %</t>
  </si>
  <si>
    <t xml:space="preserve">Milestones achieved to date / milestones planned to date. Schedule health against the TOR baseline.</t>
  </si>
  <si>
    <t xml:space="preserve">Budget used %</t>
  </si>
  <si>
    <t xml:space="preserve">Spend to date / TOR-approved budget. Over 100% means the project has spent past what the TOR authorised, regardless of how much work remains.</t>
  </si>
  <si>
    <t xml:space="preserve">Budget variance</t>
  </si>
  <si>
    <t xml:space="preserve">TOR-approved budget less spend to date. Negative means overspent.</t>
  </si>
  <si>
    <t xml:space="preserve">Approved scope changes</t>
  </si>
  <si>
    <t xml:space="preserve">Cumulative change requests approved. A rising count with a flat budget is the classic TOR drift signal - scope grew, funding did not.</t>
  </si>
  <si>
    <t xml:space="preserve">RACI gaps</t>
  </si>
  <si>
    <t xml:space="preserve">Deliverables with no accountable owner named. Any number above zero is a governance finding, not a delivery one.</t>
  </si>
  <si>
    <t xml:space="preserve">Calculated RAG</t>
  </si>
  <si>
    <t xml:space="preserve">Computed objectively from the thresholds in Dashboard C7:C11, so it cannot be talked up or down. Shown next to the PM's own RAG - a disagreement between the two is itself worth discussing.</t>
  </si>
  <si>
    <t xml:space="preserve">Colour legend</t>
  </si>
  <si>
    <t xml:space="preserve">Blue text</t>
  </si>
  <si>
    <t xml:space="preserve">A number or value you type in. Safe to edit.</t>
  </si>
  <si>
    <t xml:space="preserve">Yellow fill</t>
  </si>
  <si>
    <t xml:space="preserve">Key input you are expected to set - cadence, reporting date, RAG thresholds, roll-up date.</t>
  </si>
  <si>
    <t xml:space="preserve">Black text</t>
  </si>
  <si>
    <t xml:space="preserve">Formula calculated on that sheet. Do not overwrite.</t>
  </si>
  <si>
    <t xml:space="preserve">Green text</t>
  </si>
  <si>
    <t xml:space="preserve">Value pulled from another sheet. Do not overwrite.</t>
  </si>
  <si>
    <t xml:space="preserve">Capacity and assumptions</t>
  </si>
  <si>
    <t xml:space="preserve">Row capacity</t>
  </si>
  <si>
    <t xml:space="preserve">TOR Register 40 projects; Daily Log 1500 rows; Monthly Log 300 rows; Deliverables and Risks 200 rows each. Formulas already cover every row in those ranges - just type into the next empty row.</t>
  </si>
  <si>
    <t xml:space="preserve">Date format</t>
  </si>
  <si>
    <t xml:space="preserve">Daily Log takes the actual date. Monthly Log takes the FIRST DAY of the month (e.g. 2026-09-01) - the Dashboard matches on the exact date, so a mid-month date will not be picked up in Monthly cadence.</t>
  </si>
  <si>
    <t xml:space="preserve">Example data</t>
  </si>
  <si>
    <t xml:space="preserve">The workbook ships with EXAMPLE data for five fictional projects: six months on 'Monthly Log' and the working days of the final month on 'Daily Log'. Names and figures are invented. Delete rows 4 and below on TOR Register, Daily Log, Monthly Log, Deliverables &amp; RACI and Risks &amp; Issues before real use.</t>
  </si>
  <si>
    <t xml:space="preserve">Currency</t>
  </si>
  <si>
    <t xml:space="preserve">All money is in whole dollars. Change the number formats if the team reports in another unit.</t>
  </si>
  <si>
    <t xml:space="preserve">Source</t>
  </si>
  <si>
    <t xml:space="preserve">Structure and metric definitions were specified for this request; there is no external data source behind the example figures.</t>
  </si>
  <si>
    <t xml:space="preserve">  CEO Brief - the five things to know</t>
  </si>
  <si>
    <t xml:space="preserve">  Written from the Dashboard, so it follows the cadence and reporting date set there. Every sentence below is a live formula, not typed text.</t>
  </si>
  <si>
    <t xml:space="preserve">Calculation helpers - these feed the bullets; safe to ignore</t>
  </si>
  <si>
    <t xml:space="preserve">Cadence:</t>
  </si>
  <si>
    <t xml:space="preserve">Project</t>
  </si>
  <si>
    <t xml:space="preserve">Calc RAG</t>
  </si>
  <si>
    <t xml:space="preserve">Over budget</t>
  </si>
  <si>
    <t xml:space="preserve">Overspend $</t>
  </si>
  <si>
    <t xml:space="preserve">Has appr. CR</t>
  </si>
  <si>
    <t xml:space="preserve">Hit rate</t>
  </si>
  <si>
    <t xml:space="preserve">Exposure score</t>
  </si>
  <si>
    <t xml:space="preserve">As at:</t>
  </si>
  <si>
    <t xml:space="preserve">Change the cadence or date on the Dashboard and this whole page rewrites itself.</t>
  </si>
  <si>
    <t xml:space="preserve">TOR budget</t>
  </si>
  <si>
    <t xml:space="preserve">Spent to date</t>
  </si>
  <si>
    <t xml:space="preserve">Budget used</t>
  </si>
  <si>
    <t xml:space="preserve">Milestone hit rate</t>
  </si>
  <si>
    <t xml:space="preserve">Scope adherence</t>
  </si>
  <si>
    <t xml:space="preserve">Red / Amber / Green</t>
  </si>
  <si>
    <t xml:space="preserve">The five things the CEO must know</t>
  </si>
  <si>
    <t xml:space="preserve">Every line above - flags included - is calculated from the Dashboard at the cadence and date shown, so it is reproducible and cannot be edited into a better story. Flags: ACT NOW needs a decision this cycle, WATCH is deteriorating, OK needs nothing. Bullet 3 ranks projects by an exposure score (over-budget 100, each high-severity risk 15, each unowned deliverable 5, plus 40 x the share of milestones missed) - a heuristic for where to look first, not a formal risk measure. The working is in the helper block to the right.</t>
  </si>
  <si>
    <t xml:space="preserve">Projects over budget</t>
  </si>
  <si>
    <t xml:space="preserve">Total overspend</t>
  </si>
  <si>
    <t xml:space="preserve">Projects with approved CRs</t>
  </si>
  <si>
    <t xml:space="preserve">Worst project (by exposure)</t>
  </si>
  <si>
    <t xml:space="preserve">  its milestone hit rate</t>
  </si>
  <si>
    <t xml:space="preserve">  its budget used</t>
  </si>
  <si>
    <t xml:space="preserve">  its high risks</t>
  </si>
  <si>
    <t xml:space="preserve">  its calculated RAG</t>
  </si>
  <si>
    <t xml:space="preserve">Prior month</t>
  </si>
  <si>
    <t xml:space="preserve">Prior ms planned</t>
  </si>
  <si>
    <t xml:space="preserve">Prior ms achieved</t>
  </si>
  <si>
    <t xml:space="preserve">Prior hit rate</t>
  </si>
  <si>
    <t xml:space="preserve">Prior spend</t>
  </si>
  <si>
    <t xml:space="preserve">Milestones behind</t>
  </si>
  <si>
    <t xml:space="preserve">Deliverables not accepted</t>
  </si>
  <si>
    <t xml:space="preserve">Approved CRs, total</t>
  </si>
  <si>
    <t xml:space="preserve">Budget headroom</t>
  </si>
  <si>
    <t xml:space="preserve">Milestones planned, total</t>
  </si>
  <si>
    <t xml:space="preserve">Milestones achieved, total</t>
  </si>
  <si>
    <t xml:space="preserve">Deliverables due, total</t>
  </si>
  <si>
    <t xml:space="preserve">Deliverables accepted, total</t>
  </si>
  <si>
    <t xml:space="preserve">Largest overspender</t>
  </si>
  <si>
    <t xml:space="preserve">Hit rate vs prior month</t>
  </si>
  <si>
    <t xml:space="preserve">  TOR Register - the approved baseline</t>
  </si>
  <si>
    <t xml:space="preserve">  One row per project, straight from the signed Terms of Reference. Change only via an approved CR. EXAMPLE DATA - replace with the team's projects.</t>
  </si>
  <si>
    <t xml:space="preserve">Project ID</t>
  </si>
  <si>
    <t xml:space="preserve">Project Name</t>
  </si>
  <si>
    <t xml:space="preserve">Strategic Pillar</t>
  </si>
  <si>
    <t xml:space="preserve">Sponsor</t>
  </si>
  <si>
    <t xml:space="preserve">Project Manager</t>
  </si>
  <si>
    <t xml:space="preserve">TOR Approved</t>
  </si>
  <si>
    <t xml:space="preserve">Planned Start</t>
  </si>
  <si>
    <t xml:space="preserve">Planned End</t>
  </si>
  <si>
    <t xml:space="preserve">TOR Approved Budget ($)</t>
  </si>
  <si>
    <t xml:space="preserve">Planned Milestones (total)</t>
  </si>
  <si>
    <t xml:space="preserve">Planned Deliverables (total)</t>
  </si>
  <si>
    <t xml:space="preserve">TOR Objective</t>
  </si>
  <si>
    <t xml:space="preserve">Key In-Scope (per TOR)</t>
  </si>
  <si>
    <t xml:space="preserve">Key Out-of-Scope (per TOR)</t>
  </si>
  <si>
    <t xml:space="preserve">P-001</t>
  </si>
  <si>
    <t xml:space="preserve">Client Portal Rebuild</t>
  </si>
  <si>
    <t xml:space="preserve">Digital Experience</t>
  </si>
  <si>
    <t xml:space="preserve">A. Mensah</t>
  </si>
  <si>
    <t xml:space="preserve">R. Patel</t>
  </si>
  <si>
    <t xml:space="preserve">Replace the legacy client portal to cut self-service failure rate by half.</t>
  </si>
  <si>
    <t xml:space="preserve">Portal UI, auth, self-service billing, migration of active accounts</t>
  </si>
  <si>
    <t xml:space="preserve">Mobile app, partner API, archived account history</t>
  </si>
  <si>
    <t xml:space="preserve">P-002</t>
  </si>
  <si>
    <t xml:space="preserve">Data Platform Migration</t>
  </si>
  <si>
    <t xml:space="preserve">Data &amp; Infrastructure</t>
  </si>
  <si>
    <t xml:space="preserve">L. Njoku</t>
  </si>
  <si>
    <t xml:space="preserve">S. Kowalski</t>
  </si>
  <si>
    <t xml:space="preserve">Move reporting workloads off the on-prem warehouse to the cloud platform.</t>
  </si>
  <si>
    <t xml:space="preserve">ETL rebuild, warehouse cutover, BI re-point, decommission plan</t>
  </si>
  <si>
    <t xml:space="preserve">ML feature store, real-time streaming, third-party data contracts</t>
  </si>
  <si>
    <t xml:space="preserve">P-003</t>
  </si>
  <si>
    <t xml:space="preserve">Regulatory Reporting Uplift</t>
  </si>
  <si>
    <t xml:space="preserve">Risk &amp; Compliance</t>
  </si>
  <si>
    <t xml:space="preserve">D. Ferreira</t>
  </si>
  <si>
    <t xml:space="preserve">M. Haddad</t>
  </si>
  <si>
    <t xml:space="preserve">Meet the new quarterly disclosure standard ahead of the Q1 2027 deadline.</t>
  </si>
  <si>
    <t xml:space="preserve">Control redesign, evidence automation, submission templates, sign-off flow</t>
  </si>
  <si>
    <t xml:space="preserve">Historic restatements, group consolidation changes</t>
  </si>
  <si>
    <t xml:space="preserve">P-004</t>
  </si>
  <si>
    <t xml:space="preserve">Market Expansion - APAC</t>
  </si>
  <si>
    <t xml:space="preserve">Growth</t>
  </si>
  <si>
    <t xml:space="preserve">T. Yamamoto</t>
  </si>
  <si>
    <t xml:space="preserve">Stand up sales and support operations in two APAC markets.</t>
  </si>
  <si>
    <t xml:space="preserve">Entity setup, local hiring, pricing localisation, support coverage</t>
  </si>
  <si>
    <t xml:space="preserve">Manufacturing footprint, local data centre, M&amp;A options</t>
  </si>
  <si>
    <t xml:space="preserve">P-005</t>
  </si>
  <si>
    <t xml:space="preserve">Cost-to-Serve Optimisation</t>
  </si>
  <si>
    <t xml:space="preserve">Operating Efficiency</t>
  </si>
  <si>
    <t xml:space="preserve">C. Duarte</t>
  </si>
  <si>
    <t xml:space="preserve">Reduce cost to serve per account by 15% without lowering CSAT.</t>
  </si>
  <si>
    <t xml:space="preserve">Process redesign, tier-1 automation, vendor renegotiation</t>
  </si>
  <si>
    <t xml:space="preserve">Headcount reduction, offshoring, product rationalisation</t>
  </si>
  <si>
    <t xml:space="preserve">  Daily Log - day-by-day tracking inside the month</t>
  </si>
  <si>
    <t xml:space="preserve">  One row per project per working day. ALL FIGURES ARE CUMULATIVE TO DATE. EXAMPLE DATA - delete before real use.</t>
  </si>
  <si>
    <t xml:space="preserve">Month-end roll-up - set the date, copy the row into the Monthly Log</t>
  </si>
  <si>
    <t xml:space="preserve">Date</t>
  </si>
  <si>
    <t xml:space="preserve">Milestones Planned to Date</t>
  </si>
  <si>
    <t xml:space="preserve">Milestones Achieved to Date</t>
  </si>
  <si>
    <t xml:space="preserve">Deliverables Due to Date</t>
  </si>
  <si>
    <t xml:space="preserve">Deliverables Accepted to Date</t>
  </si>
  <si>
    <t xml:space="preserve">Budget Spent to Date ($)</t>
  </si>
  <si>
    <t xml:space="preserve">Change Requests Raised (cum.)</t>
  </si>
  <si>
    <t xml:space="preserve">Change Requests Approved (cum.)</t>
  </si>
  <si>
    <t xml:space="preserve">Open Risks (snapshot)</t>
  </si>
  <si>
    <t xml:space="preserve">High Risks (snapshot)</t>
  </si>
  <si>
    <t xml:space="preserve">RACI Gaps (snapshot)</t>
  </si>
  <si>
    <t xml:space="preserve">PM RAG</t>
  </si>
  <si>
    <t xml:space="preserve">Commentary</t>
  </si>
  <si>
    <t xml:space="preserve">Match Key (auto)</t>
  </si>
  <si>
    <t xml:space="preserve">Roll-up date:</t>
  </si>
  <si>
    <t xml:space="preserve">Amber</t>
  </si>
  <si>
    <t xml:space="preserve">Recovery plan tasks progressing; auth cutover in test.</t>
  </si>
  <si>
    <t xml:space="preserve">Ms Planned</t>
  </si>
  <si>
    <t xml:space="preserve">Ms Achieved</t>
  </si>
  <si>
    <t xml:space="preserve">Dl Due</t>
  </si>
  <si>
    <t xml:space="preserve">Dl Accepted</t>
  </si>
  <si>
    <t xml:space="preserve">Spend to Date ($)</t>
  </si>
  <si>
    <t xml:space="preserve">CR Raised</t>
  </si>
  <si>
    <t xml:space="preserve">CR Approved</t>
  </si>
  <si>
    <t xml:space="preserve">Open Risks</t>
  </si>
  <si>
    <t xml:space="preserve">High Risks</t>
  </si>
  <si>
    <t xml:space="preserve">RACI Gaps</t>
  </si>
  <si>
    <t xml:space="preserve">Green</t>
  </si>
  <si>
    <t xml:space="preserve">Cutover runbook review and BI parity testing under way.</t>
  </si>
  <si>
    <t xml:space="preserve">Red</t>
  </si>
  <si>
    <t xml:space="preserve">Scope freeze in force pending the re-baseline paper.</t>
  </si>
  <si>
    <t xml:space="preserve">Second market onboarding on plan.</t>
  </si>
  <si>
    <t xml:space="preserve">Tier-1 automation release in acceptance testing.</t>
  </si>
  <si>
    <t xml:space="preserve">Recovery plan agreed; hit rate improving but still behind TOR.</t>
  </si>
  <si>
    <t xml:space="preserve">Tracking to TOR; decommission CR approved.</t>
  </si>
  <si>
    <t xml:space="preserve">Overspent vs TOR budget. Re-baseline decision needed at SteerCo.</t>
  </si>
  <si>
    <t xml:space="preserve">Both markets on track to TOR end date.</t>
  </si>
  <si>
    <t xml:space="preserve">Two deliverables pending acceptance, otherwise on plan.</t>
  </si>
  <si>
    <t xml:space="preserve">  Monthly Log - the governance record</t>
  </si>
  <si>
    <t xml:space="preserve">  One row per project per month. ALL FIGURES ARE CUMULATIVE TO DATE. Enter the first day of the month. EXAMPLE DATA - delete before real use.</t>
  </si>
  <si>
    <t xml:space="preserve">Month (1st of month)</t>
  </si>
  <si>
    <t xml:space="preserve">Kick-off complete, TOR baselined.</t>
  </si>
  <si>
    <t xml:space="preserve">Two RACI gaps flagged at TOR review.</t>
  </si>
  <si>
    <t xml:space="preserve">Baselined against draft standard.</t>
  </si>
  <si>
    <t xml:space="preserve">Entity setup started on schedule.</t>
  </si>
  <si>
    <t xml:space="preserve">Baseline agreed with operations.</t>
  </si>
  <si>
    <t xml:space="preserve">Auth vendor confirmed; first CR raised on billing scope.</t>
  </si>
  <si>
    <t xml:space="preserve">Ownership resolved for ETL workstream.</t>
  </si>
  <si>
    <t xml:space="preserve">Regulator clarification pending, first slip.</t>
  </si>
  <si>
    <t xml:space="preserve">Local counsel engaged, no issues.</t>
  </si>
  <si>
    <t xml:space="preserve">Vendor renegotiation opened.</t>
  </si>
  <si>
    <t xml:space="preserve">Design sign-off slipped 2 weeks; one milestone missed.</t>
  </si>
  <si>
    <t xml:space="preserve">Cutover risk raised to high pending capacity test.</t>
  </si>
  <si>
    <t xml:space="preserve">Scope grew: evidence automation added by CR.</t>
  </si>
  <si>
    <t xml:space="preserve">Hiring pipeline ahead of plan.</t>
  </si>
  <si>
    <t xml:space="preserve">Automation vendor risk raised to high.</t>
  </si>
  <si>
    <t xml:space="preserve">Migration dry-run failed once, retest scheduled.</t>
  </si>
  <si>
    <t xml:space="preserve">Capacity test passed; back on plan.</t>
  </si>
  <si>
    <t xml:space="preserve">Budget forecast breached; escalated to sponsor.</t>
  </si>
  <si>
    <t xml:space="preserve">Pricing CR approved, budget unchanged.</t>
  </si>
  <si>
    <t xml:space="preserve">Mitigation in place, second vendor shortlisted.</t>
  </si>
  <si>
    <t xml:space="preserve">Two deliverables awaiting sponsor acceptance.</t>
  </si>
  <si>
    <t xml:space="preserve">One milestone slipped into next month, no scope impact.</t>
  </si>
  <si>
    <t xml:space="preserve">Four unowned deliverables, accountability unresolved.</t>
  </si>
  <si>
    <t xml:space="preserve">First market live.</t>
  </si>
  <si>
    <t xml:space="preserve">Vendor risk closed; CR approved for extra automation.</t>
  </si>
  <si>
    <t xml:space="preserve">  Deliverables &amp; RACI - TOR outputs and who owns them</t>
  </si>
  <si>
    <t xml:space="preserve">  A blank Accountable is a governance gap and is counted automatically. EXAMPLE DATA - delete before real use.</t>
  </si>
  <si>
    <t xml:space="preserve">Live register counts</t>
  </si>
  <si>
    <t xml:space="preserve">Deliverable ID</t>
  </si>
  <si>
    <t xml:space="preserve">Deliverable (per TOR)</t>
  </si>
  <si>
    <t xml:space="preserve">TOR Clause Ref</t>
  </si>
  <si>
    <t xml:space="preserve">Responsible</t>
  </si>
  <si>
    <t xml:space="preserve">Accountable</t>
  </si>
  <si>
    <t xml:space="preserve">Consulted</t>
  </si>
  <si>
    <t xml:space="preserve">Informed</t>
  </si>
  <si>
    <t xml:space="preserve">Due Date</t>
  </si>
  <si>
    <t xml:space="preserve">Status</t>
  </si>
  <si>
    <t xml:space="preserve">In Register</t>
  </si>
  <si>
    <t xml:space="preserve">Accepted</t>
  </si>
  <si>
    <t xml:space="preserve">RACI Gaps -&gt; copy to log</t>
  </si>
  <si>
    <t xml:space="preserve">D-001</t>
  </si>
  <si>
    <t xml:space="preserve">Portal design system sign-off</t>
  </si>
  <si>
    <t xml:space="preserve">TOR 4.1</t>
  </si>
  <si>
    <t xml:space="preserve">Design guild</t>
  </si>
  <si>
    <t xml:space="preserve">Steering group</t>
  </si>
  <si>
    <t xml:space="preserve">D-002</t>
  </si>
  <si>
    <t xml:space="preserve">Authentication service cutover</t>
  </si>
  <si>
    <t xml:space="preserve">TOR 4.2</t>
  </si>
  <si>
    <t xml:space="preserve">K. Osei</t>
  </si>
  <si>
    <t xml:space="preserve">Security</t>
  </si>
  <si>
    <t xml:space="preserve">Service desk</t>
  </si>
  <si>
    <t xml:space="preserve">Submitted</t>
  </si>
  <si>
    <t xml:space="preserve">D-003</t>
  </si>
  <si>
    <t xml:space="preserve">Self-service billing module</t>
  </si>
  <si>
    <t xml:space="preserve">TOR 4.3</t>
  </si>
  <si>
    <t xml:space="preserve">Finance ops</t>
  </si>
  <si>
    <t xml:space="preserve">Client services</t>
  </si>
  <si>
    <t xml:space="preserve">In Progress</t>
  </si>
  <si>
    <t xml:space="preserve">D-004</t>
  </si>
  <si>
    <t xml:space="preserve">Active account migration</t>
  </si>
  <si>
    <t xml:space="preserve">TOR 4.4</t>
  </si>
  <si>
    <t xml:space="preserve">J. Silva</t>
  </si>
  <si>
    <t xml:space="preserve">Data team</t>
  </si>
  <si>
    <t xml:space="preserve">Not Started</t>
  </si>
  <si>
    <t xml:space="preserve">D-005</t>
  </si>
  <si>
    <t xml:space="preserve">ETL rebuild - phase 1</t>
  </si>
  <si>
    <t xml:space="preserve">TOR 3.1</t>
  </si>
  <si>
    <t xml:space="preserve">Platform</t>
  </si>
  <si>
    <t xml:space="preserve">BI users</t>
  </si>
  <si>
    <t xml:space="preserve">D-006</t>
  </si>
  <si>
    <t xml:space="preserve">Warehouse cutover runbook</t>
  </si>
  <si>
    <t xml:space="preserve">TOR 3.2</t>
  </si>
  <si>
    <t xml:space="preserve">N. Abebe</t>
  </si>
  <si>
    <t xml:space="preserve">Ops</t>
  </si>
  <si>
    <t xml:space="preserve">All staff</t>
  </si>
  <si>
    <t xml:space="preserve">D-007</t>
  </si>
  <si>
    <t xml:space="preserve">BI re-point and validation</t>
  </si>
  <si>
    <t xml:space="preserve">TOR 3.3</t>
  </si>
  <si>
    <t xml:space="preserve">Finance</t>
  </si>
  <si>
    <t xml:space="preserve">Only the RACI gap count is copied into the logs. This register holds the major TOR deliverables and their ownership; the logs' 'due / accepted' counts come from the full delivery plan, so they are normally larger.</t>
  </si>
  <si>
    <t xml:space="preserve">D-008</t>
  </si>
  <si>
    <t xml:space="preserve">Control redesign pack</t>
  </si>
  <si>
    <t xml:space="preserve">TOR 2.1</t>
  </si>
  <si>
    <t xml:space="preserve">Internal audit</t>
  </si>
  <si>
    <t xml:space="preserve">Board</t>
  </si>
  <si>
    <t xml:space="preserve">D-009</t>
  </si>
  <si>
    <t xml:space="preserve">Evidence automation build</t>
  </si>
  <si>
    <t xml:space="preserve">TOR 2.4 (CR-03)</t>
  </si>
  <si>
    <t xml:space="preserve">P. Lindqvist</t>
  </si>
  <si>
    <t xml:space="preserve">Compliance</t>
  </si>
  <si>
    <t xml:space="preserve">D-010</t>
  </si>
  <si>
    <t xml:space="preserve">Submission template set</t>
  </si>
  <si>
    <t xml:space="preserve">TOR 2.2</t>
  </si>
  <si>
    <t xml:space="preserve">Regulator liaison</t>
  </si>
  <si>
    <t xml:space="preserve">D-011</t>
  </si>
  <si>
    <t xml:space="preserve">Sign-off workflow</t>
  </si>
  <si>
    <t xml:space="preserve">TOR 2.3</t>
  </si>
  <si>
    <t xml:space="preserve">Legal</t>
  </si>
  <si>
    <t xml:space="preserve">D-012</t>
  </si>
  <si>
    <t xml:space="preserve">Historic restatement review</t>
  </si>
  <si>
    <t xml:space="preserve">TOR 2.5 (CR-04)</t>
  </si>
  <si>
    <t xml:space="preserve">D-013</t>
  </si>
  <si>
    <t xml:space="preserve">APAC entity registration</t>
  </si>
  <si>
    <t xml:space="preserve">TOR 5.1</t>
  </si>
  <si>
    <t xml:space="preserve">Exec</t>
  </si>
  <si>
    <t xml:space="preserve">D-014</t>
  </si>
  <si>
    <t xml:space="preserve">Localised pricing model</t>
  </si>
  <si>
    <t xml:space="preserve">TOR 5.2</t>
  </si>
  <si>
    <t xml:space="preserve">H. Tran</t>
  </si>
  <si>
    <t xml:space="preserve">Sales</t>
  </si>
  <si>
    <t xml:space="preserve">D-015</t>
  </si>
  <si>
    <t xml:space="preserve">Regional support coverage</t>
  </si>
  <si>
    <t xml:space="preserve">TOR 5.3</t>
  </si>
  <si>
    <t xml:space="preserve">Support</t>
  </si>
  <si>
    <t xml:space="preserve">Clients</t>
  </si>
  <si>
    <t xml:space="preserve">D-016</t>
  </si>
  <si>
    <t xml:space="preserve">Process redesign blueprint</t>
  </si>
  <si>
    <t xml:space="preserve">TOR 6.1</t>
  </si>
  <si>
    <t xml:space="preserve">Ops leads</t>
  </si>
  <si>
    <t xml:space="preserve">D-017</t>
  </si>
  <si>
    <t xml:space="preserve">Tier-1 automation release</t>
  </si>
  <si>
    <t xml:space="preserve">TOR 6.2</t>
  </si>
  <si>
    <t xml:space="preserve">E. Boateng</t>
  </si>
  <si>
    <t xml:space="preserve">D-018</t>
  </si>
  <si>
    <t xml:space="preserve">Vendor contract renegotiation</t>
  </si>
  <si>
    <t xml:space="preserve">TOR 6.3</t>
  </si>
  <si>
    <t xml:space="preserve">Procurement</t>
  </si>
  <si>
    <t xml:space="preserve">  Risks &amp; Issues register</t>
  </si>
  <si>
    <t xml:space="preserve">  Score = likelihood x impact. Severity and the live counts are calculated. EXAMPLE DATA - delete before real use.</t>
  </si>
  <si>
    <t xml:space="preserve">Live counts - copy into the logs</t>
  </si>
  <si>
    <t xml:space="preserve">ID</t>
  </si>
  <si>
    <t xml:space="preserve">Type</t>
  </si>
  <si>
    <t xml:space="preserve">Description</t>
  </si>
  <si>
    <t xml:space="preserve">Likelihood (1-5)</t>
  </si>
  <si>
    <t xml:space="preserve">Impact (1-5)</t>
  </si>
  <si>
    <t xml:space="preserve">Score</t>
  </si>
  <si>
    <t xml:space="preserve">Severity</t>
  </si>
  <si>
    <t xml:space="preserve">Owner</t>
  </si>
  <si>
    <t xml:space="preserve">Mitigation / Action</t>
  </si>
  <si>
    <t xml:space="preserve">Raised</t>
  </si>
  <si>
    <t xml:space="preserve">Target Close</t>
  </si>
  <si>
    <t xml:space="preserve">Open Risks -&gt; copy to log</t>
  </si>
  <si>
    <t xml:space="preserve">High Risks -&gt; copy to log</t>
  </si>
  <si>
    <t xml:space="preserve">R-001</t>
  </si>
  <si>
    <t xml:space="preserve">Risk</t>
  </si>
  <si>
    <t xml:space="preserve">Auth vendor cannot meet the agreed cutover window</t>
  </si>
  <si>
    <t xml:space="preserve">Parallel-run window booked; fallback to extended legacy support</t>
  </si>
  <si>
    <t xml:space="preserve">Mitigating</t>
  </si>
  <si>
    <t xml:space="preserve">R-002</t>
  </si>
  <si>
    <t xml:space="preserve">Issue</t>
  </si>
  <si>
    <t xml:space="preserve">Design sign-off slipped two weeks against the TOR schedule</t>
  </si>
  <si>
    <t xml:space="preserve">Recovery plan agreed with sponsor; two milestones re-sequenced</t>
  </si>
  <si>
    <t xml:space="preserve">Open</t>
  </si>
  <si>
    <t xml:space="preserve">R-003</t>
  </si>
  <si>
    <t xml:space="preserve">Billing scope creep beyond TOR 4.3 without an approved CR</t>
  </si>
  <si>
    <t xml:space="preserve">CR-02 tabled at SteerCo for decision</t>
  </si>
  <si>
    <t xml:space="preserve">R-004</t>
  </si>
  <si>
    <t xml:space="preserve">Cutover exceeds the agreed maintenance window</t>
  </si>
  <si>
    <t xml:space="preserve">Capacity test passed; rehearsal booked for October</t>
  </si>
  <si>
    <t xml:space="preserve">R-005</t>
  </si>
  <si>
    <t xml:space="preserve">Legacy warehouse licence renews before decommission</t>
  </si>
  <si>
    <t xml:space="preserve">Decommission CR approved; renewal deferred to monthly terms</t>
  </si>
  <si>
    <t xml:space="preserve">Closed</t>
  </si>
  <si>
    <t xml:space="preserve">R-006</t>
  </si>
  <si>
    <t xml:space="preserve">Forecast spend exceeds the TOR-approved budget</t>
  </si>
  <si>
    <t xml:space="preserve">Re-baseline paper going to SteerCo; scope freeze in force</t>
  </si>
  <si>
    <t xml:space="preserve">R-007</t>
  </si>
  <si>
    <t xml:space="preserve">Four deliverables have no accountable owner</t>
  </si>
  <si>
    <t xml:space="preserve">Accountability workshop scheduled with the sponsor</t>
  </si>
  <si>
    <t xml:space="preserve">R-008</t>
  </si>
  <si>
    <t xml:space="preserve">Regulator clarification may reopen the control design</t>
  </si>
  <si>
    <t xml:space="preserve">Formal query submitted; contingency in the plan</t>
  </si>
  <si>
    <t xml:space="preserve">R-009</t>
  </si>
  <si>
    <t xml:space="preserve">Scope added by CR-03/CR-04 not funded in the TOR</t>
  </si>
  <si>
    <t xml:space="preserve">Funding request bundled with the re-baseline paper</t>
  </si>
  <si>
    <t xml:space="preserve">R-010</t>
  </si>
  <si>
    <t xml:space="preserve">Local hiring lead times slip in the second market</t>
  </si>
  <si>
    <t xml:space="preserve">Agency retained; pipeline running two candidates deep</t>
  </si>
  <si>
    <t xml:space="preserve">R-011</t>
  </si>
  <si>
    <t xml:space="preserve">Currency movement erodes the localised pricing margin</t>
  </si>
  <si>
    <t xml:space="preserve">Quarterly price review clause added to contracts</t>
  </si>
  <si>
    <t xml:space="preserve">R-012</t>
  </si>
  <si>
    <t xml:space="preserve">Automation vendor stability after the funding round</t>
  </si>
  <si>
    <t xml:space="preserve">Second vendor shortlisted; source code escrow agreed</t>
  </si>
  <si>
    <t xml:space="preserve">R-013</t>
  </si>
  <si>
    <t xml:space="preserve">Benefit realisation depends on a CSAT floor being held</t>
  </si>
  <si>
    <t xml:space="preserve">CSAT tracked weekly; rollback trigger defined</t>
  </si>
  <si>
    <t xml:space="preserve">R-014</t>
  </si>
  <si>
    <t xml:space="preserve">Source system owners slow to sign off data contracts</t>
  </si>
  <si>
    <t xml:space="preserve">Contract templates pre-agreed; weekly chase in the workstream call</t>
  </si>
  <si>
    <t xml:space="preserve">R-015</t>
  </si>
  <si>
    <t xml:space="preserve">BI report parity testing may run past the agreed window</t>
  </si>
  <si>
    <t xml:space="preserve">Parity suite automated; top 40 reports prioritised</t>
  </si>
  <si>
    <t xml:space="preserve">R-016</t>
  </si>
  <si>
    <t xml:space="preserve">Two ETL jobs exceed the nightly batch window</t>
  </si>
  <si>
    <t xml:space="preserve">Partitioning rework in flight; interim staggered schedule</t>
  </si>
  <si>
    <t xml:space="preserve">R-017</t>
  </si>
  <si>
    <t xml:space="preserve">Cloud run-rate tracking above the TOR estimate</t>
  </si>
  <si>
    <t xml:space="preserve">Reserved capacity purchased; monthly cost review added</t>
  </si>
  <si>
    <t xml:space="preserve">R-018</t>
  </si>
  <si>
    <t xml:space="preserve">Evidence automation depends on a single contractor</t>
  </si>
  <si>
    <t xml:space="preserve">Knowledge transfer sessions booked; handover pack required</t>
  </si>
  <si>
    <t xml:space="preserve">R-019</t>
  </si>
  <si>
    <t xml:space="preserve">Template changes require a second legal review</t>
  </si>
  <si>
    <t xml:space="preserve">Legal slot pre-booked for the October cycle</t>
  </si>
  <si>
    <t xml:space="preserve">R-020</t>
  </si>
  <si>
    <t xml:space="preserve">Control testing environment unavailable for two weeks in September</t>
  </si>
  <si>
    <t xml:space="preserve">Testing re-sequenced; shared environment booked as fallback</t>
  </si>
  <si>
    <t xml:space="preserve">R-021</t>
  </si>
  <si>
    <t xml:space="preserve">Sign-off workflow tooling licence not yet procured</t>
  </si>
  <si>
    <t xml:space="preserve">Procurement raised; manual workflow as interim</t>
  </si>
  <si>
    <t xml:space="preserve">R-022</t>
  </si>
  <si>
    <t xml:space="preserve">Reporting calendar clashes with year-end close</t>
  </si>
  <si>
    <t xml:space="preserve">Dates agreed with finance; submission moved one week earlier</t>
  </si>
  <si>
    <t xml:space="preserve">R-023</t>
  </si>
  <si>
    <t xml:space="preserve">Process redesign adoption varies by region</t>
  </si>
  <si>
    <t xml:space="preserve">Regional champions appointed; adoption tracked weekly</t>
  </si>
  <si>
    <t xml:space="preserve">R-024</t>
  </si>
  <si>
    <t xml:space="preserve">Benefit baseline disputed by finance</t>
  </si>
  <si>
    <t xml:space="preserve">Baseline restated with finance and re-signed by the sponsor</t>
  </si>
  <si>
    <t xml:space="preserve">  Dashboard - delivery against TOR</t>
  </si>
  <si>
    <t xml:space="preserve">  Set the cadence in C3 and the reporting date in C4. Everything below recalculates. Red and Amber rows are the agenda.</t>
  </si>
  <si>
    <t xml:space="preserve">&lt;- Daily reads the Daily Log; Monthly reads the Monthly Log</t>
  </si>
  <si>
    <t xml:space="preserve">Reporting date:</t>
  </si>
  <si>
    <t xml:space="preserve">&lt;- Daily: the actual date. Monthly: the FIRST DAY of the month, e.g. 2026-09-01</t>
  </si>
  <si>
    <t xml:space="preserve">RAG thresholds (edit to match the team's tolerance)</t>
  </si>
  <si>
    <t xml:space="preserve">Portfolio for the selected cadence and date</t>
  </si>
  <si>
    <t xml:space="preserve">Milestone hit rate - Amber below</t>
  </si>
  <si>
    <t xml:space="preserve">Below this, schedule is off the TOR baseline enough to flag.</t>
  </si>
  <si>
    <t xml:space="preserve">Projects reporting</t>
  </si>
  <si>
    <t xml:space="preserve">TOR budget ($)</t>
  </si>
  <si>
    <t xml:space="preserve">Spent to date ($)</t>
  </si>
  <si>
    <t xml:space="preserve">Milestone hit rate - Red below</t>
  </si>
  <si>
    <t xml:space="preserve">Below this, the TOR schedule is not credible without a re-baseline.</t>
  </si>
  <si>
    <t xml:space="preserve">Budget used - Amber above</t>
  </si>
  <si>
    <t xml:space="preserve">Approaching the TOR-authorised budget.</t>
  </si>
  <si>
    <t xml:space="preserve">Budget used - Red above</t>
  </si>
  <si>
    <t xml:space="preserve">Spent past what the TOR authorised.</t>
  </si>
  <si>
    <t xml:space="preserve">Open risks</t>
  </si>
  <si>
    <t xml:space="preserve">High risks</t>
  </si>
  <si>
    <t xml:space="preserve">Projects Red</t>
  </si>
  <si>
    <t xml:space="preserve">Projects Amber</t>
  </si>
  <si>
    <t xml:space="preserve">Projects Green</t>
  </si>
  <si>
    <t xml:space="preserve">High risks - Red at or above</t>
  </si>
  <si>
    <t xml:space="preserve">This many unclosed high-severity risks forces a Red.</t>
  </si>
  <si>
    <t xml:space="preserve">Project detail for the selected cadence and date</t>
  </si>
  <si>
    <t xml:space="preserve">PM</t>
  </si>
  <si>
    <t xml:space="preserve">TOR Budget ($)</t>
  </si>
  <si>
    <t xml:space="preserve">Spent to Date ($)</t>
  </si>
  <si>
    <t xml:space="preserve">Budget Used %</t>
  </si>
  <si>
    <t xml:space="preserve">Budget Variance ($)</t>
  </si>
  <si>
    <t xml:space="preserve">Milestones Planned</t>
  </si>
  <si>
    <t xml:space="preserve">Milestones Achieved</t>
  </si>
  <si>
    <t xml:space="preserve">Milestone Hit Rate %</t>
  </si>
  <si>
    <t xml:space="preserve">Deliverables Due</t>
  </si>
  <si>
    <t xml:space="preserve">Deliverables Accepted</t>
  </si>
  <si>
    <t xml:space="preserve">Scope Adherence %</t>
  </si>
  <si>
    <t xml:space="preserve">Approved Scope Changes</t>
  </si>
  <si>
    <t xml:space="preserve">PM Commentary</t>
  </si>
  <si>
    <t xml:space="preserve">Notes and assumptions</t>
  </si>
  <si>
    <t xml:space="preserve">- Cadence C3 chooses the source: Daily reads 'Daily Log' and matches the exact date in C4; Monthly reads 'Monthly Log' and matches the first day of the month in C4.</t>
  </si>
  <si>
    <t xml:space="preserve">- Both logs hold cumulative-to-date figures, so every metric here is 'position as at the reporting date', not activity within that day or month.</t>
  </si>
  <si>
    <t xml:space="preserve">- Because both logs are cumulative, the last daily row of a month equals that month's monthly row - the two cadences agree at month end by construction.</t>
  </si>
  <si>
    <t xml:space="preserve">- Scope adherence = deliverables accepted / deliverables due to date. Approved scope changes are shown separately: a rising CR count against a flat TOR budget is scope drift, even when the adherence percentage looks healthy.</t>
  </si>
  <si>
    <t xml:space="preserve">- Calculated RAG is derived only from the thresholds in C7:C11 and the raw counts, so it is reproducible. Where it disagrees with the PM RAG, the difference is the discussion.</t>
  </si>
  <si>
    <t xml:space="preserve">- 'Not started' appears when a project has no milestones due, no deliverables due and no spend as at the reporting date.</t>
  </si>
  <si>
    <t xml:space="preserve">- Rows are driven by the TOR Register: add a project there and it appears here automatically, up to the register's capacity.</t>
  </si>
  <si>
    <t xml:space="preserve">- Open risks counts anything not Closed (Open + Mitigating) on the Risks &amp; Issues register at the point the snapshot was taken.</t>
  </si>
  <si>
    <t xml:space="preserve">  Trend and comparison charts</t>
  </si>
  <si>
    <t xml:space="preserve">  Monthly trend and per-project comparison at the top; daily trend for the current month below. Add a row to a block and its chart extends.</t>
  </si>
  <si>
    <t xml:space="preserve">Month</t>
  </si>
  <si>
    <t xml:space="preserve">Per-project comparison - follows the cadence and date set on the Dashboard (covers the projects present when this workbook was generated; re-run the generator after adding projects)</t>
  </si>
  <si>
    <t xml:space="preserve">Daily trend - portfolio position by day, straight from the Daily Log</t>
  </si>
  <si>
    <t xml:space="preserve">  Dropdown lists</t>
  </si>
  <si>
    <t xml:space="preserve">  Extend a column and the matching dropdown picks it up. Keep RAG wording as Green / Amber / Red and cadence as Daily / Monthly - the formulas match on them.</t>
  </si>
  <si>
    <t xml:space="preserve">RAG</t>
  </si>
  <si>
    <t xml:space="preserve">Deliverable Status</t>
  </si>
  <si>
    <t xml:space="preserve">Risk/Issue Status</t>
  </si>
  <si>
    <t xml:space="preserve">Score 1-5</t>
  </si>
  <si>
    <t xml:space="preserve">Cadence</t>
  </si>
  <si>
    <t xml:space="preserve">Descoped</t>
  </si>
</sst>
</file>

<file path=xl/styles.xml><?xml version="1.0" encoding="utf-8"?>
<styleSheet xmlns="http://schemas.openxmlformats.org/spreadsheetml/2006/main">
  <numFmts count="8">
    <numFmt numFmtId="164" formatCode="General"/>
    <numFmt numFmtId="165" formatCode="yyyy\-mm\-dd"/>
    <numFmt numFmtId="166" formatCode="#,##0;\(#,##0\);\-"/>
    <numFmt numFmtId="167" formatCode="\$#,##0;&quot;($&quot;#,##0\);\-"/>
    <numFmt numFmtId="168" formatCode="0.0%;\(0.0%\);\-"/>
    <numFmt numFmtId="169" formatCode="0.0"/>
    <numFmt numFmtId="170" formatCode="yyyy\-mm"/>
    <numFmt numFmtId="171" formatCode="0%"/>
  </numFmts>
  <fonts count="35">
    <font>
      <sz val="10"/>
      <name val="Arial"/>
      <family val="0"/>
      <charset val="1"/>
    </font>
    <font>
      <sz val="10"/>
      <name val="Arial"/>
      <family val="0"/>
    </font>
    <font>
      <sz val="10"/>
      <name val="Arial"/>
      <family val="0"/>
    </font>
    <font>
      <sz val="10"/>
      <name val="Arial"/>
      <family val="0"/>
    </font>
    <font>
      <b val="true"/>
      <sz val="14"/>
      <color rgb="FFFFFFFF"/>
      <name val="Arial"/>
      <family val="0"/>
      <charset val="1"/>
    </font>
    <font>
      <i val="true"/>
      <sz val="9"/>
      <color rgb="FF44546A"/>
      <name val="Arial"/>
      <family val="0"/>
      <charset val="1"/>
    </font>
    <font>
      <sz val="11"/>
      <color theme="1"/>
      <name val="Arial"/>
      <family val="0"/>
      <charset val="1"/>
    </font>
    <font>
      <b val="true"/>
      <sz val="11"/>
      <color rgb="FF1F3864"/>
      <name val="Arial"/>
      <family val="0"/>
      <charset val="1"/>
    </font>
    <font>
      <b val="true"/>
      <sz val="9"/>
      <color rgb="FF44546A"/>
      <name val="Arial"/>
      <family val="0"/>
      <charset val="1"/>
    </font>
    <font>
      <sz val="9"/>
      <name val="Arial"/>
      <family val="0"/>
      <charset val="1"/>
    </font>
    <font>
      <b val="true"/>
      <sz val="9"/>
      <color rgb="FF0000FF"/>
      <name val="Arial"/>
      <family val="0"/>
      <charset val="1"/>
    </font>
    <font>
      <b val="true"/>
      <sz val="9"/>
      <color rgb="FF000000"/>
      <name val="Arial"/>
      <family val="0"/>
      <charset val="1"/>
    </font>
    <font>
      <b val="true"/>
      <sz val="9"/>
      <color rgb="FF008000"/>
      <name val="Arial"/>
      <family val="0"/>
      <charset val="1"/>
    </font>
    <font>
      <b val="true"/>
      <i val="true"/>
      <sz val="9"/>
      <color rgb="FF1F3864"/>
      <name val="Arial"/>
      <family val="0"/>
      <charset val="1"/>
    </font>
    <font>
      <b val="true"/>
      <sz val="8"/>
      <color rgb="FFFFFFFF"/>
      <name val="Arial"/>
      <family val="0"/>
      <charset val="1"/>
    </font>
    <font>
      <i val="true"/>
      <sz val="8"/>
      <color rgb="FF808080"/>
      <name val="Arial"/>
      <family val="0"/>
      <charset val="1"/>
    </font>
    <font>
      <sz val="9"/>
      <color rgb="FF008000"/>
      <name val="Arial"/>
      <family val="0"/>
      <charset val="1"/>
    </font>
    <font>
      <sz val="9"/>
      <color rgb="FF000000"/>
      <name val="Arial"/>
      <family val="0"/>
      <charset val="1"/>
    </font>
    <font>
      <b val="true"/>
      <sz val="13"/>
      <color rgb="FF1F3864"/>
      <name val="Arial"/>
      <family val="0"/>
      <charset val="1"/>
    </font>
    <font>
      <b val="true"/>
      <sz val="12"/>
      <color rgb="FF1F3864"/>
      <name val="Arial"/>
      <family val="0"/>
      <charset val="1"/>
    </font>
    <font>
      <b val="true"/>
      <sz val="10"/>
      <color rgb="FF833C00"/>
      <name val="Arial"/>
      <family val="0"/>
      <charset val="1"/>
    </font>
    <font>
      <b val="true"/>
      <sz val="9"/>
      <color rgb="FFFFFFFF"/>
      <name val="Arial"/>
      <family val="0"/>
      <charset val="1"/>
    </font>
    <font>
      <sz val="9"/>
      <color rgb="FF333333"/>
      <name val="Arial"/>
      <family val="0"/>
      <charset val="1"/>
    </font>
    <font>
      <b val="true"/>
      <sz val="9"/>
      <color rgb="FF833C00"/>
      <name val="Arial"/>
      <family val="0"/>
      <charset val="1"/>
    </font>
    <font>
      <sz val="8"/>
      <color rgb="FF44546A"/>
      <name val="Arial"/>
      <family val="0"/>
      <charset val="1"/>
    </font>
    <font>
      <sz val="9"/>
      <color rgb="FF0000FF"/>
      <name val="Arial"/>
      <family val="0"/>
      <charset val="1"/>
    </font>
    <font>
      <b val="true"/>
      <sz val="9"/>
      <color rgb="FF1F3864"/>
      <name val="Arial"/>
      <family val="0"/>
      <charset val="1"/>
    </font>
    <font>
      <sz val="9"/>
      <color rgb="FF808080"/>
      <name val="Arial"/>
      <family val="0"/>
      <charset val="1"/>
    </font>
    <font>
      <b val="true"/>
      <sz val="10"/>
      <color rgb="FF1F3864"/>
      <name val="Arial"/>
      <family val="0"/>
      <charset val="1"/>
    </font>
    <font>
      <b val="true"/>
      <sz val="10"/>
      <color rgb="FF0000FF"/>
      <name val="Arial"/>
      <family val="0"/>
      <charset val="1"/>
    </font>
    <font>
      <i val="true"/>
      <sz val="9"/>
      <color rgb="FF808080"/>
      <name val="Arial"/>
      <family val="0"/>
      <charset val="1"/>
    </font>
    <font>
      <sz val="9"/>
      <color rgb="FF44546A"/>
      <name val="Arial"/>
      <family val="0"/>
      <charset val="1"/>
    </font>
    <font>
      <b val="true"/>
      <sz val="18"/>
      <color rgb="FF000000"/>
      <name val="Calibri"/>
      <family val="2"/>
    </font>
    <font>
      <sz val="10"/>
      <color rgb="FF000000"/>
      <name val="Calibri"/>
      <family val="2"/>
    </font>
    <font>
      <b val="true"/>
      <sz val="10"/>
      <color rgb="FF000000"/>
      <name val="Calibri"/>
      <family val="2"/>
    </font>
  </fonts>
  <fills count="9">
    <fill>
      <patternFill patternType="none"/>
    </fill>
    <fill>
      <patternFill patternType="gray125"/>
    </fill>
    <fill>
      <patternFill patternType="solid">
        <fgColor rgb="FF1F3864"/>
        <bgColor rgb="FF333333"/>
      </patternFill>
    </fill>
    <fill>
      <patternFill patternType="solid">
        <fgColor rgb="FFFFFF00"/>
        <bgColor rgb="FFFFFF00"/>
      </patternFill>
    </fill>
    <fill>
      <patternFill patternType="solid">
        <fgColor rgb="FF44546A"/>
        <bgColor rgb="FF1F3864"/>
      </patternFill>
    </fill>
    <fill>
      <patternFill patternType="solid">
        <fgColor rgb="FFF2F5FB"/>
        <bgColor rgb="FFFFFFFF"/>
      </patternFill>
    </fill>
    <fill>
      <patternFill patternType="solid">
        <fgColor rgb="FFD9E2F3"/>
        <bgColor rgb="FFD9D9D9"/>
      </patternFill>
    </fill>
    <fill>
      <patternFill patternType="solid">
        <fgColor rgb="FFFCE9D6"/>
        <bgColor rgb="FFFCE4E4"/>
      </patternFill>
    </fill>
    <fill>
      <patternFill patternType="solid">
        <fgColor rgb="FFFCE4E4"/>
        <bgColor rgb="FFFCE9D6"/>
      </patternFill>
    </fill>
  </fills>
  <borders count="3">
    <border diagonalUp="false" diagonalDown="false">
      <left/>
      <right/>
      <top/>
      <bottom/>
      <diagonal/>
    </border>
    <border diagonalUp="false" diagonalDown="false">
      <left/>
      <right/>
      <top/>
      <bottom style="medium">
        <color rgb="FFD9E2F3"/>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1"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3"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2" fillId="0" borderId="2" xfId="0" applyFont="true" applyBorder="true" applyAlignment="true" applyProtection="false">
      <alignment horizontal="general" vertical="center" textRotation="0" wrapText="false" indent="0" shrinkToFit="false"/>
      <protection locked="true" hidden="false"/>
    </xf>
    <xf numFmtId="164" fontId="14" fillId="4" borderId="2" xfId="0" applyFont="true" applyBorder="true" applyAlignment="true" applyProtection="false">
      <alignment horizontal="center" vertical="center" textRotation="0" wrapText="true" indent="0" shrinkToFit="false"/>
      <protection locked="true" hidden="false"/>
    </xf>
    <xf numFmtId="165" fontId="12" fillId="0" borderId="2" xfId="0" applyFont="true" applyBorder="true" applyAlignment="true" applyProtection="false">
      <alignment horizontal="general"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2" xfId="0" applyFont="true" applyBorder="true" applyAlignment="true" applyProtection="false">
      <alignment horizontal="general" vertical="center" textRotation="0" wrapText="false" indent="0" shrinkToFit="false"/>
      <protection locked="true" hidden="false"/>
    </xf>
    <xf numFmtId="164" fontId="16" fillId="0" borderId="2" xfId="0" applyFont="true" applyBorder="true" applyAlignment="true" applyProtection="false">
      <alignment horizontal="center" vertical="center" textRotation="0" wrapText="false" indent="0" shrinkToFit="false"/>
      <protection locked="true" hidden="false"/>
    </xf>
    <xf numFmtId="166" fontId="17" fillId="0" borderId="2" xfId="0" applyFont="true" applyBorder="true" applyAlignment="true" applyProtection="false">
      <alignment horizontal="center" vertical="center" textRotation="0" wrapText="false" indent="0" shrinkToFit="false"/>
      <protection locked="true" hidden="false"/>
    </xf>
    <xf numFmtId="167" fontId="17" fillId="0" borderId="2" xfId="0" applyFont="true" applyBorder="true" applyAlignment="true" applyProtection="false">
      <alignment horizontal="general" vertical="center" textRotation="0" wrapText="false" indent="0" shrinkToFit="false"/>
      <protection locked="true" hidden="false"/>
    </xf>
    <xf numFmtId="168" fontId="17" fillId="0" borderId="2" xfId="0" applyFont="true" applyBorder="true" applyAlignment="true" applyProtection="false">
      <alignment horizontal="center" vertical="center" textRotation="0" wrapText="false" indent="0" shrinkToFit="false"/>
      <protection locked="true" hidden="false"/>
    </xf>
    <xf numFmtId="169" fontId="17" fillId="0" borderId="2" xfId="0" applyFont="true" applyBorder="true" applyAlignment="true" applyProtection="false">
      <alignment horizontal="center" vertical="center" textRotation="0" wrapText="false" indent="0" shrinkToFit="false"/>
      <protection locked="true" hidden="false"/>
    </xf>
    <xf numFmtId="164" fontId="6" fillId="5" borderId="0" xfId="0" applyFont="true" applyBorder="false" applyAlignment="false" applyProtection="false">
      <alignment horizontal="general" vertical="bottom" textRotation="0" wrapText="false" indent="0" shrinkToFit="false"/>
      <protection locked="true" hidden="false"/>
    </xf>
    <xf numFmtId="164" fontId="16" fillId="5" borderId="2" xfId="0" applyFont="true" applyBorder="true" applyAlignment="true" applyProtection="false">
      <alignment horizontal="general" vertical="center" textRotation="0" wrapText="false" indent="0" shrinkToFit="false"/>
      <protection locked="true" hidden="false"/>
    </xf>
    <xf numFmtId="164" fontId="16" fillId="5" borderId="2" xfId="0" applyFont="true" applyBorder="true" applyAlignment="true" applyProtection="false">
      <alignment horizontal="center" vertical="center" textRotation="0" wrapText="false" indent="0" shrinkToFit="false"/>
      <protection locked="true" hidden="false"/>
    </xf>
    <xf numFmtId="166" fontId="17" fillId="5" borderId="2" xfId="0" applyFont="true" applyBorder="true" applyAlignment="true" applyProtection="false">
      <alignment horizontal="center" vertical="center" textRotation="0" wrapText="false" indent="0" shrinkToFit="false"/>
      <protection locked="true" hidden="false"/>
    </xf>
    <xf numFmtId="167" fontId="17" fillId="5" borderId="2" xfId="0" applyFont="true" applyBorder="true" applyAlignment="true" applyProtection="false">
      <alignment horizontal="general" vertical="center" textRotation="0" wrapText="false" indent="0" shrinkToFit="false"/>
      <protection locked="true" hidden="false"/>
    </xf>
    <xf numFmtId="168" fontId="17" fillId="5" borderId="2" xfId="0" applyFont="true" applyBorder="true" applyAlignment="true" applyProtection="false">
      <alignment horizontal="center" vertical="center" textRotation="0" wrapText="false" indent="0" shrinkToFit="false"/>
      <protection locked="true" hidden="false"/>
    </xf>
    <xf numFmtId="169" fontId="17" fillId="5" borderId="2" xfId="0" applyFont="true" applyBorder="true" applyAlignment="true" applyProtection="false">
      <alignment horizontal="center" vertical="center" textRotation="0" wrapText="false" indent="0" shrinkToFit="false"/>
      <protection locked="true" hidden="false"/>
    </xf>
    <xf numFmtId="167" fontId="18" fillId="6" borderId="2" xfId="0" applyFont="true" applyBorder="true" applyAlignment="true" applyProtection="false">
      <alignment horizontal="center" vertical="center" textRotation="0" wrapText="false" indent="0" shrinkToFit="false"/>
      <protection locked="true" hidden="false"/>
    </xf>
    <xf numFmtId="168" fontId="18" fillId="6" borderId="2" xfId="0" applyFont="true" applyBorder="true" applyAlignment="true" applyProtection="false">
      <alignment horizontal="center" vertical="center" textRotation="0" wrapText="false" indent="0" shrinkToFit="false"/>
      <protection locked="true" hidden="false"/>
    </xf>
    <xf numFmtId="164" fontId="18" fillId="6" borderId="2" xfId="0" applyFont="true" applyBorder="true" applyAlignment="true" applyProtection="false">
      <alignment horizontal="center" vertical="center" textRotation="0" wrapText="false" indent="0" shrinkToFit="false"/>
      <protection locked="true" hidden="false"/>
    </xf>
    <xf numFmtId="164" fontId="19" fillId="5" borderId="0" xfId="0" applyFont="true" applyBorder="true" applyAlignment="false" applyProtection="false">
      <alignment horizontal="general" vertical="bottom" textRotation="0" wrapText="false" indent="0" shrinkToFit="false"/>
      <protection locked="true" hidden="false"/>
    </xf>
    <xf numFmtId="164" fontId="20" fillId="7" borderId="2" xfId="0" applyFont="true" applyBorder="true" applyAlignment="true" applyProtection="false">
      <alignment horizontal="general" vertical="center" textRotation="0" wrapText="true" indent="0" shrinkToFit="false"/>
      <protection locked="true" hidden="false"/>
    </xf>
    <xf numFmtId="164" fontId="21" fillId="0" borderId="2"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22" fillId="5" borderId="0" xfId="0" applyFont="true" applyBorder="true" applyAlignment="true" applyProtection="false">
      <alignment horizontal="general" vertical="top" textRotation="0" wrapText="true" indent="0" shrinkToFit="false"/>
      <protection locked="true" hidden="false"/>
    </xf>
    <xf numFmtId="164" fontId="23" fillId="0" borderId="0" xfId="0" applyFont="true" applyBorder="true" applyAlignment="true" applyProtection="false">
      <alignment horizontal="general" vertical="top" textRotation="0" wrapText="true" indent="0" shrinkToFit="false"/>
      <protection locked="true" hidden="false"/>
    </xf>
    <xf numFmtId="164" fontId="15" fillId="5" borderId="0" xfId="0" applyFont="true" applyBorder="true" applyAlignment="true" applyProtection="false">
      <alignment horizontal="general" vertical="top" textRotation="0" wrapText="true" indent="0" shrinkToFit="false"/>
      <protection locked="true" hidden="false"/>
    </xf>
    <xf numFmtId="164" fontId="24" fillId="0" borderId="2" xfId="0" applyFont="true" applyBorder="true" applyAlignment="false" applyProtection="false">
      <alignment horizontal="general" vertical="bottom" textRotation="0" wrapText="false" indent="0" shrinkToFit="false"/>
      <protection locked="true" hidden="false"/>
    </xf>
    <xf numFmtId="167" fontId="17" fillId="0" borderId="2" xfId="0" applyFont="true" applyBorder="true" applyAlignment="true" applyProtection="false">
      <alignment horizontal="center" vertical="center" textRotation="0" wrapText="false" indent="0" shrinkToFit="false"/>
      <protection locked="true" hidden="false"/>
    </xf>
    <xf numFmtId="164" fontId="17" fillId="0" borderId="2" xfId="0" applyFont="true" applyBorder="true" applyAlignment="true" applyProtection="false">
      <alignment horizontal="center" vertical="center" textRotation="0" wrapText="false" indent="0" shrinkToFit="false"/>
      <protection locked="true" hidden="false"/>
    </xf>
    <xf numFmtId="170" fontId="17" fillId="0" borderId="2" xfId="0" applyFont="true" applyBorder="true" applyAlignment="true" applyProtection="false">
      <alignment horizontal="center" vertical="center" textRotation="0" wrapText="false" indent="0" shrinkToFit="false"/>
      <protection locked="true" hidden="false"/>
    </xf>
    <xf numFmtId="164" fontId="21" fillId="4" borderId="2" xfId="0" applyFont="true" applyBorder="true" applyAlignment="true" applyProtection="false">
      <alignment horizontal="center" vertical="center" textRotation="0" wrapText="true" indent="0" shrinkToFit="false"/>
      <protection locked="true" hidden="false"/>
    </xf>
    <xf numFmtId="164" fontId="25" fillId="0" borderId="2" xfId="0" applyFont="true" applyBorder="true" applyAlignment="true" applyProtection="false">
      <alignment horizontal="center" vertical="center" textRotation="0" wrapText="false" indent="0" shrinkToFit="false"/>
      <protection locked="true" hidden="false"/>
    </xf>
    <xf numFmtId="164" fontId="25" fillId="0" borderId="2" xfId="0" applyFont="true" applyBorder="true" applyAlignment="true" applyProtection="false">
      <alignment horizontal="general" vertical="center" textRotation="0" wrapText="false" indent="0" shrinkToFit="false"/>
      <protection locked="true" hidden="false"/>
    </xf>
    <xf numFmtId="165" fontId="25" fillId="0" borderId="2" xfId="0" applyFont="true" applyBorder="true" applyAlignment="true" applyProtection="false">
      <alignment horizontal="center" vertical="center" textRotation="0" wrapText="false" indent="0" shrinkToFit="false"/>
      <protection locked="true" hidden="false"/>
    </xf>
    <xf numFmtId="167" fontId="25" fillId="0" borderId="2" xfId="0" applyFont="true" applyBorder="true" applyAlignment="true" applyProtection="false">
      <alignment horizontal="general" vertical="center" textRotation="0" wrapText="false" indent="0" shrinkToFit="false"/>
      <protection locked="true" hidden="false"/>
    </xf>
    <xf numFmtId="166" fontId="25" fillId="0" borderId="2" xfId="0" applyFont="true" applyBorder="true" applyAlignment="true" applyProtection="false">
      <alignment horizontal="general" vertical="center" textRotation="0" wrapText="false" indent="0" shrinkToFit="false"/>
      <protection locked="true" hidden="false"/>
    </xf>
    <xf numFmtId="164" fontId="25" fillId="0" borderId="2" xfId="0" applyFont="true" applyBorder="true" applyAlignment="true" applyProtection="false">
      <alignment horizontal="general" vertical="top" textRotation="0" wrapText="true" indent="0" shrinkToFit="false"/>
      <protection locked="true" hidden="false"/>
    </xf>
    <xf numFmtId="164" fontId="25" fillId="5" borderId="2" xfId="0" applyFont="true" applyBorder="true" applyAlignment="true" applyProtection="false">
      <alignment horizontal="center" vertical="center" textRotation="0" wrapText="false" indent="0" shrinkToFit="false"/>
      <protection locked="true" hidden="false"/>
    </xf>
    <xf numFmtId="164" fontId="25" fillId="5" borderId="2" xfId="0" applyFont="true" applyBorder="true" applyAlignment="true" applyProtection="false">
      <alignment horizontal="general" vertical="center" textRotation="0" wrapText="false" indent="0" shrinkToFit="false"/>
      <protection locked="true" hidden="false"/>
    </xf>
    <xf numFmtId="165" fontId="25" fillId="5" borderId="2" xfId="0" applyFont="true" applyBorder="true" applyAlignment="true" applyProtection="false">
      <alignment horizontal="center" vertical="center" textRotation="0" wrapText="false" indent="0" shrinkToFit="false"/>
      <protection locked="true" hidden="false"/>
    </xf>
    <xf numFmtId="167" fontId="25" fillId="5" borderId="2" xfId="0" applyFont="true" applyBorder="true" applyAlignment="true" applyProtection="false">
      <alignment horizontal="general" vertical="center" textRotation="0" wrapText="false" indent="0" shrinkToFit="false"/>
      <protection locked="true" hidden="false"/>
    </xf>
    <xf numFmtId="166" fontId="25" fillId="5" borderId="2" xfId="0" applyFont="true" applyBorder="true" applyAlignment="true" applyProtection="false">
      <alignment horizontal="general" vertical="center" textRotation="0" wrapText="false" indent="0" shrinkToFit="false"/>
      <protection locked="true" hidden="false"/>
    </xf>
    <xf numFmtId="164" fontId="25" fillId="5" borderId="2" xfId="0" applyFont="true" applyBorder="true" applyAlignment="true" applyProtection="false">
      <alignment horizontal="general" vertical="top" textRotation="0" wrapText="true" indent="0" shrinkToFit="false"/>
      <protection locked="true" hidden="false"/>
    </xf>
    <xf numFmtId="165" fontId="25" fillId="5" borderId="2" xfId="0" applyFont="true" applyBorder="true" applyAlignment="true" applyProtection="false">
      <alignment horizontal="general" vertical="center" textRotation="0" wrapText="false" indent="0" shrinkToFit="false"/>
      <protection locked="true" hidden="false"/>
    </xf>
    <xf numFmtId="165" fontId="25" fillId="0" borderId="2" xfId="0" applyFont="true" applyBorder="true" applyAlignment="true" applyProtection="false">
      <alignment horizontal="general" vertical="center"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5" fontId="10" fillId="3" borderId="2" xfId="0" applyFont="true" applyBorder="true" applyAlignment="true" applyProtection="false">
      <alignment horizontal="center" vertical="center" textRotation="0" wrapText="false" indent="0" shrinkToFit="false"/>
      <protection locked="true" hidden="false"/>
    </xf>
    <xf numFmtId="164" fontId="27" fillId="0" borderId="2" xfId="0" applyFont="true" applyBorder="true" applyAlignment="true" applyProtection="false">
      <alignment horizontal="center" vertical="center" textRotation="0" wrapText="false" indent="0" shrinkToFit="false"/>
      <protection locked="true" hidden="false"/>
    </xf>
    <xf numFmtId="170" fontId="25" fillId="0" borderId="2" xfId="0" applyFont="true" applyBorder="true" applyAlignment="true" applyProtection="false">
      <alignment horizontal="center" vertical="center" textRotation="0" wrapText="false" indent="0" shrinkToFit="false"/>
      <protection locked="true" hidden="false"/>
    </xf>
    <xf numFmtId="170" fontId="25" fillId="5" borderId="2" xfId="0" applyFont="true" applyBorder="true" applyAlignment="true" applyProtection="false">
      <alignment horizontal="center" vertical="center" textRotation="0" wrapText="false" indent="0" shrinkToFit="false"/>
      <protection locked="true" hidden="false"/>
    </xf>
    <xf numFmtId="164" fontId="25" fillId="8" borderId="2" xfId="0" applyFont="true" applyBorder="true" applyAlignment="true" applyProtection="false">
      <alignment horizontal="general" vertical="center"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11" fillId="0" borderId="2" xfId="0" applyFont="true" applyBorder="true" applyAlignment="true" applyProtection="false">
      <alignment horizontal="center" vertical="center" textRotation="0" wrapText="false" indent="0" shrinkToFit="false"/>
      <protection locked="true" hidden="false"/>
    </xf>
    <xf numFmtId="164" fontId="11" fillId="5" borderId="2" xfId="0" applyFont="true" applyBorder="true" applyAlignment="true" applyProtection="false">
      <alignment horizontal="center" vertical="center"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29" fillId="3" borderId="2"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5" fontId="29" fillId="3" borderId="2"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8" fontId="10" fillId="3" borderId="2" xfId="0" applyFont="true" applyBorder="true" applyAlignment="true" applyProtection="false">
      <alignment horizontal="center" vertical="center" textRotation="0" wrapText="false" indent="0" shrinkToFit="false"/>
      <protection locked="true" hidden="false"/>
    </xf>
    <xf numFmtId="166" fontId="19" fillId="6" borderId="2" xfId="0" applyFont="true" applyBorder="true" applyAlignment="true" applyProtection="false">
      <alignment horizontal="center" vertical="center" textRotation="0" wrapText="false" indent="0" shrinkToFit="false"/>
      <protection locked="true" hidden="false"/>
    </xf>
    <xf numFmtId="167" fontId="19" fillId="6" borderId="2" xfId="0" applyFont="true" applyBorder="true" applyAlignment="true" applyProtection="false">
      <alignment horizontal="center" vertical="center" textRotation="0" wrapText="false" indent="0" shrinkToFit="false"/>
      <protection locked="true" hidden="false"/>
    </xf>
    <xf numFmtId="168" fontId="19" fillId="6" borderId="2" xfId="0" applyFont="true" applyBorder="true" applyAlignment="true" applyProtection="false">
      <alignment horizontal="center" vertical="center" textRotation="0" wrapText="false" indent="0" shrinkToFit="false"/>
      <protection locked="true" hidden="false"/>
    </xf>
    <xf numFmtId="166" fontId="10" fillId="3" borderId="2"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2" fillId="0" borderId="2" xfId="0" applyFont="true" applyBorder="true" applyAlignment="true" applyProtection="false">
      <alignment horizontal="center" vertical="center" textRotation="0" wrapText="false" indent="0" shrinkToFit="false"/>
      <protection locked="true" hidden="false"/>
    </xf>
    <xf numFmtId="167" fontId="16" fillId="0" borderId="2" xfId="0" applyFont="true" applyBorder="true" applyAlignment="true" applyProtection="false">
      <alignment horizontal="general" vertical="center" textRotation="0" wrapText="false" indent="0" shrinkToFit="false"/>
      <protection locked="true" hidden="false"/>
    </xf>
    <xf numFmtId="166" fontId="16" fillId="0" borderId="2" xfId="0" applyFont="true" applyBorder="true" applyAlignment="true" applyProtection="false">
      <alignment horizontal="center" vertical="center" textRotation="0" wrapText="false" indent="0" shrinkToFit="false"/>
      <protection locked="true" hidden="false"/>
    </xf>
    <xf numFmtId="168" fontId="11" fillId="0" borderId="2" xfId="0" applyFont="true" applyBorder="true" applyAlignment="true" applyProtection="false">
      <alignment horizontal="center" vertical="center" textRotation="0" wrapText="false" indent="0" shrinkToFit="false"/>
      <protection locked="true" hidden="false"/>
    </xf>
    <xf numFmtId="164" fontId="16" fillId="0" borderId="2" xfId="0" applyFont="true" applyBorder="true" applyAlignment="true" applyProtection="false">
      <alignment horizontal="general" vertical="top" textRotation="0" wrapText="true" indent="0" shrinkToFit="false"/>
      <protection locked="true" hidden="false"/>
    </xf>
    <xf numFmtId="168" fontId="16" fillId="0" borderId="2"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bgColor rgb="FFF4B7B7"/>
        </patternFill>
      </fill>
    </dxf>
    <dxf>
      <fill>
        <patternFill>
          <bgColor rgb="FFFFE39A"/>
        </patternFill>
      </fill>
    </dxf>
    <dxf>
      <fill>
        <patternFill>
          <bgColor rgb="FFC2E0C2"/>
        </patternFill>
      </fill>
    </dxf>
    <dxf>
      <fill>
        <patternFill patternType="solid">
          <fgColor rgb="FF44546A"/>
          <bgColor rgb="FF000000"/>
        </patternFill>
      </fill>
    </dxf>
    <dxf>
      <fill>
        <patternFill patternType="solid">
          <fgColor rgb="FFF2F5FB"/>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CE4E4"/>
          <bgColor rgb="FF000000"/>
        </patternFill>
      </fill>
    </dxf>
    <dxf>
      <fill>
        <patternFill patternType="solid">
          <fgColor rgb="FF000000"/>
          <bgColor rgb="FF000000"/>
        </patternFill>
      </fill>
    </dxf>
    <dxf>
      <fill>
        <patternFill patternType="solid">
          <fgColor rgb="FFC2E0C2"/>
          <bgColor rgb="FF000000"/>
        </patternFill>
      </fill>
    </dxf>
    <dxf>
      <fill>
        <patternFill patternType="solid">
          <fgColor rgb="FFF4B7B7"/>
          <bgColor rgb="FF000000"/>
        </patternFill>
      </fill>
    </dxf>
    <dxf>
      <fill>
        <patternFill patternType="solid">
          <fgColor rgb="FFFFE39A"/>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BE4B48"/>
      <rgbColor rgb="FFFCE9D6"/>
      <rgbColor rgb="FFF2F5FB"/>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2F3"/>
      <rgbColor rgb="FFC2E0C2"/>
      <rgbColor rgb="FFFCE4E4"/>
      <rgbColor rgb="FF99CCFF"/>
      <rgbColor rgb="FFF4B7B7"/>
      <rgbColor rgb="FFCC99FF"/>
      <rgbColor rgb="FFFFE39A"/>
      <rgbColor rgb="FF2E75B6"/>
      <rgbColor rgb="FF33CCCC"/>
      <rgbColor rgb="FF98B855"/>
      <rgbColor rgb="FFFFCC00"/>
      <rgbColor rgb="FFFF9900"/>
      <rgbColor rgb="FFC55A11"/>
      <rgbColor rgb="FF4A7EBB"/>
      <rgbColor rgb="FF878787"/>
      <rgbColor rgb="FF1F3864"/>
      <rgbColor rgb="FF4F81BD"/>
      <rgbColor rgb="FF003300"/>
      <rgbColor rgb="FF333300"/>
      <rgbColor rgb="FF833C00"/>
      <rgbColor rgb="FFC0504D"/>
      <rgbColor rgb="FF44546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Portfolio delivery against TOR - monthly</a:t>
            </a:r>
          </a:p>
        </c:rich>
      </c:tx>
      <c:overlay val="0"/>
      <c:spPr>
        <a:noFill/>
        <a:ln w="0">
          <a:noFill/>
        </a:ln>
      </c:spPr>
    </c:title>
    <c:autoTitleDeleted val="0"/>
    <c:plotArea>
      <c:lineChart>
        <c:grouping val="standard"/>
        <c:varyColors val="0"/>
        <c:ser>
          <c:idx val="0"/>
          <c:order val="0"/>
          <c:tx>
            <c:strRef>
              <c:f>Charts!D4</c:f>
              <c:strCache>
                <c:ptCount val="1"/>
                <c:pt idx="0">
                  <c:v>Milestone Hit Rate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Charts!$A$5:$A$10</c:f>
              <c:strCache>
                <c:ptCount val="6"/>
                <c:pt idx="0">
                  <c:v>2026-03</c:v>
                </c:pt>
                <c:pt idx="1">
                  <c:v>2026-04</c:v>
                </c:pt>
                <c:pt idx="2">
                  <c:v>2026-05</c:v>
                </c:pt>
                <c:pt idx="3">
                  <c:v>2026-06</c:v>
                </c:pt>
                <c:pt idx="4">
                  <c:v>2026-07</c:v>
                </c:pt>
                <c:pt idx="5">
                  <c:v>2026-08</c:v>
                </c:pt>
              </c:strCache>
            </c:strRef>
          </c:cat>
          <c:val>
            <c:numRef>
              <c:f>Charts!$D$5:$D$10</c:f>
              <c:numCache>
                <c:formatCode>0.0%;\(0.0%\);\-</c:formatCode>
                <c:ptCount val="6"/>
                <c:pt idx="0">
                  <c:v>1</c:v>
                </c:pt>
                <c:pt idx="1">
                  <c:v>1</c:v>
                </c:pt>
                <c:pt idx="2">
                  <c:v>0.894736842105263</c:v>
                </c:pt>
                <c:pt idx="3">
                  <c:v>0.884615384615385</c:v>
                </c:pt>
                <c:pt idx="4">
                  <c:v>0.828571428571429</c:v>
                </c:pt>
                <c:pt idx="5">
                  <c:v>0.833333333333333</c:v>
                </c:pt>
              </c:numCache>
            </c:numRef>
          </c:val>
          <c:smooth val="1"/>
        </c:ser>
        <c:ser>
          <c:idx val="1"/>
          <c:order val="1"/>
          <c:tx>
            <c:strRef>
              <c:f>Charts!G4</c:f>
              <c:strCache>
                <c:ptCount val="1"/>
                <c:pt idx="0">
                  <c:v>Scope Adherence %</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Charts!$A$5:$A$10</c:f>
              <c:strCache>
                <c:ptCount val="6"/>
                <c:pt idx="0">
                  <c:v>2026-03</c:v>
                </c:pt>
                <c:pt idx="1">
                  <c:v>2026-04</c:v>
                </c:pt>
                <c:pt idx="2">
                  <c:v>2026-05</c:v>
                </c:pt>
                <c:pt idx="3">
                  <c:v>2026-06</c:v>
                </c:pt>
                <c:pt idx="4">
                  <c:v>2026-07</c:v>
                </c:pt>
                <c:pt idx="5">
                  <c:v>2026-08</c:v>
                </c:pt>
              </c:strCache>
            </c:strRef>
          </c:cat>
          <c:val>
            <c:numRef>
              <c:f>Charts!$G$5:$G$10</c:f>
              <c:numCache>
                <c:formatCode>0.0%;\(0.0%\);\-</c:formatCode>
                <c:ptCount val="6"/>
                <c:pt idx="0">
                  <c:v>1</c:v>
                </c:pt>
                <c:pt idx="1">
                  <c:v>1</c:v>
                </c:pt>
                <c:pt idx="2">
                  <c:v>0.894736842105263</c:v>
                </c:pt>
                <c:pt idx="3">
                  <c:v>0.821428571428571</c:v>
                </c:pt>
                <c:pt idx="4">
                  <c:v>0.842105263157895</c:v>
                </c:pt>
                <c:pt idx="5">
                  <c:v>0.8125</c:v>
                </c:pt>
              </c:numCache>
            </c:numRef>
          </c:val>
          <c:smooth val="1"/>
        </c:ser>
        <c:hiLowLines>
          <c:spPr>
            <a:ln w="0">
              <a:noFill/>
            </a:ln>
          </c:spPr>
        </c:hiLowLines>
        <c:marker val="0"/>
        <c:axId val="39044927"/>
        <c:axId val="8570974"/>
      </c:lineChart>
      <c:catAx>
        <c:axId val="39044927"/>
        <c:scaling>
          <c:orientation val="minMax"/>
        </c:scaling>
        <c:delete val="0"/>
        <c:axPos val="b"/>
        <c:numFmt formatCode="yyyy\-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70974"/>
        <c:crosses val="autoZero"/>
        <c:auto val="1"/>
        <c:lblAlgn val="ctr"/>
        <c:lblOffset val="100"/>
        <c:noMultiLvlLbl val="0"/>
      </c:catAx>
      <c:valAx>
        <c:axId val="857097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Percent</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04492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Portfolio spend to date - monthly</a:t>
            </a:r>
          </a:p>
        </c:rich>
      </c:tx>
      <c:overlay val="0"/>
      <c:spPr>
        <a:noFill/>
        <a:ln w="0">
          <a:noFill/>
        </a:ln>
      </c:spPr>
    </c:title>
    <c:autoTitleDeleted val="0"/>
    <c:plotArea>
      <c:barChart>
        <c:barDir val="col"/>
        <c:grouping val="clustered"/>
        <c:varyColors val="0"/>
        <c:ser>
          <c:idx val="0"/>
          <c:order val="0"/>
          <c:tx>
            <c:strRef>
              <c:f>Charts!H4</c:f>
              <c:strCache>
                <c:ptCount val="1"/>
                <c:pt idx="0">
                  <c:v>Budget Spent to Date ($)</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Charts!$A$5:$A$10</c:f>
              <c:strCache>
                <c:ptCount val="6"/>
                <c:pt idx="0">
                  <c:v>2026-03</c:v>
                </c:pt>
                <c:pt idx="1">
                  <c:v>2026-04</c:v>
                </c:pt>
                <c:pt idx="2">
                  <c:v>2026-05</c:v>
                </c:pt>
                <c:pt idx="3">
                  <c:v>2026-06</c:v>
                </c:pt>
                <c:pt idx="4">
                  <c:v>2026-07</c:v>
                </c:pt>
                <c:pt idx="5">
                  <c:v>2026-08</c:v>
                </c:pt>
              </c:strCache>
            </c:strRef>
          </c:cat>
          <c:val>
            <c:numRef>
              <c:f>Charts!$H$5:$H$10</c:f>
              <c:numCache>
                <c:formatCode>\$#,##0;"($"#,##0\);\-</c:formatCode>
                <c:ptCount val="6"/>
                <c:pt idx="0">
                  <c:v>315000</c:v>
                </c:pt>
                <c:pt idx="1">
                  <c:v>629000</c:v>
                </c:pt>
                <c:pt idx="2">
                  <c:v>958000</c:v>
                </c:pt>
                <c:pt idx="3">
                  <c:v>1354000</c:v>
                </c:pt>
                <c:pt idx="4">
                  <c:v>1728000</c:v>
                </c:pt>
                <c:pt idx="5">
                  <c:v>2092000</c:v>
                </c:pt>
              </c:numCache>
            </c:numRef>
          </c:val>
        </c:ser>
        <c:gapWidth val="150"/>
        <c:overlap val="0"/>
        <c:axId val="62870839"/>
        <c:axId val="56003049"/>
      </c:barChart>
      <c:catAx>
        <c:axId val="62870839"/>
        <c:scaling>
          <c:orientation val="minMax"/>
        </c:scaling>
        <c:delete val="0"/>
        <c:axPos val="b"/>
        <c:numFmt formatCode="yyyy\-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003049"/>
        <c:crosses val="autoZero"/>
        <c:auto val="1"/>
        <c:lblAlgn val="ctr"/>
        <c:lblOffset val="100"/>
        <c:noMultiLvlLbl val="0"/>
      </c:catAx>
      <c:valAx>
        <c:axId val="5600304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quot;($&quot;#,##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87083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Risk and governance posture - monthly</a:t>
            </a:r>
          </a:p>
        </c:rich>
      </c:tx>
      <c:overlay val="0"/>
      <c:spPr>
        <a:noFill/>
        <a:ln w="0">
          <a:noFill/>
        </a:ln>
      </c:spPr>
    </c:title>
    <c:autoTitleDeleted val="0"/>
    <c:plotArea>
      <c:lineChart>
        <c:grouping val="standard"/>
        <c:varyColors val="0"/>
        <c:ser>
          <c:idx val="0"/>
          <c:order val="0"/>
          <c:tx>
            <c:strRef>
              <c:f>Charts!I4</c:f>
              <c:strCache>
                <c:ptCount val="1"/>
                <c:pt idx="0">
                  <c:v>Open Risks</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Charts!$A$5:$A$10</c:f>
              <c:strCache>
                <c:ptCount val="6"/>
                <c:pt idx="0">
                  <c:v>2026-03</c:v>
                </c:pt>
                <c:pt idx="1">
                  <c:v>2026-04</c:v>
                </c:pt>
                <c:pt idx="2">
                  <c:v>2026-05</c:v>
                </c:pt>
                <c:pt idx="3">
                  <c:v>2026-06</c:v>
                </c:pt>
                <c:pt idx="4">
                  <c:v>2026-07</c:v>
                </c:pt>
                <c:pt idx="5">
                  <c:v>2026-08</c:v>
                </c:pt>
              </c:strCache>
            </c:strRef>
          </c:cat>
          <c:val>
            <c:numRef>
              <c:f>Charts!$I$5:$I$10</c:f>
              <c:numCache>
                <c:formatCode>#,##0;\(#,##0\);\-</c:formatCode>
                <c:ptCount val="6"/>
                <c:pt idx="0">
                  <c:v>17</c:v>
                </c:pt>
                <c:pt idx="1">
                  <c:v>19</c:v>
                </c:pt>
                <c:pt idx="2">
                  <c:v>23</c:v>
                </c:pt>
                <c:pt idx="3">
                  <c:v>26</c:v>
                </c:pt>
                <c:pt idx="4">
                  <c:v>24</c:v>
                </c:pt>
                <c:pt idx="5">
                  <c:v>22</c:v>
                </c:pt>
              </c:numCache>
            </c:numRef>
          </c:val>
          <c:smooth val="1"/>
        </c:ser>
        <c:ser>
          <c:idx val="1"/>
          <c:order val="1"/>
          <c:tx>
            <c:strRef>
              <c:f>Charts!J4</c:f>
              <c:strCache>
                <c:ptCount val="1"/>
                <c:pt idx="0">
                  <c:v>High Risks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Charts!$A$5:$A$10</c:f>
              <c:strCache>
                <c:ptCount val="6"/>
                <c:pt idx="0">
                  <c:v>2026-03</c:v>
                </c:pt>
                <c:pt idx="1">
                  <c:v>2026-04</c:v>
                </c:pt>
                <c:pt idx="2">
                  <c:v>2026-05</c:v>
                </c:pt>
                <c:pt idx="3">
                  <c:v>2026-06</c:v>
                </c:pt>
                <c:pt idx="4">
                  <c:v>2026-07</c:v>
                </c:pt>
                <c:pt idx="5">
                  <c:v>2026-08</c:v>
                </c:pt>
              </c:strCache>
            </c:strRef>
          </c:cat>
          <c:val>
            <c:numRef>
              <c:f>Charts!$J$5:$J$10</c:f>
              <c:numCache>
                <c:formatCode>#,##0;\(#,##0\);\-</c:formatCode>
                <c:ptCount val="6"/>
                <c:pt idx="0">
                  <c:v>2</c:v>
                </c:pt>
                <c:pt idx="1">
                  <c:v>3</c:v>
                </c:pt>
                <c:pt idx="2">
                  <c:v>6</c:v>
                </c:pt>
                <c:pt idx="3">
                  <c:v>6</c:v>
                </c:pt>
                <c:pt idx="4">
                  <c:v>6</c:v>
                </c:pt>
                <c:pt idx="5">
                  <c:v>4</c:v>
                </c:pt>
              </c:numCache>
            </c:numRef>
          </c:val>
          <c:smooth val="1"/>
        </c:ser>
        <c:ser>
          <c:idx val="2"/>
          <c:order val="2"/>
          <c:tx>
            <c:strRef>
              <c:f>Charts!K4</c:f>
              <c:strCache>
                <c:ptCount val="1"/>
                <c:pt idx="0">
                  <c:v>RACI Gaps</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Charts!$A$5:$A$10</c:f>
              <c:strCache>
                <c:ptCount val="6"/>
                <c:pt idx="0">
                  <c:v>2026-03</c:v>
                </c:pt>
                <c:pt idx="1">
                  <c:v>2026-04</c:v>
                </c:pt>
                <c:pt idx="2">
                  <c:v>2026-05</c:v>
                </c:pt>
                <c:pt idx="3">
                  <c:v>2026-06</c:v>
                </c:pt>
                <c:pt idx="4">
                  <c:v>2026-07</c:v>
                </c:pt>
                <c:pt idx="5">
                  <c:v>2026-08</c:v>
                </c:pt>
              </c:strCache>
            </c:strRef>
          </c:cat>
          <c:val>
            <c:numRef>
              <c:f>Charts!$K$5:$K$10</c:f>
              <c:numCache>
                <c:formatCode>#,##0;\(#,##0\);\-</c:formatCode>
                <c:ptCount val="6"/>
                <c:pt idx="0">
                  <c:v>4</c:v>
                </c:pt>
                <c:pt idx="1">
                  <c:v>4</c:v>
                </c:pt>
                <c:pt idx="2">
                  <c:v>4</c:v>
                </c:pt>
                <c:pt idx="3">
                  <c:v>3</c:v>
                </c:pt>
                <c:pt idx="4">
                  <c:v>5</c:v>
                </c:pt>
                <c:pt idx="5">
                  <c:v>7</c:v>
                </c:pt>
              </c:numCache>
            </c:numRef>
          </c:val>
          <c:smooth val="1"/>
        </c:ser>
        <c:hiLowLines>
          <c:spPr>
            <a:ln w="0">
              <a:noFill/>
            </a:ln>
          </c:spPr>
        </c:hiLowLines>
        <c:marker val="0"/>
        <c:axId val="73980326"/>
        <c:axId val="23156870"/>
      </c:lineChart>
      <c:catAx>
        <c:axId val="73980326"/>
        <c:scaling>
          <c:orientation val="minMax"/>
        </c:scaling>
        <c:delete val="0"/>
        <c:axPos val="b"/>
        <c:numFmt formatCode="yyyy\-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156870"/>
        <c:crosses val="autoZero"/>
        <c:auto val="1"/>
        <c:lblAlgn val="ctr"/>
        <c:lblOffset val="100"/>
        <c:noMultiLvlLbl val="0"/>
      </c:catAx>
      <c:valAx>
        <c:axId val="2315687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Count</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98032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TOR budget vs spend to date, by project</a:t>
            </a:r>
          </a:p>
        </c:rich>
      </c:tx>
      <c:overlay val="0"/>
      <c:spPr>
        <a:noFill/>
        <a:ln w="0">
          <a:noFill/>
        </a:ln>
      </c:spPr>
    </c:title>
    <c:autoTitleDeleted val="0"/>
    <c:plotArea>
      <c:barChart>
        <c:barDir val="col"/>
        <c:grouping val="clustered"/>
        <c:varyColors val="0"/>
        <c:ser>
          <c:idx val="0"/>
          <c:order val="0"/>
          <c:tx>
            <c:strRef>
              <c:f>Charts!B31</c:f>
              <c:strCache>
                <c:ptCount val="1"/>
                <c:pt idx="0">
                  <c:v>TOR Budget ($)</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Charts!$A$32:$A$36</c:f>
              <c:strCache>
                <c:ptCount val="5"/>
                <c:pt idx="0">
                  <c:v>Client Portal Rebuild</c:v>
                </c:pt>
                <c:pt idx="1">
                  <c:v>Data Platform Migration</c:v>
                </c:pt>
                <c:pt idx="2">
                  <c:v>Regulatory Reporting Uplift</c:v>
                </c:pt>
                <c:pt idx="3">
                  <c:v>Market Expansion - APAC</c:v>
                </c:pt>
                <c:pt idx="4">
                  <c:v>Cost-to-Serve Optimisation</c:v>
                </c:pt>
              </c:strCache>
            </c:strRef>
          </c:cat>
          <c:val>
            <c:numRef>
              <c:f>Charts!$B$32:$B$36</c:f>
              <c:numCache>
                <c:formatCode>\$#,##0;"($"#,##0\);\-</c:formatCode>
                <c:ptCount val="5"/>
                <c:pt idx="0">
                  <c:v>500000</c:v>
                </c:pt>
                <c:pt idx="1">
                  <c:v>820000</c:v>
                </c:pt>
                <c:pt idx="2">
                  <c:v>340000</c:v>
                </c:pt>
                <c:pt idx="3">
                  <c:v>610000</c:v>
                </c:pt>
                <c:pt idx="4">
                  <c:v>275000</c:v>
                </c:pt>
              </c:numCache>
            </c:numRef>
          </c:val>
        </c:ser>
        <c:ser>
          <c:idx val="1"/>
          <c:order val="1"/>
          <c:tx>
            <c:strRef>
              <c:f>Charts!C31</c:f>
              <c:strCache>
                <c:ptCount val="1"/>
                <c:pt idx="0">
                  <c:v>Spent to Date ($)</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Charts!$A$32:$A$36</c:f>
              <c:strCache>
                <c:ptCount val="5"/>
                <c:pt idx="0">
                  <c:v>Client Portal Rebuild</c:v>
                </c:pt>
                <c:pt idx="1">
                  <c:v>Data Platform Migration</c:v>
                </c:pt>
                <c:pt idx="2">
                  <c:v>Regulatory Reporting Uplift</c:v>
                </c:pt>
                <c:pt idx="3">
                  <c:v>Market Expansion - APAC</c:v>
                </c:pt>
                <c:pt idx="4">
                  <c:v>Cost-to-Serve Optimisation</c:v>
                </c:pt>
              </c:strCache>
            </c:strRef>
          </c:cat>
          <c:val>
            <c:numRef>
              <c:f>Charts!$C$32:$C$36</c:f>
              <c:numCache>
                <c:formatCode>\$#,##0;"($"#,##0\);\-</c:formatCode>
                <c:ptCount val="5"/>
                <c:pt idx="0">
                  <c:v>412000</c:v>
                </c:pt>
                <c:pt idx="1">
                  <c:v>690000</c:v>
                </c:pt>
                <c:pt idx="2">
                  <c:v>351000</c:v>
                </c:pt>
                <c:pt idx="3">
                  <c:v>415000</c:v>
                </c:pt>
                <c:pt idx="4">
                  <c:v>224000</c:v>
                </c:pt>
              </c:numCache>
            </c:numRef>
          </c:val>
        </c:ser>
        <c:gapWidth val="150"/>
        <c:overlap val="0"/>
        <c:axId val="43823407"/>
        <c:axId val="25334992"/>
      </c:barChart>
      <c:catAx>
        <c:axId val="4382340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334992"/>
        <c:crosses val="autoZero"/>
        <c:auto val="1"/>
        <c:lblAlgn val="ctr"/>
        <c:lblOffset val="100"/>
        <c:noMultiLvlLbl val="0"/>
      </c:catAx>
      <c:valAx>
        <c:axId val="2533499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quot;($&quot;#,##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382340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Milestone hit rate and scope adherence, by project</a:t>
            </a:r>
          </a:p>
        </c:rich>
      </c:tx>
      <c:overlay val="0"/>
      <c:spPr>
        <a:noFill/>
        <a:ln w="0">
          <a:noFill/>
        </a:ln>
      </c:spPr>
    </c:title>
    <c:autoTitleDeleted val="0"/>
    <c:plotArea>
      <c:barChart>
        <c:barDir val="col"/>
        <c:grouping val="clustered"/>
        <c:varyColors val="0"/>
        <c:ser>
          <c:idx val="0"/>
          <c:order val="0"/>
          <c:tx>
            <c:strRef>
              <c:f>Charts!D31</c:f>
              <c:strCache>
                <c:ptCount val="1"/>
                <c:pt idx="0">
                  <c:v>Milestone Hit Rate %</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Charts!$A$32:$A$36</c:f>
              <c:strCache>
                <c:ptCount val="5"/>
                <c:pt idx="0">
                  <c:v>Client Portal Rebuild</c:v>
                </c:pt>
                <c:pt idx="1">
                  <c:v>Data Platform Migration</c:v>
                </c:pt>
                <c:pt idx="2">
                  <c:v>Regulatory Reporting Uplift</c:v>
                </c:pt>
                <c:pt idx="3">
                  <c:v>Market Expansion - APAC</c:v>
                </c:pt>
                <c:pt idx="4">
                  <c:v>Cost-to-Serve Optimisation</c:v>
                </c:pt>
              </c:strCache>
            </c:strRef>
          </c:cat>
          <c:val>
            <c:numRef>
              <c:f>Charts!$D$32:$D$36</c:f>
              <c:numCache>
                <c:formatCode>0.0%;\(0.0%\);\-</c:formatCode>
                <c:ptCount val="5"/>
                <c:pt idx="0">
                  <c:v>0.777777777777778</c:v>
                </c:pt>
                <c:pt idx="1">
                  <c:v>0.9</c:v>
                </c:pt>
                <c:pt idx="2">
                  <c:v>0.625</c:v>
                </c:pt>
                <c:pt idx="3">
                  <c:v>1</c:v>
                </c:pt>
                <c:pt idx="4">
                  <c:v>0.857142857142857</c:v>
                </c:pt>
              </c:numCache>
            </c:numRef>
          </c:val>
        </c:ser>
        <c:ser>
          <c:idx val="1"/>
          <c:order val="1"/>
          <c:tx>
            <c:strRef>
              <c:f>Charts!E31</c:f>
              <c:strCache>
                <c:ptCount val="1"/>
                <c:pt idx="0">
                  <c:v>Scope Adherence %</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Charts!$A$32:$A$36</c:f>
              <c:strCache>
                <c:ptCount val="5"/>
                <c:pt idx="0">
                  <c:v>Client Portal Rebuild</c:v>
                </c:pt>
                <c:pt idx="1">
                  <c:v>Data Platform Migration</c:v>
                </c:pt>
                <c:pt idx="2">
                  <c:v>Regulatory Reporting Uplift</c:v>
                </c:pt>
                <c:pt idx="3">
                  <c:v>Market Expansion - APAC</c:v>
                </c:pt>
                <c:pt idx="4">
                  <c:v>Cost-to-Serve Optimisation</c:v>
                </c:pt>
              </c:strCache>
            </c:strRef>
          </c:cat>
          <c:val>
            <c:numRef>
              <c:f>Charts!$E$32:$E$36</c:f>
              <c:numCache>
                <c:formatCode>0.0%;\(0.0%\);\-</c:formatCode>
                <c:ptCount val="5"/>
                <c:pt idx="0">
                  <c:v>0.818181818181818</c:v>
                </c:pt>
                <c:pt idx="1">
                  <c:v>0.9</c:v>
                </c:pt>
                <c:pt idx="2">
                  <c:v>0.6</c:v>
                </c:pt>
                <c:pt idx="3">
                  <c:v>1</c:v>
                </c:pt>
                <c:pt idx="4">
                  <c:v>0.777777777777778</c:v>
                </c:pt>
              </c:numCache>
            </c:numRef>
          </c:val>
        </c:ser>
        <c:gapWidth val="150"/>
        <c:overlap val="0"/>
        <c:axId val="25313813"/>
        <c:axId val="95064007"/>
      </c:barChart>
      <c:catAx>
        <c:axId val="2531381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064007"/>
        <c:crosses val="autoZero"/>
        <c:auto val="1"/>
        <c:lblAlgn val="ctr"/>
        <c:lblOffset val="100"/>
        <c:noMultiLvlLbl val="0"/>
      </c:catAx>
      <c:valAx>
        <c:axId val="9506400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Percent</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31381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Portfolio delivery against TOR - daily</a:t>
            </a:r>
          </a:p>
        </c:rich>
      </c:tx>
      <c:overlay val="0"/>
      <c:spPr>
        <a:noFill/>
        <a:ln w="0">
          <a:noFill/>
        </a:ln>
      </c:spPr>
    </c:title>
    <c:autoTitleDeleted val="0"/>
    <c:plotArea>
      <c:lineChart>
        <c:grouping val="standard"/>
        <c:varyColors val="0"/>
        <c:ser>
          <c:idx val="0"/>
          <c:order val="0"/>
          <c:tx>
            <c:strRef>
              <c:f>Charts!D39</c:f>
              <c:strCache>
                <c:ptCount val="1"/>
                <c:pt idx="0">
                  <c:v>Milestone Hit Rate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Charts!$A$40:$A$60</c:f>
              <c:strCache>
                <c:ptCount val="21"/>
                <c:pt idx="0">
                  <c:v>2026-08-03</c:v>
                </c:pt>
                <c:pt idx="1">
                  <c:v>2026-08-04</c:v>
                </c:pt>
                <c:pt idx="2">
                  <c:v>2026-08-05</c:v>
                </c:pt>
                <c:pt idx="3">
                  <c:v>2026-08-06</c:v>
                </c:pt>
                <c:pt idx="4">
                  <c:v>2026-08-07</c:v>
                </c:pt>
                <c:pt idx="5">
                  <c:v>2026-08-10</c:v>
                </c:pt>
                <c:pt idx="6">
                  <c:v>2026-08-11</c:v>
                </c:pt>
                <c:pt idx="7">
                  <c:v>2026-08-12</c:v>
                </c:pt>
                <c:pt idx="8">
                  <c:v>2026-08-13</c:v>
                </c:pt>
                <c:pt idx="9">
                  <c:v>2026-08-14</c:v>
                </c:pt>
                <c:pt idx="10">
                  <c:v>2026-08-17</c:v>
                </c:pt>
                <c:pt idx="11">
                  <c:v>2026-08-18</c:v>
                </c:pt>
                <c:pt idx="12">
                  <c:v>2026-08-19</c:v>
                </c:pt>
                <c:pt idx="13">
                  <c:v>2026-08-20</c:v>
                </c:pt>
                <c:pt idx="14">
                  <c:v>2026-08-21</c:v>
                </c:pt>
                <c:pt idx="15">
                  <c:v>2026-08-24</c:v>
                </c:pt>
                <c:pt idx="16">
                  <c:v>2026-08-25</c:v>
                </c:pt>
                <c:pt idx="17">
                  <c:v>2026-08-26</c:v>
                </c:pt>
                <c:pt idx="18">
                  <c:v>2026-08-27</c:v>
                </c:pt>
                <c:pt idx="19">
                  <c:v>2026-08-28</c:v>
                </c:pt>
                <c:pt idx="20">
                  <c:v>2026-08-31</c:v>
                </c:pt>
              </c:strCache>
            </c:strRef>
          </c:cat>
          <c:val>
            <c:numRef>
              <c:f>Charts!$D$40:$D$60</c:f>
              <c:numCache>
                <c:formatCode>0.0%;\(0.0%\);\-</c:formatCode>
                <c:ptCount val="21"/>
                <c:pt idx="0">
                  <c:v>0.828571428571429</c:v>
                </c:pt>
                <c:pt idx="1">
                  <c:v>0.828571428571429</c:v>
                </c:pt>
                <c:pt idx="2">
                  <c:v>0.828571428571429</c:v>
                </c:pt>
                <c:pt idx="3">
                  <c:v>0.828571428571429</c:v>
                </c:pt>
                <c:pt idx="4">
                  <c:v>0.828571428571429</c:v>
                </c:pt>
                <c:pt idx="5">
                  <c:v>0.837837837837838</c:v>
                </c:pt>
                <c:pt idx="6">
                  <c:v>0.837837837837838</c:v>
                </c:pt>
                <c:pt idx="7">
                  <c:v>0.837837837837838</c:v>
                </c:pt>
                <c:pt idx="8">
                  <c:v>0.837837837837838</c:v>
                </c:pt>
                <c:pt idx="9">
                  <c:v>0.837837837837838</c:v>
                </c:pt>
                <c:pt idx="10">
                  <c:v>0.825</c:v>
                </c:pt>
                <c:pt idx="11">
                  <c:v>0.825</c:v>
                </c:pt>
                <c:pt idx="12">
                  <c:v>0.825</c:v>
                </c:pt>
                <c:pt idx="13">
                  <c:v>0.825</c:v>
                </c:pt>
                <c:pt idx="14">
                  <c:v>0.825</c:v>
                </c:pt>
                <c:pt idx="15">
                  <c:v>0.833333333333333</c:v>
                </c:pt>
                <c:pt idx="16">
                  <c:v>0.833333333333333</c:v>
                </c:pt>
                <c:pt idx="17">
                  <c:v>0.833333333333333</c:v>
                </c:pt>
                <c:pt idx="18">
                  <c:v>0.833333333333333</c:v>
                </c:pt>
                <c:pt idx="19">
                  <c:v>0.833333333333333</c:v>
                </c:pt>
                <c:pt idx="20">
                  <c:v>0.833333333333333</c:v>
                </c:pt>
              </c:numCache>
            </c:numRef>
          </c:val>
          <c:smooth val="1"/>
        </c:ser>
        <c:ser>
          <c:idx val="1"/>
          <c:order val="1"/>
          <c:tx>
            <c:strRef>
              <c:f>Charts!G39</c:f>
              <c:strCache>
                <c:ptCount val="1"/>
                <c:pt idx="0">
                  <c:v>Scope Adherence %</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Charts!$A$40:$A$60</c:f>
              <c:strCache>
                <c:ptCount val="21"/>
                <c:pt idx="0">
                  <c:v>2026-08-03</c:v>
                </c:pt>
                <c:pt idx="1">
                  <c:v>2026-08-04</c:v>
                </c:pt>
                <c:pt idx="2">
                  <c:v>2026-08-05</c:v>
                </c:pt>
                <c:pt idx="3">
                  <c:v>2026-08-06</c:v>
                </c:pt>
                <c:pt idx="4">
                  <c:v>2026-08-07</c:v>
                </c:pt>
                <c:pt idx="5">
                  <c:v>2026-08-10</c:v>
                </c:pt>
                <c:pt idx="6">
                  <c:v>2026-08-11</c:v>
                </c:pt>
                <c:pt idx="7">
                  <c:v>2026-08-12</c:v>
                </c:pt>
                <c:pt idx="8">
                  <c:v>2026-08-13</c:v>
                </c:pt>
                <c:pt idx="9">
                  <c:v>2026-08-14</c:v>
                </c:pt>
                <c:pt idx="10">
                  <c:v>2026-08-17</c:v>
                </c:pt>
                <c:pt idx="11">
                  <c:v>2026-08-18</c:v>
                </c:pt>
                <c:pt idx="12">
                  <c:v>2026-08-19</c:v>
                </c:pt>
                <c:pt idx="13">
                  <c:v>2026-08-20</c:v>
                </c:pt>
                <c:pt idx="14">
                  <c:v>2026-08-21</c:v>
                </c:pt>
                <c:pt idx="15">
                  <c:v>2026-08-24</c:v>
                </c:pt>
                <c:pt idx="16">
                  <c:v>2026-08-25</c:v>
                </c:pt>
                <c:pt idx="17">
                  <c:v>2026-08-26</c:v>
                </c:pt>
                <c:pt idx="18">
                  <c:v>2026-08-27</c:v>
                </c:pt>
                <c:pt idx="19">
                  <c:v>2026-08-28</c:v>
                </c:pt>
                <c:pt idx="20">
                  <c:v>2026-08-31</c:v>
                </c:pt>
              </c:strCache>
            </c:strRef>
          </c:cat>
          <c:val>
            <c:numRef>
              <c:f>Charts!$G$40:$G$60</c:f>
              <c:numCache>
                <c:formatCode>0.0%;\(0.0%\);\-</c:formatCode>
                <c:ptCount val="21"/>
                <c:pt idx="0">
                  <c:v>0.842105263157895</c:v>
                </c:pt>
                <c:pt idx="1">
                  <c:v>0.842105263157895</c:v>
                </c:pt>
                <c:pt idx="2">
                  <c:v>0.842105263157895</c:v>
                </c:pt>
                <c:pt idx="3">
                  <c:v>0.842105263157895</c:v>
                </c:pt>
                <c:pt idx="4">
                  <c:v>0.842105263157895</c:v>
                </c:pt>
                <c:pt idx="5">
                  <c:v>0.790697674418605</c:v>
                </c:pt>
                <c:pt idx="6">
                  <c:v>0.790697674418605</c:v>
                </c:pt>
                <c:pt idx="7">
                  <c:v>0.790697674418605</c:v>
                </c:pt>
                <c:pt idx="8">
                  <c:v>0.790697674418605</c:v>
                </c:pt>
                <c:pt idx="9">
                  <c:v>0.790697674418605</c:v>
                </c:pt>
                <c:pt idx="10">
                  <c:v>0.86046511627907</c:v>
                </c:pt>
                <c:pt idx="11">
                  <c:v>0.86046511627907</c:v>
                </c:pt>
                <c:pt idx="12">
                  <c:v>0.86046511627907</c:v>
                </c:pt>
                <c:pt idx="13">
                  <c:v>0.86046511627907</c:v>
                </c:pt>
                <c:pt idx="14">
                  <c:v>0.86046511627907</c:v>
                </c:pt>
                <c:pt idx="15">
                  <c:v>0.8125</c:v>
                </c:pt>
                <c:pt idx="16">
                  <c:v>0.8125</c:v>
                </c:pt>
                <c:pt idx="17">
                  <c:v>0.8125</c:v>
                </c:pt>
                <c:pt idx="18">
                  <c:v>0.8125</c:v>
                </c:pt>
                <c:pt idx="19">
                  <c:v>0.8125</c:v>
                </c:pt>
                <c:pt idx="20">
                  <c:v>0.8125</c:v>
                </c:pt>
              </c:numCache>
            </c:numRef>
          </c:val>
          <c:smooth val="1"/>
        </c:ser>
        <c:hiLowLines>
          <c:spPr>
            <a:ln w="0">
              <a:noFill/>
            </a:ln>
          </c:spPr>
        </c:hiLowLines>
        <c:marker val="0"/>
        <c:axId val="71976644"/>
        <c:axId val="42030708"/>
      </c:lineChart>
      <c:catAx>
        <c:axId val="71976644"/>
        <c:scaling>
          <c:orientation val="minMax"/>
        </c:scaling>
        <c:delete val="0"/>
        <c:axPos val="b"/>
        <c:numFmt formatCode="yyyy\-mm\-dd"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030708"/>
        <c:crosses val="autoZero"/>
        <c:auto val="1"/>
        <c:lblAlgn val="ctr"/>
        <c:lblOffset val="100"/>
        <c:noMultiLvlLbl val="0"/>
      </c:catAx>
      <c:valAx>
        <c:axId val="4203070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Percent</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97664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Portfolio spend to date - daily</a:t>
            </a:r>
          </a:p>
        </c:rich>
      </c:tx>
      <c:overlay val="0"/>
      <c:spPr>
        <a:noFill/>
        <a:ln w="0">
          <a:noFill/>
        </a:ln>
      </c:spPr>
    </c:title>
    <c:autoTitleDeleted val="0"/>
    <c:plotArea>
      <c:lineChart>
        <c:grouping val="standard"/>
        <c:varyColors val="0"/>
        <c:ser>
          <c:idx val="0"/>
          <c:order val="0"/>
          <c:tx>
            <c:strRef>
              <c:f>Charts!H39</c:f>
              <c:strCache>
                <c:ptCount val="1"/>
                <c:pt idx="0">
                  <c:v>Budget Spent to Date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Charts!$A$40:$A$60</c:f>
              <c:strCache>
                <c:ptCount val="21"/>
                <c:pt idx="0">
                  <c:v>2026-08-03</c:v>
                </c:pt>
                <c:pt idx="1">
                  <c:v>2026-08-04</c:v>
                </c:pt>
                <c:pt idx="2">
                  <c:v>2026-08-05</c:v>
                </c:pt>
                <c:pt idx="3">
                  <c:v>2026-08-06</c:v>
                </c:pt>
                <c:pt idx="4">
                  <c:v>2026-08-07</c:v>
                </c:pt>
                <c:pt idx="5">
                  <c:v>2026-08-10</c:v>
                </c:pt>
                <c:pt idx="6">
                  <c:v>2026-08-11</c:v>
                </c:pt>
                <c:pt idx="7">
                  <c:v>2026-08-12</c:v>
                </c:pt>
                <c:pt idx="8">
                  <c:v>2026-08-13</c:v>
                </c:pt>
                <c:pt idx="9">
                  <c:v>2026-08-14</c:v>
                </c:pt>
                <c:pt idx="10">
                  <c:v>2026-08-17</c:v>
                </c:pt>
                <c:pt idx="11">
                  <c:v>2026-08-18</c:v>
                </c:pt>
                <c:pt idx="12">
                  <c:v>2026-08-19</c:v>
                </c:pt>
                <c:pt idx="13">
                  <c:v>2026-08-20</c:v>
                </c:pt>
                <c:pt idx="14">
                  <c:v>2026-08-21</c:v>
                </c:pt>
                <c:pt idx="15">
                  <c:v>2026-08-24</c:v>
                </c:pt>
                <c:pt idx="16">
                  <c:v>2026-08-25</c:v>
                </c:pt>
                <c:pt idx="17">
                  <c:v>2026-08-26</c:v>
                </c:pt>
                <c:pt idx="18">
                  <c:v>2026-08-27</c:v>
                </c:pt>
                <c:pt idx="19">
                  <c:v>2026-08-28</c:v>
                </c:pt>
                <c:pt idx="20">
                  <c:v>2026-08-31</c:v>
                </c:pt>
              </c:strCache>
            </c:strRef>
          </c:cat>
          <c:val>
            <c:numRef>
              <c:f>Charts!$H$40:$H$60</c:f>
              <c:numCache>
                <c:formatCode>\$#,##0;"($"#,##0\);\-</c:formatCode>
                <c:ptCount val="21"/>
                <c:pt idx="0">
                  <c:v>1745332</c:v>
                </c:pt>
                <c:pt idx="1">
                  <c:v>1762666</c:v>
                </c:pt>
                <c:pt idx="2">
                  <c:v>1779999</c:v>
                </c:pt>
                <c:pt idx="3">
                  <c:v>1797334</c:v>
                </c:pt>
                <c:pt idx="4">
                  <c:v>1814666</c:v>
                </c:pt>
                <c:pt idx="5">
                  <c:v>1832000</c:v>
                </c:pt>
                <c:pt idx="6">
                  <c:v>1849333</c:v>
                </c:pt>
                <c:pt idx="7">
                  <c:v>1866666</c:v>
                </c:pt>
                <c:pt idx="8">
                  <c:v>1883999</c:v>
                </c:pt>
                <c:pt idx="9">
                  <c:v>1901332</c:v>
                </c:pt>
                <c:pt idx="10">
                  <c:v>1918668</c:v>
                </c:pt>
                <c:pt idx="11">
                  <c:v>1936001</c:v>
                </c:pt>
                <c:pt idx="12">
                  <c:v>1953334</c:v>
                </c:pt>
                <c:pt idx="13">
                  <c:v>1970667</c:v>
                </c:pt>
                <c:pt idx="14">
                  <c:v>1988000</c:v>
                </c:pt>
                <c:pt idx="15">
                  <c:v>2005334</c:v>
                </c:pt>
                <c:pt idx="16">
                  <c:v>2022666</c:v>
                </c:pt>
                <c:pt idx="17">
                  <c:v>2040001</c:v>
                </c:pt>
                <c:pt idx="18">
                  <c:v>2057334</c:v>
                </c:pt>
                <c:pt idx="19">
                  <c:v>2074668</c:v>
                </c:pt>
                <c:pt idx="20">
                  <c:v>2092000</c:v>
                </c:pt>
              </c:numCache>
            </c:numRef>
          </c:val>
          <c:smooth val="1"/>
        </c:ser>
        <c:hiLowLines>
          <c:spPr>
            <a:ln w="0">
              <a:noFill/>
            </a:ln>
          </c:spPr>
        </c:hiLowLines>
        <c:marker val="0"/>
        <c:axId val="81412483"/>
        <c:axId val="79260346"/>
      </c:lineChart>
      <c:catAx>
        <c:axId val="81412483"/>
        <c:scaling>
          <c:orientation val="minMax"/>
        </c:scaling>
        <c:delete val="0"/>
        <c:axPos val="b"/>
        <c:numFmt formatCode="yyyy\-mm\-dd"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260346"/>
        <c:crosses val="autoZero"/>
        <c:auto val="1"/>
        <c:lblAlgn val="ctr"/>
        <c:lblOffset val="100"/>
        <c:noMultiLvlLbl val="0"/>
      </c:catAx>
      <c:valAx>
        <c:axId val="7926034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quot;($&quot;#,##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41248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Risk and governance posture - daily</a:t>
            </a:r>
          </a:p>
        </c:rich>
      </c:tx>
      <c:overlay val="0"/>
      <c:spPr>
        <a:noFill/>
        <a:ln w="0">
          <a:noFill/>
        </a:ln>
      </c:spPr>
    </c:title>
    <c:autoTitleDeleted val="0"/>
    <c:plotArea>
      <c:lineChart>
        <c:grouping val="standard"/>
        <c:varyColors val="0"/>
        <c:ser>
          <c:idx val="0"/>
          <c:order val="0"/>
          <c:tx>
            <c:strRef>
              <c:f>Charts!I39</c:f>
              <c:strCache>
                <c:ptCount val="1"/>
                <c:pt idx="0">
                  <c:v>Open Risks</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Charts!$A$40:$A$60</c:f>
              <c:strCache>
                <c:ptCount val="21"/>
                <c:pt idx="0">
                  <c:v>2026-08-03</c:v>
                </c:pt>
                <c:pt idx="1">
                  <c:v>2026-08-04</c:v>
                </c:pt>
                <c:pt idx="2">
                  <c:v>2026-08-05</c:v>
                </c:pt>
                <c:pt idx="3">
                  <c:v>2026-08-06</c:v>
                </c:pt>
                <c:pt idx="4">
                  <c:v>2026-08-07</c:v>
                </c:pt>
                <c:pt idx="5">
                  <c:v>2026-08-10</c:v>
                </c:pt>
                <c:pt idx="6">
                  <c:v>2026-08-11</c:v>
                </c:pt>
                <c:pt idx="7">
                  <c:v>2026-08-12</c:v>
                </c:pt>
                <c:pt idx="8">
                  <c:v>2026-08-13</c:v>
                </c:pt>
                <c:pt idx="9">
                  <c:v>2026-08-14</c:v>
                </c:pt>
                <c:pt idx="10">
                  <c:v>2026-08-17</c:v>
                </c:pt>
                <c:pt idx="11">
                  <c:v>2026-08-18</c:v>
                </c:pt>
                <c:pt idx="12">
                  <c:v>2026-08-19</c:v>
                </c:pt>
                <c:pt idx="13">
                  <c:v>2026-08-20</c:v>
                </c:pt>
                <c:pt idx="14">
                  <c:v>2026-08-21</c:v>
                </c:pt>
                <c:pt idx="15">
                  <c:v>2026-08-24</c:v>
                </c:pt>
                <c:pt idx="16">
                  <c:v>2026-08-25</c:v>
                </c:pt>
                <c:pt idx="17">
                  <c:v>2026-08-26</c:v>
                </c:pt>
                <c:pt idx="18">
                  <c:v>2026-08-27</c:v>
                </c:pt>
                <c:pt idx="19">
                  <c:v>2026-08-28</c:v>
                </c:pt>
                <c:pt idx="20">
                  <c:v>2026-08-31</c:v>
                </c:pt>
              </c:strCache>
            </c:strRef>
          </c:cat>
          <c:val>
            <c:numRef>
              <c:f>Charts!$I$40:$I$60</c:f>
              <c:numCache>
                <c:formatCode>#,##0;\(#,##0\);\-</c:formatCode>
                <c:ptCount val="21"/>
                <c:pt idx="0">
                  <c:v>24</c:v>
                </c:pt>
                <c:pt idx="1">
                  <c:v>24</c:v>
                </c:pt>
                <c:pt idx="2">
                  <c:v>24</c:v>
                </c:pt>
                <c:pt idx="3">
                  <c:v>24</c:v>
                </c:pt>
                <c:pt idx="4">
                  <c:v>24</c:v>
                </c:pt>
                <c:pt idx="5">
                  <c:v>24</c:v>
                </c:pt>
                <c:pt idx="6">
                  <c:v>24</c:v>
                </c:pt>
                <c:pt idx="7">
                  <c:v>24</c:v>
                </c:pt>
                <c:pt idx="8">
                  <c:v>24</c:v>
                </c:pt>
                <c:pt idx="9">
                  <c:v>24</c:v>
                </c:pt>
                <c:pt idx="10">
                  <c:v>22</c:v>
                </c:pt>
                <c:pt idx="11">
                  <c:v>22</c:v>
                </c:pt>
                <c:pt idx="12">
                  <c:v>22</c:v>
                </c:pt>
                <c:pt idx="13">
                  <c:v>22</c:v>
                </c:pt>
                <c:pt idx="14">
                  <c:v>22</c:v>
                </c:pt>
                <c:pt idx="15">
                  <c:v>22</c:v>
                </c:pt>
                <c:pt idx="16">
                  <c:v>22</c:v>
                </c:pt>
                <c:pt idx="17">
                  <c:v>22</c:v>
                </c:pt>
                <c:pt idx="18">
                  <c:v>22</c:v>
                </c:pt>
                <c:pt idx="19">
                  <c:v>22</c:v>
                </c:pt>
                <c:pt idx="20">
                  <c:v>22</c:v>
                </c:pt>
              </c:numCache>
            </c:numRef>
          </c:val>
          <c:smooth val="1"/>
        </c:ser>
        <c:ser>
          <c:idx val="1"/>
          <c:order val="1"/>
          <c:tx>
            <c:strRef>
              <c:f>Charts!J39</c:f>
              <c:strCache>
                <c:ptCount val="1"/>
                <c:pt idx="0">
                  <c:v>High Risks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Charts!$A$40:$A$60</c:f>
              <c:strCache>
                <c:ptCount val="21"/>
                <c:pt idx="0">
                  <c:v>2026-08-03</c:v>
                </c:pt>
                <c:pt idx="1">
                  <c:v>2026-08-04</c:v>
                </c:pt>
                <c:pt idx="2">
                  <c:v>2026-08-05</c:v>
                </c:pt>
                <c:pt idx="3">
                  <c:v>2026-08-06</c:v>
                </c:pt>
                <c:pt idx="4">
                  <c:v>2026-08-07</c:v>
                </c:pt>
                <c:pt idx="5">
                  <c:v>2026-08-10</c:v>
                </c:pt>
                <c:pt idx="6">
                  <c:v>2026-08-11</c:v>
                </c:pt>
                <c:pt idx="7">
                  <c:v>2026-08-12</c:v>
                </c:pt>
                <c:pt idx="8">
                  <c:v>2026-08-13</c:v>
                </c:pt>
                <c:pt idx="9">
                  <c:v>2026-08-14</c:v>
                </c:pt>
                <c:pt idx="10">
                  <c:v>2026-08-17</c:v>
                </c:pt>
                <c:pt idx="11">
                  <c:v>2026-08-18</c:v>
                </c:pt>
                <c:pt idx="12">
                  <c:v>2026-08-19</c:v>
                </c:pt>
                <c:pt idx="13">
                  <c:v>2026-08-20</c:v>
                </c:pt>
                <c:pt idx="14">
                  <c:v>2026-08-21</c:v>
                </c:pt>
                <c:pt idx="15">
                  <c:v>2026-08-24</c:v>
                </c:pt>
                <c:pt idx="16">
                  <c:v>2026-08-25</c:v>
                </c:pt>
                <c:pt idx="17">
                  <c:v>2026-08-26</c:v>
                </c:pt>
                <c:pt idx="18">
                  <c:v>2026-08-27</c:v>
                </c:pt>
                <c:pt idx="19">
                  <c:v>2026-08-28</c:v>
                </c:pt>
                <c:pt idx="20">
                  <c:v>2026-08-31</c:v>
                </c:pt>
              </c:strCache>
            </c:strRef>
          </c:cat>
          <c:val>
            <c:numRef>
              <c:f>Charts!$J$40:$J$60</c:f>
              <c:numCache>
                <c:formatCode>#,##0;\(#,##0\);\-</c:formatCode>
                <c:ptCount val="21"/>
                <c:pt idx="0">
                  <c:v>6</c:v>
                </c:pt>
                <c:pt idx="1">
                  <c:v>6</c:v>
                </c:pt>
                <c:pt idx="2">
                  <c:v>6</c:v>
                </c:pt>
                <c:pt idx="3">
                  <c:v>6</c:v>
                </c:pt>
                <c:pt idx="4">
                  <c:v>6</c:v>
                </c:pt>
                <c:pt idx="5">
                  <c:v>6</c:v>
                </c:pt>
                <c:pt idx="6">
                  <c:v>6</c:v>
                </c:pt>
                <c:pt idx="7">
                  <c:v>6</c:v>
                </c:pt>
                <c:pt idx="8">
                  <c:v>6</c:v>
                </c:pt>
                <c:pt idx="9">
                  <c:v>6</c:v>
                </c:pt>
                <c:pt idx="10">
                  <c:v>4</c:v>
                </c:pt>
                <c:pt idx="11">
                  <c:v>4</c:v>
                </c:pt>
                <c:pt idx="12">
                  <c:v>4</c:v>
                </c:pt>
                <c:pt idx="13">
                  <c:v>4</c:v>
                </c:pt>
                <c:pt idx="14">
                  <c:v>4</c:v>
                </c:pt>
                <c:pt idx="15">
                  <c:v>4</c:v>
                </c:pt>
                <c:pt idx="16">
                  <c:v>4</c:v>
                </c:pt>
                <c:pt idx="17">
                  <c:v>4</c:v>
                </c:pt>
                <c:pt idx="18">
                  <c:v>4</c:v>
                </c:pt>
                <c:pt idx="19">
                  <c:v>4</c:v>
                </c:pt>
                <c:pt idx="20">
                  <c:v>4</c:v>
                </c:pt>
              </c:numCache>
            </c:numRef>
          </c:val>
          <c:smooth val="1"/>
        </c:ser>
        <c:ser>
          <c:idx val="2"/>
          <c:order val="2"/>
          <c:tx>
            <c:strRef>
              <c:f>Charts!K39</c:f>
              <c:strCache>
                <c:ptCount val="1"/>
                <c:pt idx="0">
                  <c:v>RACI Gaps</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Charts!$A$40:$A$60</c:f>
              <c:strCache>
                <c:ptCount val="21"/>
                <c:pt idx="0">
                  <c:v>2026-08-03</c:v>
                </c:pt>
                <c:pt idx="1">
                  <c:v>2026-08-04</c:v>
                </c:pt>
                <c:pt idx="2">
                  <c:v>2026-08-05</c:v>
                </c:pt>
                <c:pt idx="3">
                  <c:v>2026-08-06</c:v>
                </c:pt>
                <c:pt idx="4">
                  <c:v>2026-08-07</c:v>
                </c:pt>
                <c:pt idx="5">
                  <c:v>2026-08-10</c:v>
                </c:pt>
                <c:pt idx="6">
                  <c:v>2026-08-11</c:v>
                </c:pt>
                <c:pt idx="7">
                  <c:v>2026-08-12</c:v>
                </c:pt>
                <c:pt idx="8">
                  <c:v>2026-08-13</c:v>
                </c:pt>
                <c:pt idx="9">
                  <c:v>2026-08-14</c:v>
                </c:pt>
                <c:pt idx="10">
                  <c:v>2026-08-17</c:v>
                </c:pt>
                <c:pt idx="11">
                  <c:v>2026-08-18</c:v>
                </c:pt>
                <c:pt idx="12">
                  <c:v>2026-08-19</c:v>
                </c:pt>
                <c:pt idx="13">
                  <c:v>2026-08-20</c:v>
                </c:pt>
                <c:pt idx="14">
                  <c:v>2026-08-21</c:v>
                </c:pt>
                <c:pt idx="15">
                  <c:v>2026-08-24</c:v>
                </c:pt>
                <c:pt idx="16">
                  <c:v>2026-08-25</c:v>
                </c:pt>
                <c:pt idx="17">
                  <c:v>2026-08-26</c:v>
                </c:pt>
                <c:pt idx="18">
                  <c:v>2026-08-27</c:v>
                </c:pt>
                <c:pt idx="19">
                  <c:v>2026-08-28</c:v>
                </c:pt>
                <c:pt idx="20">
                  <c:v>2026-08-31</c:v>
                </c:pt>
              </c:strCache>
            </c:strRef>
          </c:cat>
          <c:val>
            <c:numRef>
              <c:f>Charts!$K$40:$K$60</c:f>
              <c:numCache>
                <c:formatCode>#,##0;\(#,##0\);\-</c:formatCode>
                <c:ptCount val="21"/>
                <c:pt idx="0">
                  <c:v>5</c:v>
                </c:pt>
                <c:pt idx="1">
                  <c:v>5</c:v>
                </c:pt>
                <c:pt idx="2">
                  <c:v>5</c:v>
                </c:pt>
                <c:pt idx="3">
                  <c:v>5</c:v>
                </c:pt>
                <c:pt idx="4">
                  <c:v>5</c:v>
                </c:pt>
                <c:pt idx="5">
                  <c:v>5</c:v>
                </c:pt>
                <c:pt idx="6">
                  <c:v>5</c:v>
                </c:pt>
                <c:pt idx="7">
                  <c:v>5</c:v>
                </c:pt>
                <c:pt idx="8">
                  <c:v>5</c:v>
                </c:pt>
                <c:pt idx="9">
                  <c:v>5</c:v>
                </c:pt>
                <c:pt idx="10">
                  <c:v>7</c:v>
                </c:pt>
                <c:pt idx="11">
                  <c:v>7</c:v>
                </c:pt>
                <c:pt idx="12">
                  <c:v>7</c:v>
                </c:pt>
                <c:pt idx="13">
                  <c:v>7</c:v>
                </c:pt>
                <c:pt idx="14">
                  <c:v>7</c:v>
                </c:pt>
                <c:pt idx="15">
                  <c:v>7</c:v>
                </c:pt>
                <c:pt idx="16">
                  <c:v>7</c:v>
                </c:pt>
                <c:pt idx="17">
                  <c:v>7</c:v>
                </c:pt>
                <c:pt idx="18">
                  <c:v>7</c:v>
                </c:pt>
                <c:pt idx="19">
                  <c:v>7</c:v>
                </c:pt>
                <c:pt idx="20">
                  <c:v>7</c:v>
                </c:pt>
              </c:numCache>
            </c:numRef>
          </c:val>
          <c:smooth val="1"/>
        </c:ser>
        <c:hiLowLines>
          <c:spPr>
            <a:ln w="0">
              <a:noFill/>
            </a:ln>
          </c:spPr>
        </c:hiLowLines>
        <c:marker val="0"/>
        <c:axId val="37074105"/>
        <c:axId val="42490483"/>
      </c:lineChart>
      <c:catAx>
        <c:axId val="37074105"/>
        <c:scaling>
          <c:orientation val="minMax"/>
        </c:scaling>
        <c:delete val="0"/>
        <c:axPos val="b"/>
        <c:numFmt formatCode="yyyy\-mm\-dd"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490483"/>
        <c:crosses val="autoZero"/>
        <c:auto val="1"/>
        <c:lblAlgn val="ctr"/>
        <c:lblOffset val="100"/>
        <c:noMultiLvlLbl val="0"/>
      </c:catAx>
      <c:valAx>
        <c:axId val="4249048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Count</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07410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6.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3</xdr:row>
      <xdr:rowOff>0</xdr:rowOff>
    </xdr:from>
    <xdr:to>
      <xdr:col>22</xdr:col>
      <xdr:colOff>4680</xdr:colOff>
      <xdr:row>17</xdr:row>
      <xdr:rowOff>183240</xdr:rowOff>
    </xdr:to>
    <xdr:graphicFrame>
      <xdr:nvGraphicFramePr>
        <xdr:cNvPr id="0" name="Chart 1"/>
        <xdr:cNvGraphicFramePr/>
      </xdr:nvGraphicFramePr>
      <xdr:xfrm>
        <a:off x="9915480" y="704880"/>
        <a:ext cx="611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0</xdr:colOff>
      <xdr:row>21</xdr:row>
      <xdr:rowOff>0</xdr:rowOff>
    </xdr:from>
    <xdr:to>
      <xdr:col>22</xdr:col>
      <xdr:colOff>4680</xdr:colOff>
      <xdr:row>35</xdr:row>
      <xdr:rowOff>183240</xdr:rowOff>
    </xdr:to>
    <xdr:graphicFrame>
      <xdr:nvGraphicFramePr>
        <xdr:cNvPr id="1" name="Chart 2"/>
        <xdr:cNvGraphicFramePr/>
      </xdr:nvGraphicFramePr>
      <xdr:xfrm>
        <a:off x="9915480" y="4343400"/>
        <a:ext cx="6119640" cy="30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0</xdr:colOff>
      <xdr:row>39</xdr:row>
      <xdr:rowOff>0</xdr:rowOff>
    </xdr:from>
    <xdr:to>
      <xdr:col>22</xdr:col>
      <xdr:colOff>4680</xdr:colOff>
      <xdr:row>55</xdr:row>
      <xdr:rowOff>11520</xdr:rowOff>
    </xdr:to>
    <xdr:graphicFrame>
      <xdr:nvGraphicFramePr>
        <xdr:cNvPr id="2" name="Chart 3"/>
        <xdr:cNvGraphicFramePr/>
      </xdr:nvGraphicFramePr>
      <xdr:xfrm>
        <a:off x="9915480" y="8191440"/>
        <a:ext cx="6119640" cy="305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0</xdr:colOff>
      <xdr:row>57</xdr:row>
      <xdr:rowOff>0</xdr:rowOff>
    </xdr:from>
    <xdr:to>
      <xdr:col>22</xdr:col>
      <xdr:colOff>4680</xdr:colOff>
      <xdr:row>73</xdr:row>
      <xdr:rowOff>11520</xdr:rowOff>
    </xdr:to>
    <xdr:graphicFrame>
      <xdr:nvGraphicFramePr>
        <xdr:cNvPr id="3" name="Chart 4"/>
        <xdr:cNvGraphicFramePr/>
      </xdr:nvGraphicFramePr>
      <xdr:xfrm>
        <a:off x="9915480" y="11620440"/>
        <a:ext cx="6119640" cy="305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12</xdr:col>
      <xdr:colOff>0</xdr:colOff>
      <xdr:row>75</xdr:row>
      <xdr:rowOff>0</xdr:rowOff>
    </xdr:from>
    <xdr:to>
      <xdr:col>22</xdr:col>
      <xdr:colOff>4680</xdr:colOff>
      <xdr:row>91</xdr:row>
      <xdr:rowOff>11520</xdr:rowOff>
    </xdr:to>
    <xdr:graphicFrame>
      <xdr:nvGraphicFramePr>
        <xdr:cNvPr id="4" name="Chart 5"/>
        <xdr:cNvGraphicFramePr/>
      </xdr:nvGraphicFramePr>
      <xdr:xfrm>
        <a:off x="9915480" y="15049440"/>
        <a:ext cx="6119640" cy="305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12</xdr:col>
      <xdr:colOff>0</xdr:colOff>
      <xdr:row>93</xdr:row>
      <xdr:rowOff>0</xdr:rowOff>
    </xdr:from>
    <xdr:to>
      <xdr:col>22</xdr:col>
      <xdr:colOff>4680</xdr:colOff>
      <xdr:row>109</xdr:row>
      <xdr:rowOff>11520</xdr:rowOff>
    </xdr:to>
    <xdr:graphicFrame>
      <xdr:nvGraphicFramePr>
        <xdr:cNvPr id="5" name="Chart 6"/>
        <xdr:cNvGraphicFramePr/>
      </xdr:nvGraphicFramePr>
      <xdr:xfrm>
        <a:off x="9915480" y="18478440"/>
        <a:ext cx="6119640" cy="305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12</xdr:col>
      <xdr:colOff>0</xdr:colOff>
      <xdr:row>111</xdr:row>
      <xdr:rowOff>0</xdr:rowOff>
    </xdr:from>
    <xdr:to>
      <xdr:col>22</xdr:col>
      <xdr:colOff>4680</xdr:colOff>
      <xdr:row>127</xdr:row>
      <xdr:rowOff>11520</xdr:rowOff>
    </xdr:to>
    <xdr:graphicFrame>
      <xdr:nvGraphicFramePr>
        <xdr:cNvPr id="6" name="Chart 7"/>
        <xdr:cNvGraphicFramePr/>
      </xdr:nvGraphicFramePr>
      <xdr:xfrm>
        <a:off x="9915480" y="21907440"/>
        <a:ext cx="6119640" cy="3059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12</xdr:col>
      <xdr:colOff>0</xdr:colOff>
      <xdr:row>129</xdr:row>
      <xdr:rowOff>0</xdr:rowOff>
    </xdr:from>
    <xdr:to>
      <xdr:col>22</xdr:col>
      <xdr:colOff>4680</xdr:colOff>
      <xdr:row>145</xdr:row>
      <xdr:rowOff>11520</xdr:rowOff>
    </xdr:to>
    <xdr:graphicFrame>
      <xdr:nvGraphicFramePr>
        <xdr:cNvPr id="7" name="Chart 8"/>
        <xdr:cNvGraphicFramePr/>
      </xdr:nvGraphicFramePr>
      <xdr:xfrm>
        <a:off x="9915480" y="25336440"/>
        <a:ext cx="6119640" cy="3059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D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96"/>
  </cols>
  <sheetData>
    <row r="1" customFormat="false" ht="25.5" hidden="false" customHeight="true" outlineLevel="0" collapsed="false">
      <c r="A1" s="1" t="s">
        <v>0</v>
      </c>
      <c r="B1" s="1"/>
      <c r="C1" s="1"/>
      <c r="D1" s="1"/>
    </row>
    <row r="2" customFormat="false" ht="15" hidden="false" customHeight="false" outlineLevel="0" collapsed="false">
      <c r="A2" s="2" t="s">
        <v>1</v>
      </c>
      <c r="B2" s="2"/>
      <c r="C2" s="2"/>
      <c r="D2" s="2"/>
    </row>
    <row r="3" customFormat="false" ht="15" hidden="false" customHeight="false" outlineLevel="0" collapsed="false">
      <c r="A3" s="3"/>
      <c r="B3" s="3"/>
      <c r="C3" s="3"/>
      <c r="D3" s="3"/>
    </row>
    <row r="4" customFormat="false" ht="15" hidden="false" customHeight="true" outlineLevel="0" collapsed="false">
      <c r="A4" s="3"/>
      <c r="B4" s="4" t="s">
        <v>2</v>
      </c>
      <c r="C4" s="4"/>
      <c r="D4" s="3"/>
    </row>
    <row r="5" customFormat="false" ht="22.35" hidden="false" customHeight="false" outlineLevel="0" collapsed="false">
      <c r="A5" s="3"/>
      <c r="B5" s="5"/>
      <c r="C5" s="6" t="s">
        <v>3</v>
      </c>
      <c r="D5" s="3"/>
    </row>
    <row r="6" customFormat="false" ht="15" hidden="false" customHeight="false" outlineLevel="0" collapsed="false">
      <c r="A6" s="3"/>
      <c r="B6" s="7"/>
      <c r="C6" s="7"/>
      <c r="D6" s="3"/>
    </row>
    <row r="7" customFormat="false" ht="15" hidden="false" customHeight="true" outlineLevel="0" collapsed="false">
      <c r="A7" s="3"/>
      <c r="B7" s="4" t="s">
        <v>4</v>
      </c>
      <c r="C7" s="4"/>
      <c r="D7" s="3"/>
    </row>
    <row r="8" customFormat="false" ht="22.35" hidden="false" customHeight="false" outlineLevel="0" collapsed="false">
      <c r="A8" s="3"/>
      <c r="B8" s="5" t="s">
        <v>5</v>
      </c>
      <c r="C8" s="6" t="s">
        <v>6</v>
      </c>
      <c r="D8" s="3"/>
    </row>
    <row r="9" customFormat="false" ht="22.35" hidden="false" customHeight="false" outlineLevel="0" collapsed="false">
      <c r="A9" s="3"/>
      <c r="B9" s="5" t="s">
        <v>7</v>
      </c>
      <c r="C9" s="6" t="s">
        <v>8</v>
      </c>
      <c r="D9" s="3"/>
    </row>
    <row r="10" customFormat="false" ht="22.35" hidden="false" customHeight="false" outlineLevel="0" collapsed="false">
      <c r="A10" s="3"/>
      <c r="B10" s="5" t="s">
        <v>9</v>
      </c>
      <c r="C10" s="6" t="s">
        <v>10</v>
      </c>
      <c r="D10" s="3"/>
    </row>
    <row r="11" customFormat="false" ht="15" hidden="false" customHeight="false" outlineLevel="0" collapsed="false">
      <c r="A11" s="3"/>
      <c r="B11" s="7"/>
      <c r="C11" s="7"/>
      <c r="D11" s="3"/>
    </row>
    <row r="12" customFormat="false" ht="15" hidden="false" customHeight="true" outlineLevel="0" collapsed="false">
      <c r="A12" s="3"/>
      <c r="B12" s="4" t="s">
        <v>11</v>
      </c>
      <c r="C12" s="4"/>
      <c r="D12" s="3"/>
    </row>
    <row r="13" customFormat="false" ht="22.35" hidden="false" customHeight="false" outlineLevel="0" collapsed="false">
      <c r="A13" s="3"/>
      <c r="B13" s="5" t="s">
        <v>12</v>
      </c>
      <c r="C13" s="6" t="s">
        <v>13</v>
      </c>
      <c r="D13" s="3"/>
    </row>
    <row r="14" customFormat="false" ht="15" hidden="false" customHeight="false" outlineLevel="0" collapsed="false">
      <c r="A14" s="3"/>
      <c r="B14" s="5" t="s">
        <v>14</v>
      </c>
      <c r="C14" s="6" t="s">
        <v>15</v>
      </c>
      <c r="D14" s="3"/>
    </row>
    <row r="15" customFormat="false" ht="15" hidden="false" customHeight="false" outlineLevel="0" collapsed="false">
      <c r="A15" s="3"/>
      <c r="B15" s="7"/>
      <c r="C15" s="7"/>
      <c r="D15" s="3"/>
    </row>
    <row r="16" customFormat="false" ht="15" hidden="false" customHeight="true" outlineLevel="0" collapsed="false">
      <c r="A16" s="3"/>
      <c r="B16" s="4" t="s">
        <v>16</v>
      </c>
      <c r="C16" s="4"/>
      <c r="D16" s="3"/>
    </row>
    <row r="17" customFormat="false" ht="15" hidden="false" customHeight="false" outlineLevel="0" collapsed="false">
      <c r="A17" s="3"/>
      <c r="B17" s="5" t="s">
        <v>17</v>
      </c>
      <c r="C17" s="6" t="s">
        <v>18</v>
      </c>
      <c r="D17" s="3"/>
    </row>
    <row r="18" customFormat="false" ht="22.35" hidden="false" customHeight="false" outlineLevel="0" collapsed="false">
      <c r="A18" s="3"/>
      <c r="B18" s="5" t="s">
        <v>19</v>
      </c>
      <c r="C18" s="6" t="s">
        <v>20</v>
      </c>
      <c r="D18" s="3"/>
    </row>
    <row r="19" customFormat="false" ht="22.35" hidden="false" customHeight="false" outlineLevel="0" collapsed="false">
      <c r="A19" s="3"/>
      <c r="B19" s="5" t="s">
        <v>21</v>
      </c>
      <c r="C19" s="6" t="s">
        <v>22</v>
      </c>
      <c r="D19" s="3"/>
    </row>
    <row r="20" customFormat="false" ht="15" hidden="false" customHeight="false" outlineLevel="0" collapsed="false">
      <c r="A20" s="3"/>
      <c r="B20" s="5" t="s">
        <v>23</v>
      </c>
      <c r="C20" s="6" t="s">
        <v>24</v>
      </c>
      <c r="D20" s="3"/>
    </row>
    <row r="21" customFormat="false" ht="15" hidden="false" customHeight="false" outlineLevel="0" collapsed="false">
      <c r="A21" s="3"/>
      <c r="B21" s="5" t="s">
        <v>25</v>
      </c>
      <c r="C21" s="6" t="s">
        <v>26</v>
      </c>
      <c r="D21" s="3"/>
    </row>
    <row r="22" customFormat="false" ht="15" hidden="false" customHeight="false" outlineLevel="0" collapsed="false">
      <c r="A22" s="3"/>
      <c r="B22" s="7"/>
      <c r="C22" s="7"/>
      <c r="D22" s="3"/>
    </row>
    <row r="23" customFormat="false" ht="15" hidden="false" customHeight="true" outlineLevel="0" collapsed="false">
      <c r="A23" s="3"/>
      <c r="B23" s="4" t="s">
        <v>27</v>
      </c>
      <c r="C23" s="4"/>
      <c r="D23" s="3"/>
    </row>
    <row r="24" customFormat="false" ht="15" hidden="false" customHeight="false" outlineLevel="0" collapsed="false">
      <c r="A24" s="3"/>
      <c r="B24" s="5" t="s">
        <v>28</v>
      </c>
      <c r="C24" s="6" t="s">
        <v>29</v>
      </c>
      <c r="D24" s="3"/>
    </row>
    <row r="25" customFormat="false" ht="22.35" hidden="false" customHeight="false" outlineLevel="0" collapsed="false">
      <c r="A25" s="3"/>
      <c r="B25" s="5" t="s">
        <v>30</v>
      </c>
      <c r="C25" s="6" t="s">
        <v>31</v>
      </c>
      <c r="D25" s="3"/>
    </row>
    <row r="26" customFormat="false" ht="22.35" hidden="false" customHeight="false" outlineLevel="0" collapsed="false">
      <c r="A26" s="3"/>
      <c r="B26" s="5" t="s">
        <v>32</v>
      </c>
      <c r="C26" s="6" t="s">
        <v>33</v>
      </c>
      <c r="D26" s="3"/>
    </row>
    <row r="27" customFormat="false" ht="15" hidden="false" customHeight="false" outlineLevel="0" collapsed="false">
      <c r="A27" s="3"/>
      <c r="B27" s="5" t="s">
        <v>34</v>
      </c>
      <c r="C27" s="6" t="s">
        <v>35</v>
      </c>
      <c r="D27" s="3"/>
    </row>
    <row r="28" customFormat="false" ht="15" hidden="false" customHeight="false" outlineLevel="0" collapsed="false">
      <c r="A28" s="3"/>
      <c r="B28" s="5" t="s">
        <v>36</v>
      </c>
      <c r="C28" s="6" t="s">
        <v>37</v>
      </c>
      <c r="D28" s="3"/>
    </row>
    <row r="29" customFormat="false" ht="22.35" hidden="false" customHeight="false" outlineLevel="0" collapsed="false">
      <c r="A29" s="3"/>
      <c r="B29" s="5" t="s">
        <v>38</v>
      </c>
      <c r="C29" s="6" t="s">
        <v>39</v>
      </c>
      <c r="D29" s="3"/>
    </row>
    <row r="30" customFormat="false" ht="15" hidden="false" customHeight="false" outlineLevel="0" collapsed="false">
      <c r="A30" s="3"/>
      <c r="B30" s="5" t="s">
        <v>40</v>
      </c>
      <c r="C30" s="6" t="s">
        <v>41</v>
      </c>
      <c r="D30" s="3"/>
    </row>
    <row r="31" customFormat="false" ht="15" hidden="false" customHeight="false" outlineLevel="0" collapsed="false">
      <c r="A31" s="3"/>
      <c r="B31" s="5" t="s">
        <v>42</v>
      </c>
      <c r="C31" s="6" t="s">
        <v>43</v>
      </c>
      <c r="D31" s="3"/>
    </row>
    <row r="32" customFormat="false" ht="15" hidden="false" customHeight="false" outlineLevel="0" collapsed="false">
      <c r="A32" s="3"/>
      <c r="B32" s="5" t="s">
        <v>44</v>
      </c>
      <c r="C32" s="6" t="s">
        <v>45</v>
      </c>
      <c r="D32" s="3"/>
    </row>
    <row r="33" customFormat="false" ht="15" hidden="false" customHeight="false" outlineLevel="0" collapsed="false">
      <c r="A33" s="3"/>
      <c r="B33" s="5" t="s">
        <v>46</v>
      </c>
      <c r="C33" s="6" t="s">
        <v>47</v>
      </c>
      <c r="D33" s="3"/>
    </row>
    <row r="34" customFormat="false" ht="15" hidden="false" customHeight="false" outlineLevel="0" collapsed="false">
      <c r="A34" s="3"/>
      <c r="B34" s="7"/>
      <c r="C34" s="7"/>
      <c r="D34" s="3"/>
    </row>
    <row r="35" customFormat="false" ht="15" hidden="false" customHeight="true" outlineLevel="0" collapsed="false">
      <c r="A35" s="3"/>
      <c r="B35" s="4" t="s">
        <v>48</v>
      </c>
      <c r="C35" s="4"/>
      <c r="D35" s="3"/>
    </row>
    <row r="36" customFormat="false" ht="22.35" hidden="false" customHeight="false" outlineLevel="0" collapsed="false">
      <c r="A36" s="3"/>
      <c r="B36" s="5" t="s">
        <v>49</v>
      </c>
      <c r="C36" s="6" t="s">
        <v>50</v>
      </c>
      <c r="D36" s="3"/>
    </row>
    <row r="37" customFormat="false" ht="15" hidden="false" customHeight="false" outlineLevel="0" collapsed="false">
      <c r="A37" s="3"/>
      <c r="B37" s="5" t="s">
        <v>51</v>
      </c>
      <c r="C37" s="6" t="s">
        <v>52</v>
      </c>
      <c r="D37" s="3"/>
    </row>
    <row r="38" customFormat="false" ht="22.35" hidden="false" customHeight="false" outlineLevel="0" collapsed="false">
      <c r="A38" s="3"/>
      <c r="B38" s="5" t="s">
        <v>53</v>
      </c>
      <c r="C38" s="6" t="s">
        <v>54</v>
      </c>
      <c r="D38" s="3"/>
    </row>
    <row r="39" customFormat="false" ht="15" hidden="false" customHeight="false" outlineLevel="0" collapsed="false">
      <c r="A39" s="3"/>
      <c r="B39" s="5" t="s">
        <v>55</v>
      </c>
      <c r="C39" s="6" t="s">
        <v>56</v>
      </c>
      <c r="D39" s="3"/>
    </row>
    <row r="40" customFormat="false" ht="22.35" hidden="false" customHeight="false" outlineLevel="0" collapsed="false">
      <c r="A40" s="3"/>
      <c r="B40" s="5" t="s">
        <v>57</v>
      </c>
      <c r="C40" s="6" t="s">
        <v>58</v>
      </c>
      <c r="D40" s="3"/>
    </row>
    <row r="41" customFormat="false" ht="15" hidden="false" customHeight="false" outlineLevel="0" collapsed="false">
      <c r="A41" s="3"/>
      <c r="B41" s="5" t="s">
        <v>59</v>
      </c>
      <c r="C41" s="6" t="s">
        <v>60</v>
      </c>
      <c r="D41" s="3"/>
    </row>
    <row r="42" customFormat="false" ht="22.35" hidden="false" customHeight="false" outlineLevel="0" collapsed="false">
      <c r="A42" s="3"/>
      <c r="B42" s="5" t="s">
        <v>61</v>
      </c>
      <c r="C42" s="6" t="s">
        <v>62</v>
      </c>
      <c r="D42" s="3"/>
    </row>
    <row r="43" customFormat="false" ht="15" hidden="false" customHeight="false" outlineLevel="0" collapsed="false">
      <c r="A43" s="3"/>
      <c r="B43" s="7"/>
      <c r="C43" s="7"/>
      <c r="D43" s="3"/>
    </row>
    <row r="44" customFormat="false" ht="15" hidden="false" customHeight="true" outlineLevel="0" collapsed="false">
      <c r="A44" s="3"/>
      <c r="B44" s="4" t="s">
        <v>63</v>
      </c>
      <c r="C44" s="4"/>
      <c r="D44" s="3"/>
    </row>
    <row r="45" customFormat="false" ht="15" hidden="false" customHeight="false" outlineLevel="0" collapsed="false">
      <c r="A45" s="3"/>
      <c r="B45" s="8" t="s">
        <v>64</v>
      </c>
      <c r="C45" s="6" t="s">
        <v>65</v>
      </c>
      <c r="D45" s="3"/>
    </row>
    <row r="46" customFormat="false" ht="15" hidden="false" customHeight="false" outlineLevel="0" collapsed="false">
      <c r="A46" s="3"/>
      <c r="B46" s="9" t="s">
        <v>66</v>
      </c>
      <c r="C46" s="6" t="s">
        <v>67</v>
      </c>
      <c r="D46" s="3"/>
    </row>
    <row r="47" customFormat="false" ht="15" hidden="false" customHeight="false" outlineLevel="0" collapsed="false">
      <c r="A47" s="3"/>
      <c r="B47" s="10" t="s">
        <v>68</v>
      </c>
      <c r="C47" s="6" t="s">
        <v>69</v>
      </c>
      <c r="D47" s="3"/>
    </row>
    <row r="48" customFormat="false" ht="15" hidden="false" customHeight="false" outlineLevel="0" collapsed="false">
      <c r="A48" s="3"/>
      <c r="B48" s="11" t="s">
        <v>70</v>
      </c>
      <c r="C48" s="6" t="s">
        <v>71</v>
      </c>
      <c r="D48" s="3"/>
    </row>
    <row r="49" customFormat="false" ht="15" hidden="false" customHeight="false" outlineLevel="0" collapsed="false">
      <c r="A49" s="3"/>
      <c r="B49" s="7"/>
      <c r="C49" s="7"/>
      <c r="D49" s="3"/>
    </row>
    <row r="50" customFormat="false" ht="15" hidden="false" customHeight="true" outlineLevel="0" collapsed="false">
      <c r="A50" s="3"/>
      <c r="B50" s="4" t="s">
        <v>72</v>
      </c>
      <c r="C50" s="4"/>
      <c r="D50" s="3"/>
    </row>
    <row r="51" customFormat="false" ht="22.35" hidden="false" customHeight="false" outlineLevel="0" collapsed="false">
      <c r="A51" s="3"/>
      <c r="B51" s="5" t="s">
        <v>73</v>
      </c>
      <c r="C51" s="6" t="s">
        <v>74</v>
      </c>
      <c r="D51" s="3"/>
    </row>
    <row r="52" customFormat="false" ht="22.35" hidden="false" customHeight="false" outlineLevel="0" collapsed="false">
      <c r="A52" s="3"/>
      <c r="B52" s="5" t="s">
        <v>75</v>
      </c>
      <c r="C52" s="6" t="s">
        <v>76</v>
      </c>
      <c r="D52" s="3"/>
    </row>
    <row r="53" customFormat="false" ht="32.8" hidden="false" customHeight="false" outlineLevel="0" collapsed="false">
      <c r="A53" s="3"/>
      <c r="B53" s="5" t="s">
        <v>77</v>
      </c>
      <c r="C53" s="6" t="s">
        <v>78</v>
      </c>
      <c r="D53" s="3"/>
    </row>
    <row r="54" customFormat="false" ht="15" hidden="false" customHeight="false" outlineLevel="0" collapsed="false">
      <c r="A54" s="3"/>
      <c r="B54" s="5" t="s">
        <v>79</v>
      </c>
      <c r="C54" s="6" t="s">
        <v>80</v>
      </c>
      <c r="D54" s="3"/>
    </row>
    <row r="55" customFormat="false" ht="15" hidden="false" customHeight="false" outlineLevel="0" collapsed="false">
      <c r="A55" s="3"/>
      <c r="B55" s="5" t="s">
        <v>81</v>
      </c>
      <c r="C55" s="6" t="s">
        <v>82</v>
      </c>
      <c r="D55" s="3"/>
    </row>
    <row r="56" customFormat="false" ht="15" hidden="false" customHeight="false" outlineLevel="0" collapsed="false">
      <c r="A56" s="3"/>
      <c r="B56" s="7"/>
      <c r="C56" s="7"/>
      <c r="D56" s="3"/>
    </row>
  </sheetData>
  <mergeCells count="10">
    <mergeCell ref="A1:D1"/>
    <mergeCell ref="A2:D2"/>
    <mergeCell ref="B4:C4"/>
    <mergeCell ref="B7:C7"/>
    <mergeCell ref="B12:C12"/>
    <mergeCell ref="B16:C16"/>
    <mergeCell ref="B23:C23"/>
    <mergeCell ref="B35:C35"/>
    <mergeCell ref="B44:C44"/>
    <mergeCell ref="B50:C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P6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
    <col collapsed="false" customWidth="true" hidden="false" outlineLevel="0" max="8" min="3" style="0" width="22"/>
    <col collapsed="false" customWidth="true" hidden="false" outlineLevel="0" max="9" min="9" style="0" width="3"/>
    <col collapsed="false" customWidth="true" hidden="false" outlineLevel="0" max="10" min="10" style="0" width="28"/>
    <col collapsed="false" customWidth="true" hidden="false" outlineLevel="0" max="11" min="11" style="0" width="15"/>
    <col collapsed="false" customWidth="true" hidden="false" outlineLevel="0" max="12" min="12" style="0" width="9"/>
    <col collapsed="false" customWidth="true" hidden="false" outlineLevel="0" max="13" min="13" style="0" width="12"/>
    <col collapsed="false" customWidth="true" hidden="false" outlineLevel="0" max="14" min="14" style="0" width="9"/>
    <col collapsed="false" customWidth="true" hidden="false" outlineLevel="0" max="15" min="15" style="0" width="10"/>
    <col collapsed="false" customWidth="true" hidden="false" outlineLevel="0" max="16" min="16" style="0" width="12"/>
  </cols>
  <sheetData>
    <row r="1" customFormat="false" ht="25.5" hidden="false" customHeight="true" outlineLevel="0" collapsed="false">
      <c r="A1" s="1" t="s">
        <v>83</v>
      </c>
      <c r="B1" s="1"/>
      <c r="C1" s="1"/>
      <c r="D1" s="1"/>
      <c r="E1" s="1"/>
      <c r="F1" s="1"/>
      <c r="G1" s="1"/>
      <c r="H1" s="1"/>
      <c r="I1" s="3"/>
      <c r="J1" s="3"/>
      <c r="K1" s="3"/>
      <c r="L1" s="3"/>
      <c r="M1" s="3"/>
      <c r="N1" s="3"/>
      <c r="O1" s="3"/>
      <c r="P1" s="3"/>
    </row>
    <row r="2" customFormat="false" ht="15" hidden="false" customHeight="false" outlineLevel="0" collapsed="false">
      <c r="A2" s="2" t="s">
        <v>84</v>
      </c>
      <c r="B2" s="2"/>
      <c r="C2" s="2"/>
      <c r="D2" s="2"/>
      <c r="E2" s="2"/>
      <c r="F2" s="2"/>
      <c r="G2" s="2"/>
      <c r="H2" s="2"/>
      <c r="I2" s="3"/>
      <c r="J2" s="3"/>
      <c r="K2" s="3"/>
      <c r="L2" s="3"/>
      <c r="M2" s="3"/>
      <c r="N2" s="3"/>
      <c r="O2" s="3"/>
      <c r="P2" s="3"/>
    </row>
    <row r="3" customFormat="false" ht="15" hidden="false" customHeight="false" outlineLevel="0" collapsed="false">
      <c r="A3" s="3"/>
      <c r="B3" s="3"/>
      <c r="C3" s="3"/>
      <c r="D3" s="3"/>
      <c r="E3" s="3"/>
      <c r="F3" s="3"/>
      <c r="G3" s="3"/>
      <c r="H3" s="3"/>
      <c r="I3" s="3"/>
      <c r="J3" s="12" t="s">
        <v>85</v>
      </c>
      <c r="K3" s="3"/>
      <c r="L3" s="3"/>
      <c r="M3" s="3"/>
      <c r="N3" s="3"/>
      <c r="O3" s="3"/>
      <c r="P3" s="3"/>
    </row>
    <row r="4" customFormat="false" ht="25.5" hidden="false" customHeight="true" outlineLevel="0" collapsed="false">
      <c r="A4" s="3"/>
      <c r="B4" s="13" t="s">
        <v>86</v>
      </c>
      <c r="C4" s="14" t="str">
        <f aca="false">Dashboard!$C$3</f>
        <v>Monthly</v>
      </c>
      <c r="D4" s="3"/>
      <c r="E4" s="3"/>
      <c r="F4" s="3"/>
      <c r="G4" s="3"/>
      <c r="H4" s="3"/>
      <c r="I4" s="3"/>
      <c r="J4" s="15" t="s">
        <v>87</v>
      </c>
      <c r="K4" s="15" t="s">
        <v>88</v>
      </c>
      <c r="L4" s="15" t="s">
        <v>89</v>
      </c>
      <c r="M4" s="15" t="s">
        <v>90</v>
      </c>
      <c r="N4" s="15" t="s">
        <v>91</v>
      </c>
      <c r="O4" s="15" t="s">
        <v>92</v>
      </c>
      <c r="P4" s="15" t="s">
        <v>93</v>
      </c>
    </row>
    <row r="5" customFormat="false" ht="15" hidden="false" customHeight="false" outlineLevel="0" collapsed="false">
      <c r="A5" s="3"/>
      <c r="B5" s="13" t="s">
        <v>94</v>
      </c>
      <c r="C5" s="16" t="n">
        <f aca="false">Dashboard!$C$4</f>
        <v>46235</v>
      </c>
      <c r="D5" s="17" t="s">
        <v>95</v>
      </c>
      <c r="E5" s="3"/>
      <c r="F5" s="3"/>
      <c r="G5" s="3"/>
      <c r="H5" s="3"/>
      <c r="I5" s="3"/>
      <c r="J5" s="18" t="str">
        <f aca="false">IF(Dashboard!$B16="","",Dashboard!$B16)</f>
        <v>Client Portal Rebuild</v>
      </c>
      <c r="K5" s="19" t="str">
        <f aca="false">Dashboard!$S16</f>
        <v>Amber</v>
      </c>
      <c r="L5" s="20" t="n">
        <f aca="false">IF($J5="",0,IF(AND(Dashboard!$D16&gt;0,Dashboard!$E16&gt;Dashboard!$D16),1,0))</f>
        <v>0</v>
      </c>
      <c r="M5" s="21" t="n">
        <f aca="false">IF($L5=1,Dashboard!$E16-Dashboard!$D16,0)</f>
        <v>0</v>
      </c>
      <c r="N5" s="20" t="n">
        <f aca="false">IF($J5="",0,IF(Dashboard!$N16&gt;0,1,0))</f>
        <v>1</v>
      </c>
      <c r="O5" s="22" t="n">
        <f aca="false">IF($J5="","",IF(Dashboard!$H16=0,"",Dashboard!$I16/Dashboard!$H16))</f>
        <v>0.777777777777778</v>
      </c>
      <c r="P5" s="23" t="n">
        <f aca="false">IF($J5="",-1,$L5*100+Dashboard!$P16*15+Dashboard!$Q16*5+IF(Dashboard!$H16&gt;0,(1-Dashboard!$I16/Dashboard!$H16)*40,0))</f>
        <v>33.8888888888889</v>
      </c>
    </row>
    <row r="6" customFormat="false" ht="15" hidden="false" customHeight="false" outlineLevel="0" collapsed="false">
      <c r="A6" s="24"/>
      <c r="B6" s="24"/>
      <c r="C6" s="24"/>
      <c r="D6" s="24"/>
      <c r="E6" s="24"/>
      <c r="F6" s="24"/>
      <c r="G6" s="24"/>
      <c r="H6" s="24"/>
      <c r="I6" s="24"/>
      <c r="J6" s="25" t="str">
        <f aca="false">IF(Dashboard!$B17="","",Dashboard!$B17)</f>
        <v>Data Platform Migration</v>
      </c>
      <c r="K6" s="26" t="str">
        <f aca="false">Dashboard!$S17</f>
        <v>Green</v>
      </c>
      <c r="L6" s="27" t="n">
        <f aca="false">IF($J6="",0,IF(AND(Dashboard!$D17&gt;0,Dashboard!$E17&gt;Dashboard!$D17),1,0))</f>
        <v>0</v>
      </c>
      <c r="M6" s="28" t="n">
        <f aca="false">IF($L6=1,Dashboard!$E17-Dashboard!$D17,0)</f>
        <v>0</v>
      </c>
      <c r="N6" s="27" t="n">
        <f aca="false">IF($J6="",0,IF(Dashboard!$N17&gt;0,1,0))</f>
        <v>1</v>
      </c>
      <c r="O6" s="29" t="n">
        <f aca="false">IF($J6="","",IF(Dashboard!$H17=0,"",Dashboard!$I17/Dashboard!$H17))</f>
        <v>0.9</v>
      </c>
      <c r="P6" s="30" t="n">
        <f aca="false">IF($J6="",-1,$L6*100+Dashboard!$P17*15+Dashboard!$Q17*5+IF(Dashboard!$H17&gt;0,(1-Dashboard!$I17/Dashboard!$H17)*40,0))</f>
        <v>4</v>
      </c>
    </row>
    <row r="7" customFormat="false" ht="24" hidden="false" customHeight="true" outlineLevel="0" collapsed="false">
      <c r="A7" s="3"/>
      <c r="B7" s="3"/>
      <c r="C7" s="15" t="s">
        <v>96</v>
      </c>
      <c r="D7" s="15" t="s">
        <v>97</v>
      </c>
      <c r="E7" s="15" t="s">
        <v>98</v>
      </c>
      <c r="F7" s="15" t="s">
        <v>99</v>
      </c>
      <c r="G7" s="15" t="s">
        <v>100</v>
      </c>
      <c r="H7" s="15" t="s">
        <v>101</v>
      </c>
      <c r="I7" s="3"/>
      <c r="J7" s="18" t="str">
        <f aca="false">IF(Dashboard!$B18="","",Dashboard!$B18)</f>
        <v>Regulatory Reporting Uplift</v>
      </c>
      <c r="K7" s="19" t="str">
        <f aca="false">Dashboard!$S18</f>
        <v>Red</v>
      </c>
      <c r="L7" s="20" t="n">
        <f aca="false">IF($J7="",0,IF(AND(Dashboard!$D18&gt;0,Dashboard!$E18&gt;Dashboard!$D18),1,0))</f>
        <v>1</v>
      </c>
      <c r="M7" s="21" t="n">
        <f aca="false">IF($L7=1,Dashboard!$E18-Dashboard!$D18,0)</f>
        <v>11000</v>
      </c>
      <c r="N7" s="20" t="n">
        <f aca="false">IF($J7="",0,IF(Dashboard!$N18&gt;0,1,0))</f>
        <v>1</v>
      </c>
      <c r="O7" s="22" t="n">
        <f aca="false">IF($J7="","",IF(Dashboard!$H18=0,"",Dashboard!$I18/Dashboard!$H18))</f>
        <v>0.625</v>
      </c>
      <c r="P7" s="23" t="n">
        <f aca="false">IF($J7="",-1,$L7*100+Dashboard!$P18*15+Dashboard!$Q18*5+IF(Dashboard!$H18&gt;0,(1-Dashboard!$I18/Dashboard!$H18)*40,0))</f>
        <v>180</v>
      </c>
    </row>
    <row r="8" customFormat="false" ht="27.75" hidden="false" customHeight="true" outlineLevel="0" collapsed="false">
      <c r="A8" s="24"/>
      <c r="B8" s="24"/>
      <c r="C8" s="31" t="n">
        <f aca="false">Dashboard!$I$8</f>
        <v>2545000</v>
      </c>
      <c r="D8" s="31" t="n">
        <f aca="false">Dashboard!$K$8</f>
        <v>2092000</v>
      </c>
      <c r="E8" s="32" t="n">
        <f aca="false">Dashboard!$M$8</f>
        <v>0.822003929273085</v>
      </c>
      <c r="F8" s="32" t="n">
        <f aca="false">Dashboard!$O$8</f>
        <v>0.833333333333333</v>
      </c>
      <c r="G8" s="32" t="n">
        <f aca="false">Dashboard!$Q$8</f>
        <v>0.8125</v>
      </c>
      <c r="H8" s="33" t="str">
        <f aca="false">Dashboard!$M$11&amp;"  /  "&amp;Dashboard!$O$11&amp;"  /  "&amp;Dashboard!$Q$11</f>
        <v>1  /  2  /  2</v>
      </c>
      <c r="I8" s="24"/>
      <c r="J8" s="25" t="str">
        <f aca="false">IF(Dashboard!$B19="","",Dashboard!$B19)</f>
        <v>Market Expansion - APAC</v>
      </c>
      <c r="K8" s="26" t="str">
        <f aca="false">Dashboard!$S19</f>
        <v>Green</v>
      </c>
      <c r="L8" s="27" t="n">
        <f aca="false">IF($J8="",0,IF(AND(Dashboard!$D19&gt;0,Dashboard!$E19&gt;Dashboard!$D19),1,0))</f>
        <v>0</v>
      </c>
      <c r="M8" s="28" t="n">
        <f aca="false">IF($L8=1,Dashboard!$E19-Dashboard!$D19,0)</f>
        <v>0</v>
      </c>
      <c r="N8" s="27" t="n">
        <f aca="false">IF($J8="",0,IF(Dashboard!$N19&gt;0,1,0))</f>
        <v>1</v>
      </c>
      <c r="O8" s="29" t="n">
        <f aca="false">IF($J8="","",IF(Dashboard!$H19=0,"",Dashboard!$I19/Dashboard!$H19))</f>
        <v>1</v>
      </c>
      <c r="P8" s="30" t="n">
        <f aca="false">IF($J8="",-1,$L8*100+Dashboard!$P19*15+Dashboard!$Q19*5+IF(Dashboard!$H19&gt;0,(1-Dashboard!$I19/Dashboard!$H19)*40,0))</f>
        <v>0</v>
      </c>
    </row>
    <row r="9" customFormat="false" ht="15" hidden="false" customHeight="false" outlineLevel="0" collapsed="false">
      <c r="A9" s="3"/>
      <c r="B9" s="3"/>
      <c r="C9" s="3"/>
      <c r="D9" s="3"/>
      <c r="E9" s="3"/>
      <c r="F9" s="3"/>
      <c r="G9" s="3"/>
      <c r="H9" s="3"/>
      <c r="I9" s="3"/>
      <c r="J9" s="18" t="str">
        <f aca="false">IF(Dashboard!$B20="","",Dashboard!$B20)</f>
        <v>Cost-to-Serve Optimisation</v>
      </c>
      <c r="K9" s="19" t="str">
        <f aca="false">Dashboard!$S20</f>
        <v>Amber</v>
      </c>
      <c r="L9" s="20" t="n">
        <f aca="false">IF($J9="",0,IF(AND(Dashboard!$D20&gt;0,Dashboard!$E20&gt;Dashboard!$D20),1,0))</f>
        <v>0</v>
      </c>
      <c r="M9" s="21" t="n">
        <f aca="false">IF($L9=1,Dashboard!$E20-Dashboard!$D20,0)</f>
        <v>0</v>
      </c>
      <c r="N9" s="20" t="n">
        <f aca="false">IF($J9="",0,IF(Dashboard!$N20&gt;0,1,0))</f>
        <v>1</v>
      </c>
      <c r="O9" s="22" t="n">
        <f aca="false">IF($J9="","",IF(Dashboard!$H20=0,"",Dashboard!$I20/Dashboard!$H20))</f>
        <v>0.857142857142857</v>
      </c>
      <c r="P9" s="23" t="n">
        <f aca="false">IF($J9="",-1,$L9*100+Dashboard!$P20*15+Dashboard!$Q20*5+IF(Dashboard!$H20&gt;0,(1-Dashboard!$I20/Dashboard!$H20)*40,0))</f>
        <v>10.7142857142857</v>
      </c>
    </row>
    <row r="10" customFormat="false" ht="15" hidden="false" customHeight="false" outlineLevel="0" collapsed="false">
      <c r="A10" s="24"/>
      <c r="B10" s="34" t="s">
        <v>102</v>
      </c>
      <c r="C10" s="34"/>
      <c r="D10" s="34"/>
      <c r="E10" s="34"/>
      <c r="F10" s="34"/>
      <c r="G10" s="34"/>
      <c r="H10" s="34"/>
      <c r="I10" s="24"/>
      <c r="J10" s="25" t="str">
        <f aca="false">IF(Dashboard!$B21="","",Dashboard!$B21)</f>
        <v/>
      </c>
      <c r="K10" s="26" t="str">
        <f aca="false">Dashboard!$S21</f>
        <v/>
      </c>
      <c r="L10" s="27" t="n">
        <f aca="false">IF($J10="",0,IF(AND(Dashboard!$D21&gt;0,Dashboard!$E21&gt;Dashboard!$D21),1,0))</f>
        <v>0</v>
      </c>
      <c r="M10" s="28" t="n">
        <f aca="false">IF($L10=1,Dashboard!$E21-Dashboard!$D21,0)</f>
        <v>0</v>
      </c>
      <c r="N10" s="27" t="n">
        <f aca="false">IF($J10="",0,IF(Dashboard!$N21&gt;0,1,0))</f>
        <v>0</v>
      </c>
      <c r="O10" s="29" t="str">
        <f aca="false">IF($J10="","",IF(Dashboard!$H21=0,"",Dashboard!$I21/Dashboard!$H21))</f>
        <v/>
      </c>
      <c r="P10" s="30" t="n">
        <f aca="false">IF($J10="",-1,$L10*100+Dashboard!$P21*15+Dashboard!$Q21*5+IF(Dashboard!$H21&gt;0,(1-Dashboard!$I21/Dashboard!$H21)*40,0))</f>
        <v>-1</v>
      </c>
    </row>
    <row r="11" customFormat="false" ht="30" hidden="false" customHeight="true" outlineLevel="0" collapsed="false">
      <c r="A11" s="3"/>
      <c r="B11" s="35" t="str">
        <f aca="false">"Bottom line: "&amp;IF(Dashboard!$M$11=0,"no project is Red",Dashboard!$M$11&amp;" of "&amp;Dashboard!$G$8&amp;" project"&amp;IF(Dashboard!$G$8=1,"","s")&amp;" Red")&amp;", "&amp;TEXT(Dashboard!$M$8,"0%")&amp;" of the approved budget spent, "&amp;$K$59&amp;" milestone"&amp;IF($K$59=1,"","s")&amp;" and "&amp;$K$60&amp;" deliverable"&amp;IF($K$60=1,"","s")&amp;" outstanding against the TOR."</f>
        <v>Bottom line: 1 of 5 projects Red, 82% of the approved budget spent, 7 milestones and 9 deliverables outstanding against the TOR.</v>
      </c>
      <c r="C11" s="35"/>
      <c r="D11" s="35"/>
      <c r="E11" s="35"/>
      <c r="F11" s="35"/>
      <c r="G11" s="35"/>
      <c r="H11" s="35"/>
      <c r="I11" s="3"/>
      <c r="J11" s="18" t="str">
        <f aca="false">IF(Dashboard!$B22="","",Dashboard!$B22)</f>
        <v/>
      </c>
      <c r="K11" s="19" t="str">
        <f aca="false">Dashboard!$S22</f>
        <v/>
      </c>
      <c r="L11" s="20" t="n">
        <f aca="false">IF($J11="",0,IF(AND(Dashboard!$D22&gt;0,Dashboard!$E22&gt;Dashboard!$D22),1,0))</f>
        <v>0</v>
      </c>
      <c r="M11" s="21" t="n">
        <f aca="false">IF($L11=1,Dashboard!$E22-Dashboard!$D22,0)</f>
        <v>0</v>
      </c>
      <c r="N11" s="20" t="n">
        <f aca="false">IF($J11="",0,IF(Dashboard!$N22&gt;0,1,0))</f>
        <v>0</v>
      </c>
      <c r="O11" s="22" t="str">
        <f aca="false">IF($J11="","",IF(Dashboard!$H22=0,"",Dashboard!$I22/Dashboard!$H22))</f>
        <v/>
      </c>
      <c r="P11" s="23" t="n">
        <f aca="false">IF($J11="",-1,$L11*100+Dashboard!$P22*15+Dashboard!$Q22*5+IF(Dashboard!$H22&gt;0,(1-Dashboard!$I22/Dashboard!$H22)*40,0))</f>
        <v>-1</v>
      </c>
    </row>
    <row r="12" customFormat="false" ht="15" hidden="false" customHeight="false" outlineLevel="0" collapsed="false">
      <c r="A12" s="24"/>
      <c r="B12" s="24"/>
      <c r="C12" s="24"/>
      <c r="D12" s="24"/>
      <c r="E12" s="24"/>
      <c r="F12" s="24"/>
      <c r="G12" s="24"/>
      <c r="H12" s="24"/>
      <c r="I12" s="24"/>
      <c r="J12" s="25" t="str">
        <f aca="false">IF(Dashboard!$B23="","",Dashboard!$B23)</f>
        <v/>
      </c>
      <c r="K12" s="26" t="str">
        <f aca="false">Dashboard!$S23</f>
        <v/>
      </c>
      <c r="L12" s="27" t="n">
        <f aca="false">IF($J12="",0,IF(AND(Dashboard!$D23&gt;0,Dashboard!$E23&gt;Dashboard!$D23),1,0))</f>
        <v>0</v>
      </c>
      <c r="M12" s="28" t="n">
        <f aca="false">IF($L12=1,Dashboard!$E23-Dashboard!$D23,0)</f>
        <v>0</v>
      </c>
      <c r="N12" s="27" t="n">
        <f aca="false">IF($J12="",0,IF(Dashboard!$N23&gt;0,1,0))</f>
        <v>0</v>
      </c>
      <c r="O12" s="29" t="str">
        <f aca="false">IF($J12="","",IF(Dashboard!$H23=0,"",Dashboard!$I23/Dashboard!$H23))</f>
        <v/>
      </c>
      <c r="P12" s="30" t="n">
        <f aca="false">IF($J12="",-1,$L12*100+Dashboard!$P23*15+Dashboard!$Q23*5+IF(Dashboard!$H23&gt;0,(1-Dashboard!$I23/Dashboard!$H23)*40,0))</f>
        <v>-1</v>
      </c>
    </row>
    <row r="13" customFormat="false" ht="27.75" hidden="false" customHeight="true" outlineLevel="0" collapsed="false">
      <c r="A13" s="3"/>
      <c r="B13" s="36" t="str">
        <f aca="false">IF($K$46&gt;0,"ACT NOW",IF(Dashboard!$M$8&gt;Dashboard!$C$9,"WATCH","OK"))</f>
        <v>ACT NOW</v>
      </c>
      <c r="C13" s="37" t="str">
        <f aca="false">"1.  $"&amp;TEXT(Dashboard!$K$8,"#,##0")&amp;" spent of $"&amp;TEXT(Dashboard!$I$8,"#,##0")&amp;" authorised ("&amp;TEXT(Dashboard!$M$8,"0%")&amp;")."&amp;IF($K$46=0,""," "&amp;$K$46&amp;" project"&amp;IF($K$46=1,"","s")&amp;" over TOR budget by $"&amp;TEXT($K$47,"#,##0")&amp;".")</f>
        <v>1.  $2,092,000 spent of $2,545,000 authorised (82%). 1 project over TOR budget by $11,000.</v>
      </c>
      <c r="D13" s="37"/>
      <c r="E13" s="37"/>
      <c r="F13" s="37"/>
      <c r="G13" s="37"/>
      <c r="H13" s="37"/>
      <c r="I13" s="3"/>
      <c r="J13" s="18" t="str">
        <f aca="false">IF(Dashboard!$B24="","",Dashboard!$B24)</f>
        <v/>
      </c>
      <c r="K13" s="19" t="str">
        <f aca="false">Dashboard!$S24</f>
        <v/>
      </c>
      <c r="L13" s="20" t="n">
        <f aca="false">IF($J13="",0,IF(AND(Dashboard!$D24&gt;0,Dashboard!$E24&gt;Dashboard!$D24),1,0))</f>
        <v>0</v>
      </c>
      <c r="M13" s="21" t="n">
        <f aca="false">IF($L13=1,Dashboard!$E24-Dashboard!$D24,0)</f>
        <v>0</v>
      </c>
      <c r="N13" s="20" t="n">
        <f aca="false">IF($J13="",0,IF(Dashboard!$N24&gt;0,1,0))</f>
        <v>0</v>
      </c>
      <c r="O13" s="22" t="str">
        <f aca="false">IF($J13="","",IF(Dashboard!$H24=0,"",Dashboard!$I24/Dashboard!$H24))</f>
        <v/>
      </c>
      <c r="P13" s="23" t="n">
        <f aca="false">IF($J13="",-1,$L13*100+Dashboard!$P24*15+Dashboard!$Q24*5+IF(Dashboard!$H24&gt;0,(1-Dashboard!$I24/Dashboard!$H24)*40,0))</f>
        <v>-1</v>
      </c>
    </row>
    <row r="14" customFormat="false" ht="25.5" hidden="false" customHeight="true" outlineLevel="0" collapsed="false">
      <c r="A14" s="24"/>
      <c r="B14" s="24"/>
      <c r="C14" s="38" t="str">
        <f aca="false">IF($K$46=0,"$"&amp;TEXT($K$62,"#,##0")&amp;" of headroom left; nothing is spent beyond what the TOR authorised.","The overspend is already committed - it is not a forecast.")</f>
        <v>The overspend is already committed - it is not a forecast.</v>
      </c>
      <c r="D14" s="38"/>
      <c r="E14" s="38"/>
      <c r="F14" s="38"/>
      <c r="G14" s="38"/>
      <c r="H14" s="38"/>
      <c r="I14" s="24"/>
      <c r="J14" s="25" t="str">
        <f aca="false">IF(Dashboard!$B25="","",Dashboard!$B25)</f>
        <v/>
      </c>
      <c r="K14" s="26" t="str">
        <f aca="false">Dashboard!$S25</f>
        <v/>
      </c>
      <c r="L14" s="27" t="n">
        <f aca="false">IF($J14="",0,IF(AND(Dashboard!$D25&gt;0,Dashboard!$E25&gt;Dashboard!$D25),1,0))</f>
        <v>0</v>
      </c>
      <c r="M14" s="28" t="n">
        <f aca="false">IF($L14=1,Dashboard!$E25-Dashboard!$D25,0)</f>
        <v>0</v>
      </c>
      <c r="N14" s="27" t="n">
        <f aca="false">IF($J14="",0,IF(Dashboard!$N25&gt;0,1,0))</f>
        <v>0</v>
      </c>
      <c r="O14" s="29" t="str">
        <f aca="false">IF($J14="","",IF(Dashboard!$H25=0,"",Dashboard!$I25/Dashboard!$H25))</f>
        <v/>
      </c>
      <c r="P14" s="30" t="n">
        <f aca="false">IF($J14="",-1,$L14*100+Dashboard!$P25*15+Dashboard!$Q25*5+IF(Dashboard!$H25&gt;0,(1-Dashboard!$I25/Dashboard!$H25)*40,0))</f>
        <v>-1</v>
      </c>
    </row>
    <row r="15" customFormat="false" ht="30" hidden="false" customHeight="true" outlineLevel="0" collapsed="false">
      <c r="A15" s="3"/>
      <c r="B15" s="3"/>
      <c r="C15" s="39" t="str">
        <f aca="false">IF($K$46=0,"Decision: none this cycle. Re-test when budget used passes "&amp;TEXT(Dashboard!$C$9,"0%")&amp;".","Decision: fund the $"&amp;TEXT($K$47,"#,##0")&amp;", cut scope on "&amp;$K$67&amp;", or re-baseline its TOR. Those are the only three options.")</f>
        <v>Decision: fund the $11,000, cut scope on Regulatory Reporting Uplift, or re-baseline its TOR. Those are the only three options.</v>
      </c>
      <c r="D15" s="39"/>
      <c r="E15" s="39"/>
      <c r="F15" s="39"/>
      <c r="G15" s="39"/>
      <c r="H15" s="39"/>
      <c r="I15" s="3"/>
      <c r="J15" s="18" t="str">
        <f aca="false">IF(Dashboard!$B26="","",Dashboard!$B26)</f>
        <v/>
      </c>
      <c r="K15" s="19" t="str">
        <f aca="false">Dashboard!$S26</f>
        <v/>
      </c>
      <c r="L15" s="20" t="n">
        <f aca="false">IF($J15="",0,IF(AND(Dashboard!$D26&gt;0,Dashboard!$E26&gt;Dashboard!$D26),1,0))</f>
        <v>0</v>
      </c>
      <c r="M15" s="21" t="n">
        <f aca="false">IF($L15=1,Dashboard!$E26-Dashboard!$D26,0)</f>
        <v>0</v>
      </c>
      <c r="N15" s="20" t="n">
        <f aca="false">IF($J15="",0,IF(Dashboard!$N26&gt;0,1,0))</f>
        <v>0</v>
      </c>
      <c r="O15" s="22" t="str">
        <f aca="false">IF($J15="","",IF(Dashboard!$H26=0,"",Dashboard!$I26/Dashboard!$H26))</f>
        <v/>
      </c>
      <c r="P15" s="23" t="n">
        <f aca="false">IF($J15="",-1,$L15*100+Dashboard!$P26*15+Dashboard!$Q26*5+IF(Dashboard!$H26&gt;0,(1-Dashboard!$I26/Dashboard!$H26)*40,0))</f>
        <v>-1</v>
      </c>
    </row>
    <row r="16" customFormat="false" ht="6.75" hidden="false" customHeight="true" outlineLevel="0" collapsed="false">
      <c r="A16" s="24"/>
      <c r="B16" s="24"/>
      <c r="C16" s="24"/>
      <c r="D16" s="24"/>
      <c r="E16" s="24"/>
      <c r="F16" s="24"/>
      <c r="G16" s="24"/>
      <c r="H16" s="24"/>
      <c r="I16" s="24"/>
      <c r="J16" s="25" t="str">
        <f aca="false">IF(Dashboard!$B27="","",Dashboard!$B27)</f>
        <v/>
      </c>
      <c r="K16" s="26" t="str">
        <f aca="false">Dashboard!$S27</f>
        <v/>
      </c>
      <c r="L16" s="27" t="n">
        <f aca="false">IF($J16="",0,IF(AND(Dashboard!$D27&gt;0,Dashboard!$E27&gt;Dashboard!$D27),1,0))</f>
        <v>0</v>
      </c>
      <c r="M16" s="28" t="n">
        <f aca="false">IF($L16=1,Dashboard!$E27-Dashboard!$D27,0)</f>
        <v>0</v>
      </c>
      <c r="N16" s="27" t="n">
        <f aca="false">IF($J16="",0,IF(Dashboard!$N27&gt;0,1,0))</f>
        <v>0</v>
      </c>
      <c r="O16" s="29" t="str">
        <f aca="false">IF($J16="","",IF(Dashboard!$H27=0,"",Dashboard!$I27/Dashboard!$H27))</f>
        <v/>
      </c>
      <c r="P16" s="30" t="n">
        <f aca="false">IF($J16="",-1,$L16*100+Dashboard!$P27*15+Dashboard!$Q27*5+IF(Dashboard!$H27&gt;0,(1-Dashboard!$I27/Dashboard!$H27)*40,0))</f>
        <v>-1</v>
      </c>
    </row>
    <row r="17" customFormat="false" ht="27.75" hidden="false" customHeight="true" outlineLevel="0" collapsed="false">
      <c r="A17" s="3"/>
      <c r="B17" s="36" t="str">
        <f aca="false">IF(Dashboard!$O$8&lt;Dashboard!$C$8,"ACT NOW",IF(Dashboard!$O$8&lt;Dashboard!$C$7,"WATCH","OK"))</f>
        <v>WATCH</v>
      </c>
      <c r="C17" s="37" t="str">
        <f aca="false">"2.  "&amp;TEXT(Dashboard!$O$8,"0%")&amp;" of milestones hit, "&amp;TEXT(Dashboard!$Q$8,"0%")&amp;" of deliverables accepted."</f>
        <v>2.  83% of milestones hit, 81% of deliverables accepted.</v>
      </c>
      <c r="D17" s="37"/>
      <c r="E17" s="37"/>
      <c r="F17" s="37"/>
      <c r="G17" s="37"/>
      <c r="H17" s="37"/>
      <c r="I17" s="3"/>
      <c r="J17" s="18" t="str">
        <f aca="false">IF(Dashboard!$B28="","",Dashboard!$B28)</f>
        <v/>
      </c>
      <c r="K17" s="19" t="str">
        <f aca="false">Dashboard!$S28</f>
        <v/>
      </c>
      <c r="L17" s="20" t="n">
        <f aca="false">IF($J17="",0,IF(AND(Dashboard!$D28&gt;0,Dashboard!$E28&gt;Dashboard!$D28),1,0))</f>
        <v>0</v>
      </c>
      <c r="M17" s="21" t="n">
        <f aca="false">IF($L17=1,Dashboard!$E28-Dashboard!$D28,0)</f>
        <v>0</v>
      </c>
      <c r="N17" s="20" t="n">
        <f aca="false">IF($J17="",0,IF(Dashboard!$N28&gt;0,1,0))</f>
        <v>0</v>
      </c>
      <c r="O17" s="22" t="str">
        <f aca="false">IF($J17="","",IF(Dashboard!$H28=0,"",Dashboard!$I28/Dashboard!$H28))</f>
        <v/>
      </c>
      <c r="P17" s="23" t="n">
        <f aca="false">IF($J17="",-1,$L17*100+Dashboard!$P28*15+Dashboard!$Q28*5+IF(Dashboard!$H28&gt;0,(1-Dashboard!$I28/Dashboard!$H28)*40,0))</f>
        <v>-1</v>
      </c>
    </row>
    <row r="18" customFormat="false" ht="25.5" hidden="false" customHeight="true" outlineLevel="0" collapsed="false">
      <c r="A18" s="24"/>
      <c r="B18" s="24"/>
      <c r="C18" s="38" t="str">
        <f aca="false">"Behind the TOR baseline by "&amp;$K$59&amp;" milestone"&amp;IF($K$59=1,"","s")&amp;" and "&amp;$K$60&amp;" deliverable"&amp;IF($K$60=1,"","s")&amp;IF($K$68="","",", "&amp;IF($K$68&gt;0.005,"better than",IF($K$68&lt;-0.005,"worse than","level with"))&amp;" last month.")</f>
        <v>Behind the TOR baseline by 7 milestones and 9 deliverables, level with last month.</v>
      </c>
      <c r="D18" s="38"/>
      <c r="E18" s="38"/>
      <c r="F18" s="38"/>
      <c r="G18" s="38"/>
      <c r="H18" s="38"/>
      <c r="I18" s="24"/>
      <c r="J18" s="25" t="str">
        <f aca="false">IF(Dashboard!$B29="","",Dashboard!$B29)</f>
        <v/>
      </c>
      <c r="K18" s="26" t="str">
        <f aca="false">Dashboard!$S29</f>
        <v/>
      </c>
      <c r="L18" s="27" t="n">
        <f aca="false">IF($J18="",0,IF(AND(Dashboard!$D29&gt;0,Dashboard!$E29&gt;Dashboard!$D29),1,0))</f>
        <v>0</v>
      </c>
      <c r="M18" s="28" t="n">
        <f aca="false">IF($L18=1,Dashboard!$E29-Dashboard!$D29,0)</f>
        <v>0</v>
      </c>
      <c r="N18" s="27" t="n">
        <f aca="false">IF($J18="",0,IF(Dashboard!$N29&gt;0,1,0))</f>
        <v>0</v>
      </c>
      <c r="O18" s="29" t="str">
        <f aca="false">IF($J18="","",IF(Dashboard!$H29=0,"",Dashboard!$I29/Dashboard!$H29))</f>
        <v/>
      </c>
      <c r="P18" s="30" t="n">
        <f aca="false">IF($J18="",-1,$L18*100+Dashboard!$P29*15+Dashboard!$Q29*5+IF(Dashboard!$H29&gt;0,(1-Dashboard!$I29/Dashboard!$H29)*40,0))</f>
        <v>-1</v>
      </c>
    </row>
    <row r="19" customFormat="false" ht="30" hidden="false" customHeight="true" outlineLevel="0" collapsed="false">
      <c r="A19" s="3"/>
      <c r="B19" s="3"/>
      <c r="C19" s="39" t="str">
        <f aca="false">"Decision: ask how many of the "&amp;$K$60&amp;" unaccepted deliverable"&amp;IF($K$60=1,"","s")&amp;" "&amp;IF($K$60=1,"is","are")&amp;" waiting on a sponsor signature rather than on the team. That split decides whether this is a delivery problem or a governance one."</f>
        <v>Decision: ask how many of the 9 unaccepted deliverables are waiting on a sponsor signature rather than on the team. That split decides whether this is a delivery problem or a governance one.</v>
      </c>
      <c r="D19" s="39"/>
      <c r="E19" s="39"/>
      <c r="F19" s="39"/>
      <c r="G19" s="39"/>
      <c r="H19" s="39"/>
      <c r="I19" s="3"/>
      <c r="J19" s="18" t="str">
        <f aca="false">IF(Dashboard!$B30="","",Dashboard!$B30)</f>
        <v/>
      </c>
      <c r="K19" s="19" t="str">
        <f aca="false">Dashboard!$S30</f>
        <v/>
      </c>
      <c r="L19" s="20" t="n">
        <f aca="false">IF($J19="",0,IF(AND(Dashboard!$D30&gt;0,Dashboard!$E30&gt;Dashboard!$D30),1,0))</f>
        <v>0</v>
      </c>
      <c r="M19" s="21" t="n">
        <f aca="false">IF($L19=1,Dashboard!$E30-Dashboard!$D30,0)</f>
        <v>0</v>
      </c>
      <c r="N19" s="20" t="n">
        <f aca="false">IF($J19="",0,IF(Dashboard!$N30&gt;0,1,0))</f>
        <v>0</v>
      </c>
      <c r="O19" s="22" t="str">
        <f aca="false">IF($J19="","",IF(Dashboard!$H30=0,"",Dashboard!$I30/Dashboard!$H30))</f>
        <v/>
      </c>
      <c r="P19" s="23" t="n">
        <f aca="false">IF($J19="",-1,$L19*100+Dashboard!$P30*15+Dashboard!$Q30*5+IF(Dashboard!$H30&gt;0,(1-Dashboard!$I30/Dashboard!$H30)*40,0))</f>
        <v>-1</v>
      </c>
    </row>
    <row r="20" customFormat="false" ht="6.75" hidden="false" customHeight="true" outlineLevel="0" collapsed="false">
      <c r="A20" s="24"/>
      <c r="B20" s="24"/>
      <c r="C20" s="24"/>
      <c r="D20" s="24"/>
      <c r="E20" s="24"/>
      <c r="F20" s="24"/>
      <c r="G20" s="24"/>
      <c r="H20" s="24"/>
      <c r="I20" s="24"/>
      <c r="J20" s="25" t="str">
        <f aca="false">IF(Dashboard!$B31="","",Dashboard!$B31)</f>
        <v/>
      </c>
      <c r="K20" s="26" t="str">
        <f aca="false">Dashboard!$S31</f>
        <v/>
      </c>
      <c r="L20" s="27" t="n">
        <f aca="false">IF($J20="",0,IF(AND(Dashboard!$D31&gt;0,Dashboard!$E31&gt;Dashboard!$D31),1,0))</f>
        <v>0</v>
      </c>
      <c r="M20" s="28" t="n">
        <f aca="false">IF($L20=1,Dashboard!$E31-Dashboard!$D31,0)</f>
        <v>0</v>
      </c>
      <c r="N20" s="27" t="n">
        <f aca="false">IF($J20="",0,IF(Dashboard!$N31&gt;0,1,0))</f>
        <v>0</v>
      </c>
      <c r="O20" s="29" t="str">
        <f aca="false">IF($J20="","",IF(Dashboard!$H31=0,"",Dashboard!$I31/Dashboard!$H31))</f>
        <v/>
      </c>
      <c r="P20" s="30" t="n">
        <f aca="false">IF($J20="",-1,$L20*100+Dashboard!$P31*15+Dashboard!$Q31*5+IF(Dashboard!$H31&gt;0,(1-Dashboard!$I31/Dashboard!$H31)*40,0))</f>
        <v>-1</v>
      </c>
    </row>
    <row r="21" customFormat="false" ht="27.75" hidden="false" customHeight="true" outlineLevel="0" collapsed="false">
      <c r="A21" s="3"/>
      <c r="B21" s="36" t="str">
        <f aca="false">IF($K$53="","OK",IF($K$53="Red","ACT NOW",IF($K$53="Amber","WATCH","OK")))</f>
        <v>ACT NOW</v>
      </c>
      <c r="C21" s="37" t="str">
        <f aca="false">IF($K$49="","3.  No project is reporting for this cadence and date.","3.  "&amp;$K$49&amp;" carries the most exposure: "&amp;$K$53&amp;", "&amp;IF($K$50="","no milestones yet",TEXT($K$50,"0%")&amp;" of milestones")&amp;", "&amp;IF($K$51="","budget n/a",TEXT($K$51,"0%")&amp;" of budget")&amp;", "&amp;$K$52&amp;" high risk"&amp;IF($K$52=1,"","s")&amp;".")</f>
        <v>3.  Regulatory Reporting Uplift carries the most exposure: Red, 63% of milestones, 103% of budget, 3 high risks.</v>
      </c>
      <c r="D21" s="37"/>
      <c r="E21" s="37"/>
      <c r="F21" s="37"/>
      <c r="G21" s="37"/>
      <c r="H21" s="37"/>
      <c r="I21" s="3"/>
      <c r="J21" s="18" t="str">
        <f aca="false">IF(Dashboard!$B32="","",Dashboard!$B32)</f>
        <v/>
      </c>
      <c r="K21" s="19" t="str">
        <f aca="false">Dashboard!$S32</f>
        <v/>
      </c>
      <c r="L21" s="20" t="n">
        <f aca="false">IF($J21="",0,IF(AND(Dashboard!$D32&gt;0,Dashboard!$E32&gt;Dashboard!$D32),1,0))</f>
        <v>0</v>
      </c>
      <c r="M21" s="21" t="n">
        <f aca="false">IF($L21=1,Dashboard!$E32-Dashboard!$D32,0)</f>
        <v>0</v>
      </c>
      <c r="N21" s="20" t="n">
        <f aca="false">IF($J21="",0,IF(Dashboard!$N32&gt;0,1,0))</f>
        <v>0</v>
      </c>
      <c r="O21" s="22" t="str">
        <f aca="false">IF($J21="","",IF(Dashboard!$H32=0,"",Dashboard!$I32/Dashboard!$H32))</f>
        <v/>
      </c>
      <c r="P21" s="23" t="n">
        <f aca="false">IF($J21="",-1,$L21*100+Dashboard!$P32*15+Dashboard!$Q32*5+IF(Dashboard!$H32&gt;0,(1-Dashboard!$I32/Dashboard!$H32)*40,0))</f>
        <v>-1</v>
      </c>
    </row>
    <row r="22" customFormat="false" ht="25.5" hidden="false" customHeight="true" outlineLevel="0" collapsed="false">
      <c r="A22" s="24"/>
      <c r="B22" s="24"/>
      <c r="C22" s="38" t="str">
        <f aca="false">IF($K$49="","Set a cadence and date on the Dashboard that has data behind it.","Fixing this one project moves the portfolio numbers further than anything else on the list.")</f>
        <v>Fixing this one project moves the portfolio numbers further than anything else on the list.</v>
      </c>
      <c r="D22" s="38"/>
      <c r="E22" s="38"/>
      <c r="F22" s="38"/>
      <c r="G22" s="38"/>
      <c r="H22" s="38"/>
      <c r="I22" s="24"/>
      <c r="J22" s="25" t="str">
        <f aca="false">IF(Dashboard!$B33="","",Dashboard!$B33)</f>
        <v/>
      </c>
      <c r="K22" s="26" t="str">
        <f aca="false">Dashboard!$S33</f>
        <v/>
      </c>
      <c r="L22" s="27" t="n">
        <f aca="false">IF($J22="",0,IF(AND(Dashboard!$D33&gt;0,Dashboard!$E33&gt;Dashboard!$D33),1,0))</f>
        <v>0</v>
      </c>
      <c r="M22" s="28" t="n">
        <f aca="false">IF($L22=1,Dashboard!$E33-Dashboard!$D33,0)</f>
        <v>0</v>
      </c>
      <c r="N22" s="27" t="n">
        <f aca="false">IF($J22="",0,IF(Dashboard!$N33&gt;0,1,0))</f>
        <v>0</v>
      </c>
      <c r="O22" s="29" t="str">
        <f aca="false">IF($J22="","",IF(Dashboard!$H33=0,"",Dashboard!$I33/Dashboard!$H33))</f>
        <v/>
      </c>
      <c r="P22" s="30" t="n">
        <f aca="false">IF($J22="",-1,$L22*100+Dashboard!$P33*15+Dashboard!$Q33*5+IF(Dashboard!$H33&gt;0,(1-Dashboard!$I33/Dashboard!$H33)*40,0))</f>
        <v>-1</v>
      </c>
    </row>
    <row r="23" customFormat="false" ht="30" hidden="false" customHeight="true" outlineLevel="0" collapsed="false">
      <c r="A23" s="3"/>
      <c r="B23" s="3"/>
      <c r="C23" s="39" t="str">
        <f aca="false">IF($K$49="","Decision: none until a valid reporting date is set.",IF($K$53="Red","Decision: decide this cycle whether to re-baseline "&amp;$K$49&amp;" or stop it. It is rated Red on the board's own thresholds.","Decision: hold "&amp;$K$49&amp;" at its current plan and re-check next cycle."))</f>
        <v>Decision: decide this cycle whether to re-baseline Regulatory Reporting Uplift or stop it. It is rated Red on the board's own thresholds.</v>
      </c>
      <c r="D23" s="39"/>
      <c r="E23" s="39"/>
      <c r="F23" s="39"/>
      <c r="G23" s="39"/>
      <c r="H23" s="39"/>
      <c r="I23" s="3"/>
      <c r="J23" s="18" t="str">
        <f aca="false">IF(Dashboard!$B34="","",Dashboard!$B34)</f>
        <v/>
      </c>
      <c r="K23" s="19" t="str">
        <f aca="false">Dashboard!$S34</f>
        <v/>
      </c>
      <c r="L23" s="20" t="n">
        <f aca="false">IF($J23="",0,IF(AND(Dashboard!$D34&gt;0,Dashboard!$E34&gt;Dashboard!$D34),1,0))</f>
        <v>0</v>
      </c>
      <c r="M23" s="21" t="n">
        <f aca="false">IF($L23=1,Dashboard!$E34-Dashboard!$D34,0)</f>
        <v>0</v>
      </c>
      <c r="N23" s="20" t="n">
        <f aca="false">IF($J23="",0,IF(Dashboard!$N34&gt;0,1,0))</f>
        <v>0</v>
      </c>
      <c r="O23" s="22" t="str">
        <f aca="false">IF($J23="","",IF(Dashboard!$H34=0,"",Dashboard!$I34/Dashboard!$H34))</f>
        <v/>
      </c>
      <c r="P23" s="23" t="n">
        <f aca="false">IF($J23="",-1,$L23*100+Dashboard!$P34*15+Dashboard!$Q34*5+IF(Dashboard!$H34&gt;0,(1-Dashboard!$I34/Dashboard!$H34)*40,0))</f>
        <v>-1</v>
      </c>
    </row>
    <row r="24" customFormat="false" ht="6.75" hidden="false" customHeight="true" outlineLevel="0" collapsed="false">
      <c r="A24" s="24"/>
      <c r="B24" s="24"/>
      <c r="C24" s="24"/>
      <c r="D24" s="24"/>
      <c r="E24" s="24"/>
      <c r="F24" s="24"/>
      <c r="G24" s="24"/>
      <c r="H24" s="24"/>
      <c r="I24" s="24"/>
      <c r="J24" s="25" t="str">
        <f aca="false">IF(Dashboard!$B35="","",Dashboard!$B35)</f>
        <v/>
      </c>
      <c r="K24" s="26" t="str">
        <f aca="false">Dashboard!$S35</f>
        <v/>
      </c>
      <c r="L24" s="27" t="n">
        <f aca="false">IF($J24="",0,IF(AND(Dashboard!$D35&gt;0,Dashboard!$E35&gt;Dashboard!$D35),1,0))</f>
        <v>0</v>
      </c>
      <c r="M24" s="28" t="n">
        <f aca="false">IF($L24=1,Dashboard!$E35-Dashboard!$D35,0)</f>
        <v>0</v>
      </c>
      <c r="N24" s="27" t="n">
        <f aca="false">IF($J24="",0,IF(Dashboard!$N35&gt;0,1,0))</f>
        <v>0</v>
      </c>
      <c r="O24" s="29" t="str">
        <f aca="false">IF($J24="","",IF(Dashboard!$H35=0,"",Dashboard!$I35/Dashboard!$H35))</f>
        <v/>
      </c>
      <c r="P24" s="30" t="n">
        <f aca="false">IF($J24="",-1,$L24*100+Dashboard!$P35*15+Dashboard!$Q35*5+IF(Dashboard!$H35&gt;0,(1-Dashboard!$I35/Dashboard!$H35)*40,0))</f>
        <v>-1</v>
      </c>
    </row>
    <row r="25" customFormat="false" ht="27.75" hidden="false" customHeight="true" outlineLevel="0" collapsed="false">
      <c r="A25" s="3"/>
      <c r="B25" s="36" t="str">
        <f aca="false">IF(AND($K$61&gt;0,$K$46&gt;0),"ACT NOW",IF($K$61&gt;0,"WATCH","OK"))</f>
        <v>ACT NOW</v>
      </c>
      <c r="C25" s="37" t="str">
        <f aca="false">"4.  "&amp;$K$61&amp;" change request"&amp;IF($K$61=1,"","s")&amp;" approved across "&amp;$K$48&amp;" project"&amp;IF($K$48=1,"","s")&amp;". TOR budget unchanged."</f>
        <v>4.  10 change requests approved across 5 projects. TOR budget unchanged.</v>
      </c>
      <c r="D25" s="37"/>
      <c r="E25" s="37"/>
      <c r="F25" s="37"/>
      <c r="G25" s="37"/>
      <c r="H25" s="37"/>
      <c r="I25" s="3"/>
      <c r="J25" s="18" t="str">
        <f aca="false">IF(Dashboard!$B36="","",Dashboard!$B36)</f>
        <v/>
      </c>
      <c r="K25" s="19" t="str">
        <f aca="false">Dashboard!$S36</f>
        <v/>
      </c>
      <c r="L25" s="20" t="n">
        <f aca="false">IF($J25="",0,IF(AND(Dashboard!$D36&gt;0,Dashboard!$E36&gt;Dashboard!$D36),1,0))</f>
        <v>0</v>
      </c>
      <c r="M25" s="21" t="n">
        <f aca="false">IF($L25=1,Dashboard!$E36-Dashboard!$D36,0)</f>
        <v>0</v>
      </c>
      <c r="N25" s="20" t="n">
        <f aca="false">IF($J25="",0,IF(Dashboard!$N36&gt;0,1,0))</f>
        <v>0</v>
      </c>
      <c r="O25" s="22" t="str">
        <f aca="false">IF($J25="","",IF(Dashboard!$H36=0,"",Dashboard!$I36/Dashboard!$H36))</f>
        <v/>
      </c>
      <c r="P25" s="23" t="n">
        <f aca="false">IF($J25="",-1,$L25*100+Dashboard!$P36*15+Dashboard!$Q36*5+IF(Dashboard!$H36&gt;0,(1-Dashboard!$I36/Dashboard!$H36)*40,0))</f>
        <v>-1</v>
      </c>
    </row>
    <row r="26" customFormat="false" ht="25.5" hidden="false" customHeight="true" outlineLevel="0" collapsed="false">
      <c r="A26" s="24"/>
      <c r="B26" s="24"/>
      <c r="C26" s="38" t="str">
        <f aca="false">IF($K$61=0,"Scope still matches what the TOR describes.","Scope has grown; the approved funding has not.")</f>
        <v>Scope has grown; the approved funding has not.</v>
      </c>
      <c r="D26" s="38"/>
      <c r="E26" s="38"/>
      <c r="F26" s="38"/>
      <c r="G26" s="38"/>
      <c r="H26" s="38"/>
      <c r="I26" s="24"/>
      <c r="J26" s="25" t="str">
        <f aca="false">IF(Dashboard!$B37="","",Dashboard!$B37)</f>
        <v/>
      </c>
      <c r="K26" s="26" t="str">
        <f aca="false">Dashboard!$S37</f>
        <v/>
      </c>
      <c r="L26" s="27" t="n">
        <f aca="false">IF($J26="",0,IF(AND(Dashboard!$D37&gt;0,Dashboard!$E37&gt;Dashboard!$D37),1,0))</f>
        <v>0</v>
      </c>
      <c r="M26" s="28" t="n">
        <f aca="false">IF($L26=1,Dashboard!$E37-Dashboard!$D37,0)</f>
        <v>0</v>
      </c>
      <c r="N26" s="27" t="n">
        <f aca="false">IF($J26="",0,IF(Dashboard!$N37&gt;0,1,0))</f>
        <v>0</v>
      </c>
      <c r="O26" s="29" t="str">
        <f aca="false">IF($J26="","",IF(Dashboard!$H37=0,"",Dashboard!$I37/Dashboard!$H37))</f>
        <v/>
      </c>
      <c r="P26" s="30" t="n">
        <f aca="false">IF($J26="",-1,$L26*100+Dashboard!$P37*15+Dashboard!$Q37*5+IF(Dashboard!$H37&gt;0,(1-Dashboard!$I37/Dashboard!$H37)*40,0))</f>
        <v>-1</v>
      </c>
    </row>
    <row r="27" customFormat="false" ht="30" hidden="false" customHeight="true" outlineLevel="0" collapsed="false">
      <c r="A27" s="3"/>
      <c r="B27" s="3"/>
      <c r="C27" s="39" t="str">
        <f aca="false">IF($K$61=0,"Decision: none. Keep change control tight - this is the state worth protecting.","Decision: ask finance whether the "&amp;$K$61&amp;" approved change"&amp;IF($K$61=1,"","s")&amp;" "&amp;IF($K$61=1,"was","were")&amp;" funded. If not, both the dates and the budget in the TOR are already stale.")</f>
        <v>Decision: ask finance whether the 10 approved changes were funded. If not, both the dates and the budget in the TOR are already stale.</v>
      </c>
      <c r="D27" s="39"/>
      <c r="E27" s="39"/>
      <c r="F27" s="39"/>
      <c r="G27" s="39"/>
      <c r="H27" s="39"/>
      <c r="I27" s="3"/>
      <c r="J27" s="18" t="str">
        <f aca="false">IF(Dashboard!$B38="","",Dashboard!$B38)</f>
        <v/>
      </c>
      <c r="K27" s="19" t="str">
        <f aca="false">Dashboard!$S38</f>
        <v/>
      </c>
      <c r="L27" s="20" t="n">
        <f aca="false">IF($J27="",0,IF(AND(Dashboard!$D38&gt;0,Dashboard!$E38&gt;Dashboard!$D38),1,0))</f>
        <v>0</v>
      </c>
      <c r="M27" s="21" t="n">
        <f aca="false">IF($L27=1,Dashboard!$E38-Dashboard!$D38,0)</f>
        <v>0</v>
      </c>
      <c r="N27" s="20" t="n">
        <f aca="false">IF($J27="",0,IF(Dashboard!$N38&gt;0,1,0))</f>
        <v>0</v>
      </c>
      <c r="O27" s="22" t="str">
        <f aca="false">IF($J27="","",IF(Dashboard!$H38=0,"",Dashboard!$I38/Dashboard!$H38))</f>
        <v/>
      </c>
      <c r="P27" s="23" t="n">
        <f aca="false">IF($J27="",-1,$L27*100+Dashboard!$P38*15+Dashboard!$Q38*5+IF(Dashboard!$H38&gt;0,(1-Dashboard!$I38/Dashboard!$H38)*40,0))</f>
        <v>-1</v>
      </c>
    </row>
    <row r="28" customFormat="false" ht="6.75" hidden="false" customHeight="true" outlineLevel="0" collapsed="false">
      <c r="A28" s="24"/>
      <c r="B28" s="24"/>
      <c r="C28" s="24"/>
      <c r="D28" s="24"/>
      <c r="E28" s="24"/>
      <c r="F28" s="24"/>
      <c r="G28" s="24"/>
      <c r="H28" s="24"/>
      <c r="I28" s="24"/>
      <c r="J28" s="25" t="str">
        <f aca="false">IF(Dashboard!$B39="","",Dashboard!$B39)</f>
        <v/>
      </c>
      <c r="K28" s="26" t="str">
        <f aca="false">Dashboard!$S39</f>
        <v/>
      </c>
      <c r="L28" s="27" t="n">
        <f aca="false">IF($J28="",0,IF(AND(Dashboard!$D39&gt;0,Dashboard!$E39&gt;Dashboard!$D39),1,0))</f>
        <v>0</v>
      </c>
      <c r="M28" s="28" t="n">
        <f aca="false">IF($L28=1,Dashboard!$E39-Dashboard!$D39,0)</f>
        <v>0</v>
      </c>
      <c r="N28" s="27" t="n">
        <f aca="false">IF($J28="",0,IF(Dashboard!$N39&gt;0,1,0))</f>
        <v>0</v>
      </c>
      <c r="O28" s="29" t="str">
        <f aca="false">IF($J28="","",IF(Dashboard!$H39=0,"",Dashboard!$I39/Dashboard!$H39))</f>
        <v/>
      </c>
      <c r="P28" s="30" t="n">
        <f aca="false">IF($J28="",-1,$L28*100+Dashboard!$P39*15+Dashboard!$Q39*5+IF(Dashboard!$H39&gt;0,(1-Dashboard!$I39/Dashboard!$H39)*40,0))</f>
        <v>-1</v>
      </c>
    </row>
    <row r="29" customFormat="false" ht="27.75" hidden="false" customHeight="true" outlineLevel="0" collapsed="false">
      <c r="A29" s="3"/>
      <c r="B29" s="36" t="str">
        <f aca="false">IF(OR(Dashboard!$K$11&gt;0,Dashboard!$I$11&gt;=Dashboard!$C$11),"ACT NOW",IF(Dashboard!$I$11&gt;0,"WATCH","OK"))</f>
        <v>ACT NOW</v>
      </c>
      <c r="C29" s="37" t="str">
        <f aca="false">"5.  "&amp;Dashboard!$K$11&amp;" deliverable"&amp;IF(Dashboard!$K$11=1,"","s")&amp;" with no accountable owner. "&amp;Dashboard!$I$11&amp;" high-severity risk"&amp;IF(Dashboard!$I$11=1,"","s")&amp;" open."</f>
        <v>5.  7 deliverables with no accountable owner. 4 high-severity risks open.</v>
      </c>
      <c r="D29" s="37"/>
      <c r="E29" s="37"/>
      <c r="F29" s="37"/>
      <c r="G29" s="37"/>
      <c r="H29" s="37"/>
      <c r="I29" s="3"/>
      <c r="J29" s="18" t="str">
        <f aca="false">IF(Dashboard!$B40="","",Dashboard!$B40)</f>
        <v/>
      </c>
      <c r="K29" s="19" t="str">
        <f aca="false">Dashboard!$S40</f>
        <v/>
      </c>
      <c r="L29" s="20" t="n">
        <f aca="false">IF($J29="",0,IF(AND(Dashboard!$D40&gt;0,Dashboard!$E40&gt;Dashboard!$D40),1,0))</f>
        <v>0</v>
      </c>
      <c r="M29" s="21" t="n">
        <f aca="false">IF($L29=1,Dashboard!$E40-Dashboard!$D40,0)</f>
        <v>0</v>
      </c>
      <c r="N29" s="20" t="n">
        <f aca="false">IF($J29="",0,IF(Dashboard!$N40&gt;0,1,0))</f>
        <v>0</v>
      </c>
      <c r="O29" s="22" t="str">
        <f aca="false">IF($J29="","",IF(Dashboard!$H40=0,"",Dashboard!$I40/Dashboard!$H40))</f>
        <v/>
      </c>
      <c r="P29" s="23" t="n">
        <f aca="false">IF($J29="",-1,$L29*100+Dashboard!$P40*15+Dashboard!$Q40*5+IF(Dashboard!$H40&gt;0,(1-Dashboard!$I40/Dashboard!$H40)*40,0))</f>
        <v>-1</v>
      </c>
    </row>
    <row r="30" customFormat="false" ht="25.5" hidden="false" customHeight="true" outlineLevel="0" collapsed="false">
      <c r="A30" s="24"/>
      <c r="B30" s="24"/>
      <c r="C30" s="38" t="str">
        <f aca="false">IF(Dashboard!$K$11=0,"Every deliverable has a named owner; "&amp;Dashboard!$G$11&amp;" open risk"&amp;IF(Dashboard!$G$11=1,"","s")&amp;" remain on the register.","When those "&amp;Dashboard!$K$11&amp;" slip, there is nobody to ask.")</f>
        <v>When those 7 slip, there is nobody to ask.</v>
      </c>
      <c r="D30" s="38"/>
      <c r="E30" s="38"/>
      <c r="F30" s="38"/>
      <c r="G30" s="38"/>
      <c r="H30" s="38"/>
      <c r="I30" s="24"/>
      <c r="J30" s="25" t="str">
        <f aca="false">IF(Dashboard!$B41="","",Dashboard!$B41)</f>
        <v/>
      </c>
      <c r="K30" s="26" t="str">
        <f aca="false">Dashboard!$S41</f>
        <v/>
      </c>
      <c r="L30" s="27" t="n">
        <f aca="false">IF($J30="",0,IF(AND(Dashboard!$D41&gt;0,Dashboard!$E41&gt;Dashboard!$D41),1,0))</f>
        <v>0</v>
      </c>
      <c r="M30" s="28" t="n">
        <f aca="false">IF($L30=1,Dashboard!$E41-Dashboard!$D41,0)</f>
        <v>0</v>
      </c>
      <c r="N30" s="27" t="n">
        <f aca="false">IF($J30="",0,IF(Dashboard!$N41&gt;0,1,0))</f>
        <v>0</v>
      </c>
      <c r="O30" s="29" t="str">
        <f aca="false">IF($J30="","",IF(Dashboard!$H41=0,"",Dashboard!$I41/Dashboard!$H41))</f>
        <v/>
      </c>
      <c r="P30" s="30" t="n">
        <f aca="false">IF($J30="",-1,$L30*100+Dashboard!$P41*15+Dashboard!$Q41*5+IF(Dashboard!$H41&gt;0,(1-Dashboard!$I41/Dashboard!$H41)*40,0))</f>
        <v>-1</v>
      </c>
    </row>
    <row r="31" customFormat="false" ht="30" hidden="false" customHeight="true" outlineLevel="0" collapsed="false">
      <c r="A31" s="3"/>
      <c r="B31" s="3"/>
      <c r="C31" s="39" t="str">
        <f aca="false">IF(Dashboard!$K$11=0,"Decision: none. Keep ownership named as new deliverables are added.","Decision: put a name against each of the "&amp;Dashboard!$K$11&amp;" at the next steering meeting. It is free to fix and expensive to leave.")</f>
        <v>Decision: put a name against each of the 7 at the next steering meeting. It is free to fix and expensive to leave.</v>
      </c>
      <c r="D31" s="39"/>
      <c r="E31" s="39"/>
      <c r="F31" s="39"/>
      <c r="G31" s="39"/>
      <c r="H31" s="39"/>
      <c r="I31" s="3"/>
      <c r="J31" s="18" t="str">
        <f aca="false">IF(Dashboard!$B42="","",Dashboard!$B42)</f>
        <v/>
      </c>
      <c r="K31" s="19" t="str">
        <f aca="false">Dashboard!$S42</f>
        <v/>
      </c>
      <c r="L31" s="20" t="n">
        <f aca="false">IF($J31="",0,IF(AND(Dashboard!$D42&gt;0,Dashboard!$E42&gt;Dashboard!$D42),1,0))</f>
        <v>0</v>
      </c>
      <c r="M31" s="21" t="n">
        <f aca="false">IF($L31=1,Dashboard!$E42-Dashboard!$D42,0)</f>
        <v>0</v>
      </c>
      <c r="N31" s="20" t="n">
        <f aca="false">IF($J31="",0,IF(Dashboard!$N42&gt;0,1,0))</f>
        <v>0</v>
      </c>
      <c r="O31" s="22" t="str">
        <f aca="false">IF($J31="","",IF(Dashboard!$H42=0,"",Dashboard!$I42/Dashboard!$H42))</f>
        <v/>
      </c>
      <c r="P31" s="23" t="n">
        <f aca="false">IF($J31="",-1,$L31*100+Dashboard!$P42*15+Dashboard!$Q42*5+IF(Dashboard!$H42&gt;0,(1-Dashboard!$I42/Dashboard!$H42)*40,0))</f>
        <v>-1</v>
      </c>
    </row>
    <row r="32" customFormat="false" ht="6.75" hidden="false" customHeight="true" outlineLevel="0" collapsed="false">
      <c r="A32" s="24"/>
      <c r="B32" s="24"/>
      <c r="C32" s="24"/>
      <c r="D32" s="24"/>
      <c r="E32" s="24"/>
      <c r="F32" s="24"/>
      <c r="G32" s="24"/>
      <c r="H32" s="24"/>
      <c r="I32" s="24"/>
      <c r="J32" s="25" t="str">
        <f aca="false">IF(Dashboard!$B43="","",Dashboard!$B43)</f>
        <v/>
      </c>
      <c r="K32" s="26" t="str">
        <f aca="false">Dashboard!$S43</f>
        <v/>
      </c>
      <c r="L32" s="27" t="n">
        <f aca="false">IF($J32="",0,IF(AND(Dashboard!$D43&gt;0,Dashboard!$E43&gt;Dashboard!$D43),1,0))</f>
        <v>0</v>
      </c>
      <c r="M32" s="28" t="n">
        <f aca="false">IF($L32=1,Dashboard!$E43-Dashboard!$D43,0)</f>
        <v>0</v>
      </c>
      <c r="N32" s="27" t="n">
        <f aca="false">IF($J32="",0,IF(Dashboard!$N43&gt;0,1,0))</f>
        <v>0</v>
      </c>
      <c r="O32" s="29" t="str">
        <f aca="false">IF($J32="","",IF(Dashboard!$H43=0,"",Dashboard!$I43/Dashboard!$H43))</f>
        <v/>
      </c>
      <c r="P32" s="30" t="n">
        <f aca="false">IF($J32="",-1,$L32*100+Dashboard!$P43*15+Dashboard!$Q43*5+IF(Dashboard!$H43&gt;0,(1-Dashboard!$I43/Dashboard!$H43)*40,0))</f>
        <v>-1</v>
      </c>
    </row>
    <row r="33" customFormat="false" ht="15" hidden="false" customHeight="false" outlineLevel="0" collapsed="false">
      <c r="A33" s="3"/>
      <c r="B33" s="3"/>
      <c r="C33" s="3"/>
      <c r="D33" s="3"/>
      <c r="E33" s="3"/>
      <c r="F33" s="3"/>
      <c r="G33" s="3"/>
      <c r="H33" s="3"/>
      <c r="I33" s="3"/>
      <c r="J33" s="18" t="str">
        <f aca="false">IF(Dashboard!$B44="","",Dashboard!$B44)</f>
        <v/>
      </c>
      <c r="K33" s="19" t="str">
        <f aca="false">Dashboard!$S44</f>
        <v/>
      </c>
      <c r="L33" s="20" t="n">
        <f aca="false">IF($J33="",0,IF(AND(Dashboard!$D44&gt;0,Dashboard!$E44&gt;Dashboard!$D44),1,0))</f>
        <v>0</v>
      </c>
      <c r="M33" s="21" t="n">
        <f aca="false">IF($L33=1,Dashboard!$E44-Dashboard!$D44,0)</f>
        <v>0</v>
      </c>
      <c r="N33" s="20" t="n">
        <f aca="false">IF($J33="",0,IF(Dashboard!$N44&gt;0,1,0))</f>
        <v>0</v>
      </c>
      <c r="O33" s="22" t="str">
        <f aca="false">IF($J33="","",IF(Dashboard!$H44=0,"",Dashboard!$I44/Dashboard!$H44))</f>
        <v/>
      </c>
      <c r="P33" s="23" t="n">
        <f aca="false">IF($J33="",-1,$L33*100+Dashboard!$P44*15+Dashboard!$Q44*5+IF(Dashboard!$H44&gt;0,(1-Dashboard!$I44/Dashboard!$H44)*40,0))</f>
        <v>-1</v>
      </c>
    </row>
    <row r="34" customFormat="false" ht="15" hidden="false" customHeight="true" outlineLevel="0" collapsed="false">
      <c r="A34" s="24"/>
      <c r="B34" s="24"/>
      <c r="C34" s="40" t="s">
        <v>103</v>
      </c>
      <c r="D34" s="40"/>
      <c r="E34" s="40"/>
      <c r="F34" s="40"/>
      <c r="G34" s="40"/>
      <c r="H34" s="40"/>
      <c r="I34" s="24"/>
      <c r="J34" s="25" t="str">
        <f aca="false">IF(Dashboard!$B45="","",Dashboard!$B45)</f>
        <v/>
      </c>
      <c r="K34" s="26" t="str">
        <f aca="false">Dashboard!$S45</f>
        <v/>
      </c>
      <c r="L34" s="27" t="n">
        <f aca="false">IF($J34="",0,IF(AND(Dashboard!$D45&gt;0,Dashboard!$E45&gt;Dashboard!$D45),1,0))</f>
        <v>0</v>
      </c>
      <c r="M34" s="28" t="n">
        <f aca="false">IF($L34=1,Dashboard!$E45-Dashboard!$D45,0)</f>
        <v>0</v>
      </c>
      <c r="N34" s="27" t="n">
        <f aca="false">IF($J34="",0,IF(Dashboard!$N45&gt;0,1,0))</f>
        <v>0</v>
      </c>
      <c r="O34" s="29" t="str">
        <f aca="false">IF($J34="","",IF(Dashboard!$H45=0,"",Dashboard!$I45/Dashboard!$H45))</f>
        <v/>
      </c>
      <c r="P34" s="30" t="n">
        <f aca="false">IF($J34="",-1,$L34*100+Dashboard!$P45*15+Dashboard!$Q45*5+IF(Dashboard!$H45&gt;0,(1-Dashboard!$I45/Dashboard!$H45)*40,0))</f>
        <v>-1</v>
      </c>
    </row>
    <row r="35" customFormat="false" ht="15" hidden="false" customHeight="false" outlineLevel="0" collapsed="false">
      <c r="A35" s="3"/>
      <c r="B35" s="3"/>
      <c r="C35" s="40"/>
      <c r="D35" s="40"/>
      <c r="E35" s="40"/>
      <c r="F35" s="40"/>
      <c r="G35" s="40"/>
      <c r="H35" s="40"/>
      <c r="I35" s="3"/>
      <c r="J35" s="18" t="str">
        <f aca="false">IF(Dashboard!$B46="","",Dashboard!$B46)</f>
        <v/>
      </c>
      <c r="K35" s="19" t="str">
        <f aca="false">Dashboard!$S46</f>
        <v/>
      </c>
      <c r="L35" s="20" t="n">
        <f aca="false">IF($J35="",0,IF(AND(Dashboard!$D46&gt;0,Dashboard!$E46&gt;Dashboard!$D46),1,0))</f>
        <v>0</v>
      </c>
      <c r="M35" s="21" t="n">
        <f aca="false">IF($L35=1,Dashboard!$E46-Dashboard!$D46,0)</f>
        <v>0</v>
      </c>
      <c r="N35" s="20" t="n">
        <f aca="false">IF($J35="",0,IF(Dashboard!$N46&gt;0,1,0))</f>
        <v>0</v>
      </c>
      <c r="O35" s="22" t="str">
        <f aca="false">IF($J35="","",IF(Dashboard!$H46=0,"",Dashboard!$I46/Dashboard!$H46))</f>
        <v/>
      </c>
      <c r="P35" s="23" t="n">
        <f aca="false">IF($J35="",-1,$L35*100+Dashboard!$P46*15+Dashboard!$Q46*5+IF(Dashboard!$H46&gt;0,(1-Dashboard!$I46/Dashboard!$H46)*40,0))</f>
        <v>-1</v>
      </c>
    </row>
    <row r="36" customFormat="false" ht="15" hidden="false" customHeight="false" outlineLevel="0" collapsed="false">
      <c r="A36" s="24"/>
      <c r="B36" s="24"/>
      <c r="C36" s="24"/>
      <c r="D36" s="24"/>
      <c r="E36" s="24"/>
      <c r="F36" s="24"/>
      <c r="G36" s="24"/>
      <c r="H36" s="24"/>
      <c r="I36" s="24"/>
      <c r="J36" s="25" t="str">
        <f aca="false">IF(Dashboard!$B47="","",Dashboard!$B47)</f>
        <v/>
      </c>
      <c r="K36" s="26" t="str">
        <f aca="false">Dashboard!$S47</f>
        <v/>
      </c>
      <c r="L36" s="27" t="n">
        <f aca="false">IF($J36="",0,IF(AND(Dashboard!$D47&gt;0,Dashboard!$E47&gt;Dashboard!$D47),1,0))</f>
        <v>0</v>
      </c>
      <c r="M36" s="28" t="n">
        <f aca="false">IF($L36=1,Dashboard!$E47-Dashboard!$D47,0)</f>
        <v>0</v>
      </c>
      <c r="N36" s="27" t="n">
        <f aca="false">IF($J36="",0,IF(Dashboard!$N47&gt;0,1,0))</f>
        <v>0</v>
      </c>
      <c r="O36" s="29" t="str">
        <f aca="false">IF($J36="","",IF(Dashboard!$H47=0,"",Dashboard!$I47/Dashboard!$H47))</f>
        <v/>
      </c>
      <c r="P36" s="30" t="n">
        <f aca="false">IF($J36="",-1,$L36*100+Dashboard!$P47*15+Dashboard!$Q47*5+IF(Dashboard!$H47&gt;0,(1-Dashboard!$I47/Dashboard!$H47)*40,0))</f>
        <v>-1</v>
      </c>
    </row>
    <row r="37" customFormat="false" ht="15" hidden="false" customHeight="false" outlineLevel="0" collapsed="false">
      <c r="A37" s="3"/>
      <c r="B37" s="3"/>
      <c r="C37" s="3"/>
      <c r="D37" s="3"/>
      <c r="E37" s="3"/>
      <c r="F37" s="3"/>
      <c r="G37" s="3"/>
      <c r="H37" s="3"/>
      <c r="I37" s="3"/>
      <c r="J37" s="18" t="str">
        <f aca="false">IF(Dashboard!$B48="","",Dashboard!$B48)</f>
        <v/>
      </c>
      <c r="K37" s="19" t="str">
        <f aca="false">Dashboard!$S48</f>
        <v/>
      </c>
      <c r="L37" s="20" t="n">
        <f aca="false">IF($J37="",0,IF(AND(Dashboard!$D48&gt;0,Dashboard!$E48&gt;Dashboard!$D48),1,0))</f>
        <v>0</v>
      </c>
      <c r="M37" s="21" t="n">
        <f aca="false">IF($L37=1,Dashboard!$E48-Dashboard!$D48,0)</f>
        <v>0</v>
      </c>
      <c r="N37" s="20" t="n">
        <f aca="false">IF($J37="",0,IF(Dashboard!$N48&gt;0,1,0))</f>
        <v>0</v>
      </c>
      <c r="O37" s="22" t="str">
        <f aca="false">IF($J37="","",IF(Dashboard!$H48=0,"",Dashboard!$I48/Dashboard!$H48))</f>
        <v/>
      </c>
      <c r="P37" s="23" t="n">
        <f aca="false">IF($J37="",-1,$L37*100+Dashboard!$P48*15+Dashboard!$Q48*5+IF(Dashboard!$H48&gt;0,(1-Dashboard!$I48/Dashboard!$H48)*40,0))</f>
        <v>-1</v>
      </c>
    </row>
    <row r="38" customFormat="false" ht="15" hidden="false" customHeight="false" outlineLevel="0" collapsed="false">
      <c r="A38" s="24"/>
      <c r="B38" s="24"/>
      <c r="C38" s="24"/>
      <c r="D38" s="24"/>
      <c r="E38" s="24"/>
      <c r="F38" s="24"/>
      <c r="G38" s="24"/>
      <c r="H38" s="24"/>
      <c r="I38" s="24"/>
      <c r="J38" s="25" t="str">
        <f aca="false">IF(Dashboard!$B49="","",Dashboard!$B49)</f>
        <v/>
      </c>
      <c r="K38" s="26" t="str">
        <f aca="false">Dashboard!$S49</f>
        <v/>
      </c>
      <c r="L38" s="27" t="n">
        <f aca="false">IF($J38="",0,IF(AND(Dashboard!$D49&gt;0,Dashboard!$E49&gt;Dashboard!$D49),1,0))</f>
        <v>0</v>
      </c>
      <c r="M38" s="28" t="n">
        <f aca="false">IF($L38=1,Dashboard!$E49-Dashboard!$D49,0)</f>
        <v>0</v>
      </c>
      <c r="N38" s="27" t="n">
        <f aca="false">IF($J38="",0,IF(Dashboard!$N49&gt;0,1,0))</f>
        <v>0</v>
      </c>
      <c r="O38" s="29" t="str">
        <f aca="false">IF($J38="","",IF(Dashboard!$H49=0,"",Dashboard!$I49/Dashboard!$H49))</f>
        <v/>
      </c>
      <c r="P38" s="30" t="n">
        <f aca="false">IF($J38="",-1,$L38*100+Dashboard!$P49*15+Dashboard!$Q49*5+IF(Dashboard!$H49&gt;0,(1-Dashboard!$I49/Dashboard!$H49)*40,0))</f>
        <v>-1</v>
      </c>
    </row>
    <row r="39" customFormat="false" ht="15" hidden="false" customHeight="false" outlineLevel="0" collapsed="false">
      <c r="A39" s="3"/>
      <c r="B39" s="3"/>
      <c r="C39" s="3"/>
      <c r="D39" s="3"/>
      <c r="E39" s="3"/>
      <c r="F39" s="3"/>
      <c r="G39" s="3"/>
      <c r="H39" s="3"/>
      <c r="I39" s="3"/>
      <c r="J39" s="18" t="str">
        <f aca="false">IF(Dashboard!$B50="","",Dashboard!$B50)</f>
        <v/>
      </c>
      <c r="K39" s="19" t="str">
        <f aca="false">Dashboard!$S50</f>
        <v/>
      </c>
      <c r="L39" s="20" t="n">
        <f aca="false">IF($J39="",0,IF(AND(Dashboard!$D50&gt;0,Dashboard!$E50&gt;Dashboard!$D50),1,0))</f>
        <v>0</v>
      </c>
      <c r="M39" s="21" t="n">
        <f aca="false">IF($L39=1,Dashboard!$E50-Dashboard!$D50,0)</f>
        <v>0</v>
      </c>
      <c r="N39" s="20" t="n">
        <f aca="false">IF($J39="",0,IF(Dashboard!$N50&gt;0,1,0))</f>
        <v>0</v>
      </c>
      <c r="O39" s="22" t="str">
        <f aca="false">IF($J39="","",IF(Dashboard!$H50=0,"",Dashboard!$I50/Dashboard!$H50))</f>
        <v/>
      </c>
      <c r="P39" s="23" t="n">
        <f aca="false">IF($J39="",-1,$L39*100+Dashboard!$P50*15+Dashboard!$Q50*5+IF(Dashboard!$H50&gt;0,(1-Dashboard!$I50/Dashboard!$H50)*40,0))</f>
        <v>-1</v>
      </c>
    </row>
    <row r="40" customFormat="false" ht="15" hidden="false" customHeight="false" outlineLevel="0" collapsed="false">
      <c r="A40" s="24"/>
      <c r="B40" s="24"/>
      <c r="C40" s="24"/>
      <c r="D40" s="24"/>
      <c r="E40" s="24"/>
      <c r="F40" s="24"/>
      <c r="G40" s="24"/>
      <c r="H40" s="24"/>
      <c r="I40" s="24"/>
      <c r="J40" s="25" t="str">
        <f aca="false">IF(Dashboard!$B51="","",Dashboard!$B51)</f>
        <v/>
      </c>
      <c r="K40" s="26" t="str">
        <f aca="false">Dashboard!$S51</f>
        <v/>
      </c>
      <c r="L40" s="27" t="n">
        <f aca="false">IF($J40="",0,IF(AND(Dashboard!$D51&gt;0,Dashboard!$E51&gt;Dashboard!$D51),1,0))</f>
        <v>0</v>
      </c>
      <c r="M40" s="28" t="n">
        <f aca="false">IF($L40=1,Dashboard!$E51-Dashboard!$D51,0)</f>
        <v>0</v>
      </c>
      <c r="N40" s="27" t="n">
        <f aca="false">IF($J40="",0,IF(Dashboard!$N51&gt;0,1,0))</f>
        <v>0</v>
      </c>
      <c r="O40" s="29" t="str">
        <f aca="false">IF($J40="","",IF(Dashboard!$H51=0,"",Dashboard!$I51/Dashboard!$H51))</f>
        <v/>
      </c>
      <c r="P40" s="30" t="n">
        <f aca="false">IF($J40="",-1,$L40*100+Dashboard!$P51*15+Dashboard!$Q51*5+IF(Dashboard!$H51&gt;0,(1-Dashboard!$I51/Dashboard!$H51)*40,0))</f>
        <v>-1</v>
      </c>
    </row>
    <row r="41" customFormat="false" ht="15" hidden="false" customHeight="false" outlineLevel="0" collapsed="false">
      <c r="A41" s="3"/>
      <c r="B41" s="3"/>
      <c r="C41" s="3"/>
      <c r="D41" s="3"/>
      <c r="E41" s="3"/>
      <c r="F41" s="3"/>
      <c r="G41" s="3"/>
      <c r="H41" s="3"/>
      <c r="I41" s="3"/>
      <c r="J41" s="18" t="str">
        <f aca="false">IF(Dashboard!$B52="","",Dashboard!$B52)</f>
        <v/>
      </c>
      <c r="K41" s="19" t="str">
        <f aca="false">Dashboard!$S52</f>
        <v/>
      </c>
      <c r="L41" s="20" t="n">
        <f aca="false">IF($J41="",0,IF(AND(Dashboard!$D52&gt;0,Dashboard!$E52&gt;Dashboard!$D52),1,0))</f>
        <v>0</v>
      </c>
      <c r="M41" s="21" t="n">
        <f aca="false">IF($L41=1,Dashboard!$E52-Dashboard!$D52,0)</f>
        <v>0</v>
      </c>
      <c r="N41" s="20" t="n">
        <f aca="false">IF($J41="",0,IF(Dashboard!$N52&gt;0,1,0))</f>
        <v>0</v>
      </c>
      <c r="O41" s="22" t="str">
        <f aca="false">IF($J41="","",IF(Dashboard!$H52=0,"",Dashboard!$I52/Dashboard!$H52))</f>
        <v/>
      </c>
      <c r="P41" s="23" t="n">
        <f aca="false">IF($J41="",-1,$L41*100+Dashboard!$P52*15+Dashboard!$Q52*5+IF(Dashboard!$H52&gt;0,(1-Dashboard!$I52/Dashboard!$H52)*40,0))</f>
        <v>-1</v>
      </c>
    </row>
    <row r="42" customFormat="false" ht="15" hidden="false" customHeight="false" outlineLevel="0" collapsed="false">
      <c r="A42" s="24"/>
      <c r="B42" s="24"/>
      <c r="C42" s="24"/>
      <c r="D42" s="24"/>
      <c r="E42" s="24"/>
      <c r="F42" s="24"/>
      <c r="G42" s="24"/>
      <c r="H42" s="24"/>
      <c r="I42" s="24"/>
      <c r="J42" s="25" t="str">
        <f aca="false">IF(Dashboard!$B53="","",Dashboard!$B53)</f>
        <v/>
      </c>
      <c r="K42" s="26" t="str">
        <f aca="false">Dashboard!$S53</f>
        <v/>
      </c>
      <c r="L42" s="27" t="n">
        <f aca="false">IF($J42="",0,IF(AND(Dashboard!$D53&gt;0,Dashboard!$E53&gt;Dashboard!$D53),1,0))</f>
        <v>0</v>
      </c>
      <c r="M42" s="28" t="n">
        <f aca="false">IF($L42=1,Dashboard!$E53-Dashboard!$D53,0)</f>
        <v>0</v>
      </c>
      <c r="N42" s="27" t="n">
        <f aca="false">IF($J42="",0,IF(Dashboard!$N53&gt;0,1,0))</f>
        <v>0</v>
      </c>
      <c r="O42" s="29" t="str">
        <f aca="false">IF($J42="","",IF(Dashboard!$H53=0,"",Dashboard!$I53/Dashboard!$H53))</f>
        <v/>
      </c>
      <c r="P42" s="30" t="n">
        <f aca="false">IF($J42="",-1,$L42*100+Dashboard!$P53*15+Dashboard!$Q53*5+IF(Dashboard!$H53&gt;0,(1-Dashboard!$I53/Dashboard!$H53)*40,0))</f>
        <v>-1</v>
      </c>
    </row>
    <row r="43" customFormat="false" ht="15" hidden="false" customHeight="false" outlineLevel="0" collapsed="false">
      <c r="A43" s="3"/>
      <c r="B43" s="3"/>
      <c r="C43" s="3"/>
      <c r="D43" s="3"/>
      <c r="E43" s="3"/>
      <c r="F43" s="3"/>
      <c r="G43" s="3"/>
      <c r="H43" s="3"/>
      <c r="I43" s="3"/>
      <c r="J43" s="18" t="str">
        <f aca="false">IF(Dashboard!$B54="","",Dashboard!$B54)</f>
        <v/>
      </c>
      <c r="K43" s="19" t="str">
        <f aca="false">Dashboard!$S54</f>
        <v/>
      </c>
      <c r="L43" s="20" t="n">
        <f aca="false">IF($J43="",0,IF(AND(Dashboard!$D54&gt;0,Dashboard!$E54&gt;Dashboard!$D54),1,0))</f>
        <v>0</v>
      </c>
      <c r="M43" s="21" t="n">
        <f aca="false">IF($L43=1,Dashboard!$E54-Dashboard!$D54,0)</f>
        <v>0</v>
      </c>
      <c r="N43" s="20" t="n">
        <f aca="false">IF($J43="",0,IF(Dashboard!$N54&gt;0,1,0))</f>
        <v>0</v>
      </c>
      <c r="O43" s="22" t="str">
        <f aca="false">IF($J43="","",IF(Dashboard!$H54=0,"",Dashboard!$I54/Dashboard!$H54))</f>
        <v/>
      </c>
      <c r="P43" s="23" t="n">
        <f aca="false">IF($J43="",-1,$L43*100+Dashboard!$P54*15+Dashboard!$Q54*5+IF(Dashboard!$H54&gt;0,(1-Dashboard!$I54/Dashboard!$H54)*40,0))</f>
        <v>-1</v>
      </c>
    </row>
    <row r="44" customFormat="false" ht="15" hidden="false" customHeight="false" outlineLevel="0" collapsed="false">
      <c r="A44" s="24"/>
      <c r="B44" s="24"/>
      <c r="C44" s="24"/>
      <c r="D44" s="24"/>
      <c r="E44" s="24"/>
      <c r="F44" s="24"/>
      <c r="G44" s="24"/>
      <c r="H44" s="24"/>
      <c r="I44" s="24"/>
      <c r="J44" s="25" t="str">
        <f aca="false">IF(Dashboard!$B55="","",Dashboard!$B55)</f>
        <v/>
      </c>
      <c r="K44" s="26" t="str">
        <f aca="false">Dashboard!$S55</f>
        <v/>
      </c>
      <c r="L44" s="27" t="n">
        <f aca="false">IF($J44="",0,IF(AND(Dashboard!$D55&gt;0,Dashboard!$E55&gt;Dashboard!$D55),1,0))</f>
        <v>0</v>
      </c>
      <c r="M44" s="28" t="n">
        <f aca="false">IF($L44=1,Dashboard!$E55-Dashboard!$D55,0)</f>
        <v>0</v>
      </c>
      <c r="N44" s="27" t="n">
        <f aca="false">IF($J44="",0,IF(Dashboard!$N55&gt;0,1,0))</f>
        <v>0</v>
      </c>
      <c r="O44" s="29" t="str">
        <f aca="false">IF($J44="","",IF(Dashboard!$H55=0,"",Dashboard!$I55/Dashboard!$H55))</f>
        <v/>
      </c>
      <c r="P44" s="30" t="n">
        <f aca="false">IF($J44="",-1,$L44*100+Dashboard!$P55*15+Dashboard!$Q55*5+IF(Dashboard!$H55&gt;0,(1-Dashboard!$I55/Dashboard!$H55)*40,0))</f>
        <v>-1</v>
      </c>
    </row>
    <row r="45" customFormat="false" ht="15" hidden="false" customHeight="false" outlineLevel="0" collapsed="false">
      <c r="A45" s="3"/>
      <c r="B45" s="3"/>
      <c r="C45" s="3"/>
      <c r="D45" s="3"/>
      <c r="E45" s="3"/>
      <c r="F45" s="3"/>
      <c r="G45" s="3"/>
      <c r="H45" s="3"/>
      <c r="I45" s="3"/>
      <c r="J45" s="3"/>
      <c r="K45" s="3"/>
      <c r="L45" s="3"/>
      <c r="M45" s="3"/>
      <c r="N45" s="3"/>
      <c r="O45" s="3"/>
      <c r="P45" s="3"/>
    </row>
    <row r="46" customFormat="false" ht="15" hidden="false" customHeight="false" outlineLevel="0" collapsed="false">
      <c r="A46" s="3"/>
      <c r="B46" s="3"/>
      <c r="C46" s="3"/>
      <c r="D46" s="3"/>
      <c r="E46" s="3"/>
      <c r="F46" s="3"/>
      <c r="G46" s="3"/>
      <c r="H46" s="3"/>
      <c r="I46" s="3"/>
      <c r="J46" s="41" t="s">
        <v>104</v>
      </c>
      <c r="K46" s="20" t="n">
        <f aca="false">SUM($L$5:$L$44)</f>
        <v>1</v>
      </c>
      <c r="L46" s="3"/>
      <c r="M46" s="3"/>
      <c r="N46" s="3"/>
      <c r="O46" s="3"/>
      <c r="P46" s="3"/>
    </row>
    <row r="47" customFormat="false" ht="15" hidden="false" customHeight="false" outlineLevel="0" collapsed="false">
      <c r="A47" s="3"/>
      <c r="B47" s="3"/>
      <c r="C47" s="3"/>
      <c r="D47" s="3"/>
      <c r="E47" s="3"/>
      <c r="F47" s="3"/>
      <c r="G47" s="3"/>
      <c r="H47" s="3"/>
      <c r="I47" s="3"/>
      <c r="J47" s="41" t="s">
        <v>105</v>
      </c>
      <c r="K47" s="42" t="n">
        <f aca="false">SUM($M$5:$M$44)</f>
        <v>11000</v>
      </c>
      <c r="L47" s="3"/>
      <c r="M47" s="3"/>
      <c r="N47" s="3"/>
      <c r="O47" s="3"/>
      <c r="P47" s="3"/>
    </row>
    <row r="48" customFormat="false" ht="15" hidden="false" customHeight="false" outlineLevel="0" collapsed="false">
      <c r="A48" s="3"/>
      <c r="B48" s="3"/>
      <c r="C48" s="3"/>
      <c r="D48" s="3"/>
      <c r="E48" s="3"/>
      <c r="F48" s="3"/>
      <c r="G48" s="3"/>
      <c r="H48" s="3"/>
      <c r="I48" s="3"/>
      <c r="J48" s="41" t="s">
        <v>106</v>
      </c>
      <c r="K48" s="20" t="n">
        <f aca="false">SUM($N$5:$N$44)</f>
        <v>5</v>
      </c>
      <c r="L48" s="3"/>
      <c r="M48" s="3"/>
      <c r="N48" s="3"/>
      <c r="O48" s="3"/>
      <c r="P48" s="3"/>
    </row>
    <row r="49" customFormat="false" ht="15" hidden="false" customHeight="false" outlineLevel="0" collapsed="false">
      <c r="A49" s="3"/>
      <c r="B49" s="3"/>
      <c r="C49" s="3"/>
      <c r="D49" s="3"/>
      <c r="E49" s="3"/>
      <c r="F49" s="3"/>
      <c r="G49" s="3"/>
      <c r="H49" s="3"/>
      <c r="I49" s="3"/>
      <c r="J49" s="41" t="s">
        <v>107</v>
      </c>
      <c r="K49" s="43" t="str">
        <f aca="false">IFERROR(INDEX($J$5:$J$44,MATCH(MAX($P$5:$P$44),$P$5:$P$44,0)),"")</f>
        <v>Regulatory Reporting Uplift</v>
      </c>
      <c r="L49" s="3"/>
      <c r="M49" s="3"/>
      <c r="N49" s="3"/>
      <c r="O49" s="3"/>
      <c r="P49" s="3"/>
    </row>
    <row r="50" customFormat="false" ht="15" hidden="false" customHeight="false" outlineLevel="0" collapsed="false">
      <c r="A50" s="3"/>
      <c r="B50" s="3"/>
      <c r="C50" s="3"/>
      <c r="D50" s="3"/>
      <c r="E50" s="3"/>
      <c r="F50" s="3"/>
      <c r="G50" s="3"/>
      <c r="H50" s="3"/>
      <c r="I50" s="3"/>
      <c r="J50" s="41" t="s">
        <v>108</v>
      </c>
      <c r="K50" s="22" t="n">
        <f aca="false">IFERROR(INDEX(Dashboard!$J$16:$J$55,MATCH(MAX($P$5:$P$44),$P$5:$P$44,0)),"")</f>
        <v>0.625</v>
      </c>
      <c r="L50" s="3"/>
      <c r="M50" s="3"/>
      <c r="N50" s="3"/>
      <c r="O50" s="3"/>
      <c r="P50" s="3"/>
    </row>
    <row r="51" customFormat="false" ht="15" hidden="false" customHeight="false" outlineLevel="0" collapsed="false">
      <c r="A51" s="3"/>
      <c r="B51" s="3"/>
      <c r="C51" s="3"/>
      <c r="D51" s="3"/>
      <c r="E51" s="3"/>
      <c r="F51" s="3"/>
      <c r="G51" s="3"/>
      <c r="H51" s="3"/>
      <c r="I51" s="3"/>
      <c r="J51" s="41" t="s">
        <v>109</v>
      </c>
      <c r="K51" s="22" t="n">
        <f aca="false">IFERROR(INDEX(Dashboard!$F$16:$F$55,MATCH(MAX($P$5:$P$44),$P$5:$P$44,0)),"")</f>
        <v>1.03235294117647</v>
      </c>
      <c r="L51" s="3"/>
      <c r="M51" s="3"/>
      <c r="N51" s="3"/>
      <c r="O51" s="3"/>
      <c r="P51" s="3"/>
    </row>
    <row r="52" customFormat="false" ht="15" hidden="false" customHeight="false" outlineLevel="0" collapsed="false">
      <c r="A52" s="3"/>
      <c r="B52" s="3"/>
      <c r="C52" s="3"/>
      <c r="D52" s="3"/>
      <c r="E52" s="3"/>
      <c r="F52" s="3"/>
      <c r="G52" s="3"/>
      <c r="H52" s="3"/>
      <c r="I52" s="3"/>
      <c r="J52" s="41" t="s">
        <v>110</v>
      </c>
      <c r="K52" s="20" t="n">
        <f aca="false">IFERROR(INDEX(Dashboard!$P$16:$P$55,MATCH(MAX($P$5:$P$44),$P$5:$P$44,0)),"")</f>
        <v>3</v>
      </c>
      <c r="L52" s="3"/>
      <c r="M52" s="3"/>
      <c r="N52" s="3"/>
      <c r="O52" s="3"/>
      <c r="P52" s="3"/>
    </row>
    <row r="53" customFormat="false" ht="15" hidden="false" customHeight="false" outlineLevel="0" collapsed="false">
      <c r="A53" s="3"/>
      <c r="B53" s="3"/>
      <c r="C53" s="3"/>
      <c r="D53" s="3"/>
      <c r="E53" s="3"/>
      <c r="F53" s="3"/>
      <c r="G53" s="3"/>
      <c r="H53" s="3"/>
      <c r="I53" s="3"/>
      <c r="J53" s="41" t="s">
        <v>111</v>
      </c>
      <c r="K53" s="43" t="str">
        <f aca="false">IFERROR(INDEX(Dashboard!$S$16:$S$55,MATCH(MAX($P$5:$P$44),$P$5:$P$44,0)),"")</f>
        <v>Red</v>
      </c>
      <c r="L53" s="3"/>
      <c r="M53" s="3"/>
      <c r="N53" s="3"/>
      <c r="O53" s="3"/>
      <c r="P53" s="3"/>
    </row>
    <row r="54" customFormat="false" ht="15" hidden="false" customHeight="false" outlineLevel="0" collapsed="false">
      <c r="A54" s="3"/>
      <c r="B54" s="3"/>
      <c r="C54" s="3"/>
      <c r="D54" s="3"/>
      <c r="E54" s="3"/>
      <c r="F54" s="3"/>
      <c r="G54" s="3"/>
      <c r="H54" s="3"/>
      <c r="I54" s="3"/>
      <c r="J54" s="41" t="s">
        <v>112</v>
      </c>
      <c r="K54" s="44" t="n">
        <f aca="false">DATE(YEAR($C$5),MONTH($C$5)-1,1)</f>
        <v>46204</v>
      </c>
      <c r="L54" s="3"/>
      <c r="M54" s="3"/>
      <c r="N54" s="3"/>
      <c r="O54" s="3"/>
      <c r="P54" s="3"/>
    </row>
    <row r="55" customFormat="false" ht="15" hidden="false" customHeight="false" outlineLevel="0" collapsed="false">
      <c r="A55" s="3"/>
      <c r="B55" s="3"/>
      <c r="C55" s="3"/>
      <c r="D55" s="3"/>
      <c r="E55" s="3"/>
      <c r="F55" s="3"/>
      <c r="G55" s="3"/>
      <c r="H55" s="3"/>
      <c r="I55" s="3"/>
      <c r="J55" s="41" t="s">
        <v>113</v>
      </c>
      <c r="K55" s="20" t="n">
        <f aca="false">SUMIFS('Monthly Log'!$C$4:$C$303,'Monthly Log'!$A$4:$A$303,$K$54)</f>
        <v>35</v>
      </c>
      <c r="L55" s="3"/>
      <c r="M55" s="3"/>
      <c r="N55" s="3"/>
      <c r="O55" s="3"/>
      <c r="P55" s="3"/>
    </row>
    <row r="56" customFormat="false" ht="15" hidden="false" customHeight="false" outlineLevel="0" collapsed="false">
      <c r="A56" s="3"/>
      <c r="B56" s="3"/>
      <c r="C56" s="3"/>
      <c r="D56" s="3"/>
      <c r="E56" s="3"/>
      <c r="F56" s="3"/>
      <c r="G56" s="3"/>
      <c r="H56" s="3"/>
      <c r="I56" s="3"/>
      <c r="J56" s="41" t="s">
        <v>114</v>
      </c>
      <c r="K56" s="20" t="n">
        <f aca="false">SUMIFS('Monthly Log'!$D$4:$D$303,'Monthly Log'!$A$4:$A$303,$K$54)</f>
        <v>29</v>
      </c>
      <c r="L56" s="3"/>
      <c r="M56" s="3"/>
      <c r="N56" s="3"/>
      <c r="O56" s="3"/>
      <c r="P56" s="3"/>
    </row>
    <row r="57" customFormat="false" ht="15" hidden="false" customHeight="false" outlineLevel="0" collapsed="false">
      <c r="A57" s="3"/>
      <c r="B57" s="3"/>
      <c r="C57" s="3"/>
      <c r="D57" s="3"/>
      <c r="E57" s="3"/>
      <c r="F57" s="3"/>
      <c r="G57" s="3"/>
      <c r="H57" s="3"/>
      <c r="I57" s="3"/>
      <c r="J57" s="41" t="s">
        <v>115</v>
      </c>
      <c r="K57" s="22" t="n">
        <f aca="false">IF($K$55=0,"",$K$56/$K$55)</f>
        <v>0.828571428571429</v>
      </c>
      <c r="L57" s="3"/>
      <c r="M57" s="3"/>
      <c r="N57" s="3"/>
      <c r="O57" s="3"/>
      <c r="P57" s="3"/>
    </row>
    <row r="58" customFormat="false" ht="15" hidden="false" customHeight="false" outlineLevel="0" collapsed="false">
      <c r="A58" s="3"/>
      <c r="B58" s="3"/>
      <c r="C58" s="3"/>
      <c r="D58" s="3"/>
      <c r="E58" s="3"/>
      <c r="F58" s="3"/>
      <c r="G58" s="3"/>
      <c r="H58" s="3"/>
      <c r="I58" s="3"/>
      <c r="J58" s="41" t="s">
        <v>116</v>
      </c>
      <c r="K58" s="42" t="n">
        <f aca="false">SUMIFS('Monthly Log'!$G$4:$G$303,'Monthly Log'!$A$4:$A$303,$K$54)</f>
        <v>1728000</v>
      </c>
      <c r="L58" s="3"/>
      <c r="M58" s="3"/>
      <c r="N58" s="3"/>
      <c r="O58" s="3"/>
      <c r="P58" s="3"/>
    </row>
    <row r="59" customFormat="false" ht="15" hidden="false" customHeight="false" outlineLevel="0" collapsed="false">
      <c r="A59" s="3"/>
      <c r="B59" s="3"/>
      <c r="C59" s="3"/>
      <c r="D59" s="3"/>
      <c r="E59" s="3"/>
      <c r="F59" s="3"/>
      <c r="G59" s="3"/>
      <c r="H59" s="3"/>
      <c r="I59" s="3"/>
      <c r="J59" s="41" t="s">
        <v>117</v>
      </c>
      <c r="K59" s="20" t="n">
        <f aca="false">SUM(Dashboard!$H$16:$H$55)-SUM(Dashboard!$I$16:$I$55)</f>
        <v>7</v>
      </c>
      <c r="L59" s="3"/>
      <c r="M59" s="3"/>
      <c r="N59" s="3"/>
      <c r="O59" s="3"/>
      <c r="P59" s="3"/>
    </row>
    <row r="60" customFormat="false" ht="15" hidden="false" customHeight="false" outlineLevel="0" collapsed="false">
      <c r="A60" s="3"/>
      <c r="B60" s="3"/>
      <c r="C60" s="3"/>
      <c r="D60" s="3"/>
      <c r="E60" s="3"/>
      <c r="F60" s="3"/>
      <c r="G60" s="3"/>
      <c r="H60" s="3"/>
      <c r="I60" s="3"/>
      <c r="J60" s="41" t="s">
        <v>118</v>
      </c>
      <c r="K60" s="20" t="n">
        <f aca="false">SUM(Dashboard!$K$16:$K$55)-SUM(Dashboard!$L$16:$L$55)</f>
        <v>9</v>
      </c>
      <c r="L60" s="3"/>
      <c r="M60" s="3"/>
      <c r="N60" s="3"/>
      <c r="O60" s="3"/>
      <c r="P60" s="3"/>
    </row>
    <row r="61" customFormat="false" ht="15" hidden="false" customHeight="false" outlineLevel="0" collapsed="false">
      <c r="A61" s="3"/>
      <c r="B61" s="3"/>
      <c r="C61" s="3"/>
      <c r="D61" s="3"/>
      <c r="E61" s="3"/>
      <c r="F61" s="3"/>
      <c r="G61" s="3"/>
      <c r="H61" s="3"/>
      <c r="I61" s="3"/>
      <c r="J61" s="41" t="s">
        <v>119</v>
      </c>
      <c r="K61" s="20" t="n">
        <f aca="false">SUM(Dashboard!$N$16:$N$55)</f>
        <v>10</v>
      </c>
      <c r="L61" s="3"/>
      <c r="M61" s="3"/>
      <c r="N61" s="3"/>
      <c r="O61" s="3"/>
      <c r="P61" s="3"/>
    </row>
    <row r="62" customFormat="false" ht="15" hidden="false" customHeight="false" outlineLevel="0" collapsed="false">
      <c r="A62" s="3"/>
      <c r="B62" s="3"/>
      <c r="C62" s="3"/>
      <c r="D62" s="3"/>
      <c r="E62" s="3"/>
      <c r="F62" s="3"/>
      <c r="G62" s="3"/>
      <c r="H62" s="3"/>
      <c r="I62" s="3"/>
      <c r="J62" s="41" t="s">
        <v>120</v>
      </c>
      <c r="K62" s="42" t="n">
        <f aca="false">Dashboard!$I$8-Dashboard!$K$8</f>
        <v>453000</v>
      </c>
      <c r="L62" s="3"/>
      <c r="M62" s="3"/>
      <c r="N62" s="3"/>
      <c r="O62" s="3"/>
      <c r="P62" s="3"/>
    </row>
    <row r="63" customFormat="false" ht="15" hidden="false" customHeight="false" outlineLevel="0" collapsed="false">
      <c r="A63" s="3"/>
      <c r="B63" s="3"/>
      <c r="C63" s="3"/>
      <c r="D63" s="3"/>
      <c r="E63" s="3"/>
      <c r="F63" s="3"/>
      <c r="G63" s="3"/>
      <c r="H63" s="3"/>
      <c r="I63" s="3"/>
      <c r="J63" s="41" t="s">
        <v>121</v>
      </c>
      <c r="K63" s="20" t="n">
        <f aca="false">SUM(Dashboard!$H$16:$H$55)</f>
        <v>42</v>
      </c>
      <c r="L63" s="3"/>
      <c r="M63" s="3"/>
      <c r="N63" s="3"/>
      <c r="O63" s="3"/>
      <c r="P63" s="3"/>
    </row>
    <row r="64" customFormat="false" ht="15" hidden="false" customHeight="false" outlineLevel="0" collapsed="false">
      <c r="A64" s="3"/>
      <c r="B64" s="3"/>
      <c r="C64" s="3"/>
      <c r="D64" s="3"/>
      <c r="E64" s="3"/>
      <c r="F64" s="3"/>
      <c r="G64" s="3"/>
      <c r="H64" s="3"/>
      <c r="I64" s="3"/>
      <c r="J64" s="41" t="s">
        <v>122</v>
      </c>
      <c r="K64" s="20" t="n">
        <f aca="false">SUM(Dashboard!$I$16:$I$55)</f>
        <v>35</v>
      </c>
      <c r="L64" s="3"/>
      <c r="M64" s="3"/>
      <c r="N64" s="3"/>
      <c r="O64" s="3"/>
      <c r="P64" s="3"/>
    </row>
    <row r="65" customFormat="false" ht="15" hidden="false" customHeight="false" outlineLevel="0" collapsed="false">
      <c r="A65" s="3"/>
      <c r="B65" s="3"/>
      <c r="C65" s="3"/>
      <c r="D65" s="3"/>
      <c r="E65" s="3"/>
      <c r="F65" s="3"/>
      <c r="G65" s="3"/>
      <c r="H65" s="3"/>
      <c r="I65" s="3"/>
      <c r="J65" s="41" t="s">
        <v>123</v>
      </c>
      <c r="K65" s="20" t="n">
        <f aca="false">SUM(Dashboard!$K$16:$K$55)</f>
        <v>48</v>
      </c>
      <c r="L65" s="3"/>
      <c r="M65" s="3"/>
      <c r="N65" s="3"/>
      <c r="O65" s="3"/>
      <c r="P65" s="3"/>
    </row>
    <row r="66" customFormat="false" ht="15" hidden="false" customHeight="false" outlineLevel="0" collapsed="false">
      <c r="A66" s="3"/>
      <c r="B66" s="3"/>
      <c r="C66" s="3"/>
      <c r="D66" s="3"/>
      <c r="E66" s="3"/>
      <c r="F66" s="3"/>
      <c r="G66" s="3"/>
      <c r="H66" s="3"/>
      <c r="I66" s="3"/>
      <c r="J66" s="41" t="s">
        <v>124</v>
      </c>
      <c r="K66" s="20" t="n">
        <f aca="false">SUM(Dashboard!$L$16:$L$55)</f>
        <v>39</v>
      </c>
      <c r="L66" s="3"/>
      <c r="M66" s="3"/>
      <c r="N66" s="3"/>
      <c r="O66" s="3"/>
      <c r="P66" s="3"/>
    </row>
    <row r="67" customFormat="false" ht="15" hidden="false" customHeight="false" outlineLevel="0" collapsed="false">
      <c r="A67" s="3"/>
      <c r="B67" s="3"/>
      <c r="C67" s="3"/>
      <c r="D67" s="3"/>
      <c r="E67" s="3"/>
      <c r="F67" s="3"/>
      <c r="G67" s="3"/>
      <c r="H67" s="3"/>
      <c r="I67" s="3"/>
      <c r="J67" s="41" t="s">
        <v>125</v>
      </c>
      <c r="K67" s="43" t="str">
        <f aca="false">IF($K$47=0,"",IFERROR(INDEX($J$5:$J$44,MATCH(MAX($M$5:$M$44),$M$5:$M$44,0)),""))</f>
        <v>Regulatory Reporting Uplift</v>
      </c>
      <c r="L67" s="3"/>
      <c r="M67" s="3"/>
      <c r="N67" s="3"/>
      <c r="O67" s="3"/>
      <c r="P67" s="3"/>
    </row>
    <row r="68" customFormat="false" ht="15" hidden="false" customHeight="false" outlineLevel="0" collapsed="false">
      <c r="A68" s="3"/>
      <c r="B68" s="3"/>
      <c r="C68" s="3"/>
      <c r="D68" s="3"/>
      <c r="E68" s="3"/>
      <c r="F68" s="3"/>
      <c r="G68" s="3"/>
      <c r="H68" s="3"/>
      <c r="I68" s="3"/>
      <c r="J68" s="41" t="s">
        <v>126</v>
      </c>
      <c r="K68" s="22" t="n">
        <f aca="false">IF($K$57="","",Dashboard!$O$8-$K$57)</f>
        <v>0.00476190476190475</v>
      </c>
      <c r="L68" s="3"/>
      <c r="M68" s="3"/>
      <c r="N68" s="3"/>
      <c r="O68" s="3"/>
      <c r="P68" s="3"/>
    </row>
  </sheetData>
  <mergeCells count="20">
    <mergeCell ref="A1:H1"/>
    <mergeCell ref="A2:H2"/>
    <mergeCell ref="B10:H10"/>
    <mergeCell ref="B11:H11"/>
    <mergeCell ref="C13:H13"/>
    <mergeCell ref="C14:H14"/>
    <mergeCell ref="C15:H15"/>
    <mergeCell ref="C17:H17"/>
    <mergeCell ref="C18:H18"/>
    <mergeCell ref="C19:H19"/>
    <mergeCell ref="C21:H21"/>
    <mergeCell ref="C22:H22"/>
    <mergeCell ref="C23:H23"/>
    <mergeCell ref="C25:H25"/>
    <mergeCell ref="C26:H26"/>
    <mergeCell ref="C27:H27"/>
    <mergeCell ref="C29:H29"/>
    <mergeCell ref="C30:H30"/>
    <mergeCell ref="C31:H31"/>
    <mergeCell ref="C34:H35"/>
  </mergeCells>
  <conditionalFormatting sqref="B13:B29">
    <cfRule type="cellIs" priority="2" operator="equal" aboveAverage="0" equalAverage="0" bottom="0" percent="0" rank="0" text="" dxfId="0">
      <formula>"ACT NOW"</formula>
    </cfRule>
    <cfRule type="cellIs" priority="3" operator="equal" aboveAverage="0" equalAverage="0" bottom="0" percent="0" rank="0" text="" dxfId="1">
      <formula>"WATCH"</formula>
    </cfRule>
    <cfRule type="cellIs" priority="4" operator="equal" aboveAverage="0" equalAverage="0" bottom="0" percent="0" rank="0" text="" dxfId="2">
      <formula>"OK"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546A"/>
    <pageSetUpPr fitToPage="false"/>
  </sheetPr>
  <dimension ref="A1:N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20"/>
    <col collapsed="false" customWidth="true" hidden="false" outlineLevel="0" max="4" min="4" style="0" width="14"/>
    <col collapsed="false" customWidth="true" hidden="false" outlineLevel="0" max="5" min="5" style="0" width="15"/>
    <col collapsed="false" customWidth="true" hidden="false" outlineLevel="0" max="8" min="6" style="0" width="13"/>
    <col collapsed="false" customWidth="true" hidden="false" outlineLevel="0" max="9" min="9" style="0" width="18"/>
    <col collapsed="false" customWidth="true" hidden="false" outlineLevel="0" max="11" min="10" style="0" width="13"/>
    <col collapsed="false" customWidth="true" hidden="false" outlineLevel="0" max="12" min="12" style="0" width="46"/>
    <col collapsed="false" customWidth="true" hidden="false" outlineLevel="0" max="13" min="13" style="0" width="42"/>
    <col collapsed="false" customWidth="true" hidden="false" outlineLevel="0" max="14" min="14" style="0" width="38"/>
  </cols>
  <sheetData>
    <row r="1" customFormat="false" ht="25.5" hidden="false" customHeight="true" outlineLevel="0" collapsed="false">
      <c r="A1" s="1" t="s">
        <v>127</v>
      </c>
      <c r="B1" s="1"/>
      <c r="C1" s="1"/>
      <c r="D1" s="1"/>
      <c r="E1" s="1"/>
      <c r="F1" s="1"/>
      <c r="G1" s="1"/>
      <c r="H1" s="1"/>
      <c r="I1" s="1"/>
      <c r="J1" s="1"/>
      <c r="K1" s="1"/>
      <c r="L1" s="1"/>
      <c r="M1" s="1"/>
      <c r="N1" s="1"/>
    </row>
    <row r="2" customFormat="false" ht="15" hidden="false" customHeight="false" outlineLevel="0" collapsed="false">
      <c r="A2" s="2" t="s">
        <v>128</v>
      </c>
      <c r="B2" s="2"/>
      <c r="C2" s="2"/>
      <c r="D2" s="2"/>
      <c r="E2" s="2"/>
      <c r="F2" s="2"/>
      <c r="G2" s="2"/>
      <c r="H2" s="2"/>
      <c r="I2" s="2"/>
      <c r="J2" s="2"/>
      <c r="K2" s="2"/>
      <c r="L2" s="2"/>
      <c r="M2" s="2"/>
      <c r="N2" s="2"/>
    </row>
    <row r="3" customFormat="false" ht="31.5" hidden="false" customHeight="true" outlineLevel="0" collapsed="false">
      <c r="A3" s="45" t="s">
        <v>129</v>
      </c>
      <c r="B3" s="45" t="s">
        <v>130</v>
      </c>
      <c r="C3" s="45" t="s">
        <v>131</v>
      </c>
      <c r="D3" s="45" t="s">
        <v>132</v>
      </c>
      <c r="E3" s="45" t="s">
        <v>133</v>
      </c>
      <c r="F3" s="45" t="s">
        <v>134</v>
      </c>
      <c r="G3" s="45" t="s">
        <v>135</v>
      </c>
      <c r="H3" s="45" t="s">
        <v>136</v>
      </c>
      <c r="I3" s="45" t="s">
        <v>137</v>
      </c>
      <c r="J3" s="45" t="s">
        <v>138</v>
      </c>
      <c r="K3" s="45" t="s">
        <v>139</v>
      </c>
      <c r="L3" s="45" t="s">
        <v>140</v>
      </c>
      <c r="M3" s="45" t="s">
        <v>141</v>
      </c>
      <c r="N3" s="45" t="s">
        <v>142</v>
      </c>
    </row>
    <row r="4" customFormat="false" ht="30" hidden="false" customHeight="true" outlineLevel="0" collapsed="false">
      <c r="A4" s="46" t="s">
        <v>143</v>
      </c>
      <c r="B4" s="47" t="s">
        <v>144</v>
      </c>
      <c r="C4" s="47" t="s">
        <v>145</v>
      </c>
      <c r="D4" s="47" t="s">
        <v>146</v>
      </c>
      <c r="E4" s="47" t="s">
        <v>147</v>
      </c>
      <c r="F4" s="48" t="n">
        <v>46063</v>
      </c>
      <c r="G4" s="48" t="n">
        <v>46082</v>
      </c>
      <c r="H4" s="48" t="n">
        <v>46356</v>
      </c>
      <c r="I4" s="49" t="n">
        <v>500000</v>
      </c>
      <c r="J4" s="50" t="n">
        <v>9</v>
      </c>
      <c r="K4" s="50" t="n">
        <v>12</v>
      </c>
      <c r="L4" s="51" t="s">
        <v>148</v>
      </c>
      <c r="M4" s="51" t="s">
        <v>149</v>
      </c>
      <c r="N4" s="51" t="s">
        <v>150</v>
      </c>
    </row>
    <row r="5" customFormat="false" ht="30" hidden="false" customHeight="true" outlineLevel="0" collapsed="false">
      <c r="A5" s="52" t="s">
        <v>151</v>
      </c>
      <c r="B5" s="53" t="s">
        <v>152</v>
      </c>
      <c r="C5" s="53" t="s">
        <v>153</v>
      </c>
      <c r="D5" s="53" t="s">
        <v>154</v>
      </c>
      <c r="E5" s="53" t="s">
        <v>155</v>
      </c>
      <c r="F5" s="54" t="n">
        <v>46056</v>
      </c>
      <c r="G5" s="54" t="n">
        <v>46082</v>
      </c>
      <c r="H5" s="54" t="n">
        <v>46416</v>
      </c>
      <c r="I5" s="55" t="n">
        <v>820000</v>
      </c>
      <c r="J5" s="56" t="n">
        <v>12</v>
      </c>
      <c r="K5" s="56" t="n">
        <v>15</v>
      </c>
      <c r="L5" s="57" t="s">
        <v>156</v>
      </c>
      <c r="M5" s="57" t="s">
        <v>157</v>
      </c>
      <c r="N5" s="57" t="s">
        <v>158</v>
      </c>
    </row>
    <row r="6" customFormat="false" ht="30" hidden="false" customHeight="true" outlineLevel="0" collapsed="false">
      <c r="A6" s="46" t="s">
        <v>159</v>
      </c>
      <c r="B6" s="47" t="s">
        <v>160</v>
      </c>
      <c r="C6" s="47" t="s">
        <v>161</v>
      </c>
      <c r="D6" s="47" t="s">
        <v>162</v>
      </c>
      <c r="E6" s="47" t="s">
        <v>163</v>
      </c>
      <c r="F6" s="48" t="n">
        <v>46070</v>
      </c>
      <c r="G6" s="48" t="n">
        <v>46082</v>
      </c>
      <c r="H6" s="48" t="n">
        <v>46325</v>
      </c>
      <c r="I6" s="49" t="n">
        <v>340000</v>
      </c>
      <c r="J6" s="50" t="n">
        <v>8</v>
      </c>
      <c r="K6" s="50" t="n">
        <v>10</v>
      </c>
      <c r="L6" s="51" t="s">
        <v>164</v>
      </c>
      <c r="M6" s="51" t="s">
        <v>165</v>
      </c>
      <c r="N6" s="51" t="s">
        <v>166</v>
      </c>
    </row>
    <row r="7" customFormat="false" ht="30" hidden="false" customHeight="true" outlineLevel="0" collapsed="false">
      <c r="A7" s="52" t="s">
        <v>167</v>
      </c>
      <c r="B7" s="53" t="s">
        <v>168</v>
      </c>
      <c r="C7" s="53" t="s">
        <v>169</v>
      </c>
      <c r="D7" s="53" t="s">
        <v>146</v>
      </c>
      <c r="E7" s="53" t="s">
        <v>170</v>
      </c>
      <c r="F7" s="54" t="n">
        <v>46077</v>
      </c>
      <c r="G7" s="54" t="n">
        <v>46082</v>
      </c>
      <c r="H7" s="54" t="n">
        <v>46444</v>
      </c>
      <c r="I7" s="55" t="n">
        <v>610000</v>
      </c>
      <c r="J7" s="56" t="n">
        <v>10</v>
      </c>
      <c r="K7" s="56" t="n">
        <v>11</v>
      </c>
      <c r="L7" s="57" t="s">
        <v>171</v>
      </c>
      <c r="M7" s="57" t="s">
        <v>172</v>
      </c>
      <c r="N7" s="57" t="s">
        <v>173</v>
      </c>
    </row>
    <row r="8" customFormat="false" ht="30" hidden="false" customHeight="true" outlineLevel="0" collapsed="false">
      <c r="A8" s="46" t="s">
        <v>174</v>
      </c>
      <c r="B8" s="47" t="s">
        <v>175</v>
      </c>
      <c r="C8" s="47" t="s">
        <v>176</v>
      </c>
      <c r="D8" s="47" t="s">
        <v>154</v>
      </c>
      <c r="E8" s="47" t="s">
        <v>177</v>
      </c>
      <c r="F8" s="48" t="n">
        <v>46059</v>
      </c>
      <c r="G8" s="48" t="n">
        <v>46082</v>
      </c>
      <c r="H8" s="48" t="n">
        <v>46295</v>
      </c>
      <c r="I8" s="49" t="n">
        <v>275000</v>
      </c>
      <c r="J8" s="50" t="n">
        <v>7</v>
      </c>
      <c r="K8" s="50" t="n">
        <v>9</v>
      </c>
      <c r="L8" s="51" t="s">
        <v>178</v>
      </c>
      <c r="M8" s="51" t="s">
        <v>179</v>
      </c>
      <c r="N8" s="51" t="s">
        <v>180</v>
      </c>
    </row>
    <row r="9" customFormat="false" ht="15" hidden="false" customHeight="false" outlineLevel="0" collapsed="false">
      <c r="A9" s="53"/>
      <c r="B9" s="53"/>
      <c r="C9" s="53"/>
      <c r="D9" s="53"/>
      <c r="E9" s="53"/>
      <c r="F9" s="58"/>
      <c r="G9" s="58"/>
      <c r="H9" s="58"/>
      <c r="I9" s="55"/>
      <c r="J9" s="56"/>
      <c r="K9" s="56"/>
      <c r="L9" s="53"/>
      <c r="M9" s="53"/>
      <c r="N9" s="53"/>
    </row>
    <row r="10" customFormat="false" ht="15" hidden="false" customHeight="false" outlineLevel="0" collapsed="false">
      <c r="A10" s="47"/>
      <c r="B10" s="47"/>
      <c r="C10" s="47"/>
      <c r="D10" s="47"/>
      <c r="E10" s="47"/>
      <c r="F10" s="59"/>
      <c r="G10" s="59"/>
      <c r="H10" s="59"/>
      <c r="I10" s="49"/>
      <c r="J10" s="50"/>
      <c r="K10" s="50"/>
      <c r="L10" s="47"/>
      <c r="M10" s="47"/>
      <c r="N10" s="47"/>
    </row>
    <row r="11" customFormat="false" ht="15" hidden="false" customHeight="false" outlineLevel="0" collapsed="false">
      <c r="A11" s="53"/>
      <c r="B11" s="53"/>
      <c r="C11" s="53"/>
      <c r="D11" s="53"/>
      <c r="E11" s="53"/>
      <c r="F11" s="58"/>
      <c r="G11" s="58"/>
      <c r="H11" s="58"/>
      <c r="I11" s="55"/>
      <c r="J11" s="56"/>
      <c r="K11" s="56"/>
      <c r="L11" s="53"/>
      <c r="M11" s="53"/>
      <c r="N11" s="53"/>
    </row>
    <row r="12" customFormat="false" ht="15" hidden="false" customHeight="false" outlineLevel="0" collapsed="false">
      <c r="A12" s="47"/>
      <c r="B12" s="47"/>
      <c r="C12" s="47"/>
      <c r="D12" s="47"/>
      <c r="E12" s="47"/>
      <c r="F12" s="59"/>
      <c r="G12" s="59"/>
      <c r="H12" s="59"/>
      <c r="I12" s="49"/>
      <c r="J12" s="50"/>
      <c r="K12" s="50"/>
      <c r="L12" s="47"/>
      <c r="M12" s="47"/>
      <c r="N12" s="47"/>
    </row>
    <row r="13" customFormat="false" ht="15" hidden="false" customHeight="false" outlineLevel="0" collapsed="false">
      <c r="A13" s="53"/>
      <c r="B13" s="53"/>
      <c r="C13" s="53"/>
      <c r="D13" s="53"/>
      <c r="E13" s="53"/>
      <c r="F13" s="58"/>
      <c r="G13" s="58"/>
      <c r="H13" s="58"/>
      <c r="I13" s="55"/>
      <c r="J13" s="56"/>
      <c r="K13" s="56"/>
      <c r="L13" s="53"/>
      <c r="M13" s="53"/>
      <c r="N13" s="53"/>
    </row>
    <row r="14" customFormat="false" ht="15" hidden="false" customHeight="false" outlineLevel="0" collapsed="false">
      <c r="A14" s="47"/>
      <c r="B14" s="47"/>
      <c r="C14" s="47"/>
      <c r="D14" s="47"/>
      <c r="E14" s="47"/>
      <c r="F14" s="59"/>
      <c r="G14" s="59"/>
      <c r="H14" s="59"/>
      <c r="I14" s="49"/>
      <c r="J14" s="50"/>
      <c r="K14" s="50"/>
      <c r="L14" s="47"/>
      <c r="M14" s="47"/>
      <c r="N14" s="47"/>
    </row>
    <row r="15" customFormat="false" ht="15" hidden="false" customHeight="false" outlineLevel="0" collapsed="false">
      <c r="A15" s="53"/>
      <c r="B15" s="53"/>
      <c r="C15" s="53"/>
      <c r="D15" s="53"/>
      <c r="E15" s="53"/>
      <c r="F15" s="58"/>
      <c r="G15" s="58"/>
      <c r="H15" s="58"/>
      <c r="I15" s="55"/>
      <c r="J15" s="56"/>
      <c r="K15" s="56"/>
      <c r="L15" s="53"/>
      <c r="M15" s="53"/>
      <c r="N15" s="53"/>
    </row>
    <row r="16" customFormat="false" ht="15" hidden="false" customHeight="false" outlineLevel="0" collapsed="false">
      <c r="A16" s="47"/>
      <c r="B16" s="47"/>
      <c r="C16" s="47"/>
      <c r="D16" s="47"/>
      <c r="E16" s="47"/>
      <c r="F16" s="59"/>
      <c r="G16" s="59"/>
      <c r="H16" s="59"/>
      <c r="I16" s="49"/>
      <c r="J16" s="50"/>
      <c r="K16" s="50"/>
      <c r="L16" s="47"/>
      <c r="M16" s="47"/>
      <c r="N16" s="47"/>
    </row>
    <row r="17" customFormat="false" ht="15" hidden="false" customHeight="false" outlineLevel="0" collapsed="false">
      <c r="A17" s="53"/>
      <c r="B17" s="53"/>
      <c r="C17" s="53"/>
      <c r="D17" s="53"/>
      <c r="E17" s="53"/>
      <c r="F17" s="58"/>
      <c r="G17" s="58"/>
      <c r="H17" s="58"/>
      <c r="I17" s="55"/>
      <c r="J17" s="56"/>
      <c r="K17" s="56"/>
      <c r="L17" s="53"/>
      <c r="M17" s="53"/>
      <c r="N17" s="53"/>
    </row>
    <row r="18" customFormat="false" ht="15" hidden="false" customHeight="false" outlineLevel="0" collapsed="false">
      <c r="A18" s="47"/>
      <c r="B18" s="47"/>
      <c r="C18" s="47"/>
      <c r="D18" s="47"/>
      <c r="E18" s="47"/>
      <c r="F18" s="59"/>
      <c r="G18" s="59"/>
      <c r="H18" s="59"/>
      <c r="I18" s="49"/>
      <c r="J18" s="50"/>
      <c r="K18" s="50"/>
      <c r="L18" s="47"/>
      <c r="M18" s="47"/>
      <c r="N18" s="47"/>
    </row>
    <row r="19" customFormat="false" ht="15" hidden="false" customHeight="false" outlineLevel="0" collapsed="false">
      <c r="A19" s="53"/>
      <c r="B19" s="53"/>
      <c r="C19" s="53"/>
      <c r="D19" s="53"/>
      <c r="E19" s="53"/>
      <c r="F19" s="58"/>
      <c r="G19" s="58"/>
      <c r="H19" s="58"/>
      <c r="I19" s="55"/>
      <c r="J19" s="56"/>
      <c r="K19" s="56"/>
      <c r="L19" s="53"/>
      <c r="M19" s="53"/>
      <c r="N19" s="53"/>
    </row>
    <row r="20" customFormat="false" ht="15" hidden="false" customHeight="false" outlineLevel="0" collapsed="false">
      <c r="A20" s="47"/>
      <c r="B20" s="47"/>
      <c r="C20" s="47"/>
      <c r="D20" s="47"/>
      <c r="E20" s="47"/>
      <c r="F20" s="59"/>
      <c r="G20" s="59"/>
      <c r="H20" s="59"/>
      <c r="I20" s="49"/>
      <c r="J20" s="50"/>
      <c r="K20" s="50"/>
      <c r="L20" s="47"/>
      <c r="M20" s="47"/>
      <c r="N20" s="47"/>
    </row>
    <row r="21" customFormat="false" ht="15" hidden="false" customHeight="false" outlineLevel="0" collapsed="false">
      <c r="A21" s="53"/>
      <c r="B21" s="53"/>
      <c r="C21" s="53"/>
      <c r="D21" s="53"/>
      <c r="E21" s="53"/>
      <c r="F21" s="58"/>
      <c r="G21" s="58"/>
      <c r="H21" s="58"/>
      <c r="I21" s="55"/>
      <c r="J21" s="56"/>
      <c r="K21" s="56"/>
      <c r="L21" s="53"/>
      <c r="M21" s="53"/>
      <c r="N21" s="53"/>
    </row>
    <row r="22" customFormat="false" ht="15" hidden="false" customHeight="false" outlineLevel="0" collapsed="false">
      <c r="A22" s="47"/>
      <c r="B22" s="47"/>
      <c r="C22" s="47"/>
      <c r="D22" s="47"/>
      <c r="E22" s="47"/>
      <c r="F22" s="59"/>
      <c r="G22" s="59"/>
      <c r="H22" s="59"/>
      <c r="I22" s="49"/>
      <c r="J22" s="50"/>
      <c r="K22" s="50"/>
      <c r="L22" s="47"/>
      <c r="M22" s="47"/>
      <c r="N22" s="47"/>
    </row>
    <row r="23" customFormat="false" ht="15" hidden="false" customHeight="false" outlineLevel="0" collapsed="false">
      <c r="A23" s="53"/>
      <c r="B23" s="53"/>
      <c r="C23" s="53"/>
      <c r="D23" s="53"/>
      <c r="E23" s="53"/>
      <c r="F23" s="58"/>
      <c r="G23" s="58"/>
      <c r="H23" s="58"/>
      <c r="I23" s="55"/>
      <c r="J23" s="56"/>
      <c r="K23" s="56"/>
      <c r="L23" s="53"/>
      <c r="M23" s="53"/>
      <c r="N23" s="53"/>
    </row>
    <row r="24" customFormat="false" ht="15" hidden="false" customHeight="false" outlineLevel="0" collapsed="false">
      <c r="A24" s="47"/>
      <c r="B24" s="47"/>
      <c r="C24" s="47"/>
      <c r="D24" s="47"/>
      <c r="E24" s="47"/>
      <c r="F24" s="59"/>
      <c r="G24" s="59"/>
      <c r="H24" s="59"/>
      <c r="I24" s="49"/>
      <c r="J24" s="50"/>
      <c r="K24" s="50"/>
      <c r="L24" s="47"/>
      <c r="M24" s="47"/>
      <c r="N24" s="47"/>
    </row>
    <row r="25" customFormat="false" ht="15" hidden="false" customHeight="false" outlineLevel="0" collapsed="false">
      <c r="A25" s="53"/>
      <c r="B25" s="53"/>
      <c r="C25" s="53"/>
      <c r="D25" s="53"/>
      <c r="E25" s="53"/>
      <c r="F25" s="58"/>
      <c r="G25" s="58"/>
      <c r="H25" s="58"/>
      <c r="I25" s="55"/>
      <c r="J25" s="56"/>
      <c r="K25" s="56"/>
      <c r="L25" s="53"/>
      <c r="M25" s="53"/>
      <c r="N25" s="53"/>
    </row>
    <row r="26" customFormat="false" ht="15" hidden="false" customHeight="false" outlineLevel="0" collapsed="false">
      <c r="A26" s="47"/>
      <c r="B26" s="47"/>
      <c r="C26" s="47"/>
      <c r="D26" s="47"/>
      <c r="E26" s="47"/>
      <c r="F26" s="59"/>
      <c r="G26" s="59"/>
      <c r="H26" s="59"/>
      <c r="I26" s="49"/>
      <c r="J26" s="50"/>
      <c r="K26" s="50"/>
      <c r="L26" s="47"/>
      <c r="M26" s="47"/>
      <c r="N26" s="47"/>
    </row>
    <row r="27" customFormat="false" ht="15" hidden="false" customHeight="false" outlineLevel="0" collapsed="false">
      <c r="A27" s="53"/>
      <c r="B27" s="53"/>
      <c r="C27" s="53"/>
      <c r="D27" s="53"/>
      <c r="E27" s="53"/>
      <c r="F27" s="58"/>
      <c r="G27" s="58"/>
      <c r="H27" s="58"/>
      <c r="I27" s="55"/>
      <c r="J27" s="56"/>
      <c r="K27" s="56"/>
      <c r="L27" s="53"/>
      <c r="M27" s="53"/>
      <c r="N27" s="53"/>
    </row>
    <row r="28" customFormat="false" ht="15" hidden="false" customHeight="false" outlineLevel="0" collapsed="false">
      <c r="A28" s="47"/>
      <c r="B28" s="47"/>
      <c r="C28" s="47"/>
      <c r="D28" s="47"/>
      <c r="E28" s="47"/>
      <c r="F28" s="59"/>
      <c r="G28" s="59"/>
      <c r="H28" s="59"/>
      <c r="I28" s="49"/>
      <c r="J28" s="50"/>
      <c r="K28" s="50"/>
      <c r="L28" s="47"/>
      <c r="M28" s="47"/>
      <c r="N28" s="47"/>
    </row>
    <row r="29" customFormat="false" ht="15" hidden="false" customHeight="false" outlineLevel="0" collapsed="false">
      <c r="A29" s="53"/>
      <c r="B29" s="53"/>
      <c r="C29" s="53"/>
      <c r="D29" s="53"/>
      <c r="E29" s="53"/>
      <c r="F29" s="58"/>
      <c r="G29" s="58"/>
      <c r="H29" s="58"/>
      <c r="I29" s="55"/>
      <c r="J29" s="56"/>
      <c r="K29" s="56"/>
      <c r="L29" s="53"/>
      <c r="M29" s="53"/>
      <c r="N29" s="53"/>
    </row>
    <row r="30" customFormat="false" ht="15" hidden="false" customHeight="false" outlineLevel="0" collapsed="false">
      <c r="A30" s="47"/>
      <c r="B30" s="47"/>
      <c r="C30" s="47"/>
      <c r="D30" s="47"/>
      <c r="E30" s="47"/>
      <c r="F30" s="59"/>
      <c r="G30" s="59"/>
      <c r="H30" s="59"/>
      <c r="I30" s="49"/>
      <c r="J30" s="50"/>
      <c r="K30" s="50"/>
      <c r="L30" s="47"/>
      <c r="M30" s="47"/>
      <c r="N30" s="47"/>
    </row>
    <row r="31" customFormat="false" ht="15" hidden="false" customHeight="false" outlineLevel="0" collapsed="false">
      <c r="A31" s="53"/>
      <c r="B31" s="53"/>
      <c r="C31" s="53"/>
      <c r="D31" s="53"/>
      <c r="E31" s="53"/>
      <c r="F31" s="58"/>
      <c r="G31" s="58"/>
      <c r="H31" s="58"/>
      <c r="I31" s="55"/>
      <c r="J31" s="56"/>
      <c r="K31" s="56"/>
      <c r="L31" s="53"/>
      <c r="M31" s="53"/>
      <c r="N31" s="53"/>
    </row>
    <row r="32" customFormat="false" ht="15" hidden="false" customHeight="false" outlineLevel="0" collapsed="false">
      <c r="A32" s="47"/>
      <c r="B32" s="47"/>
      <c r="C32" s="47"/>
      <c r="D32" s="47"/>
      <c r="E32" s="47"/>
      <c r="F32" s="59"/>
      <c r="G32" s="59"/>
      <c r="H32" s="59"/>
      <c r="I32" s="49"/>
      <c r="J32" s="50"/>
      <c r="K32" s="50"/>
      <c r="L32" s="47"/>
      <c r="M32" s="47"/>
      <c r="N32" s="47"/>
    </row>
    <row r="33" customFormat="false" ht="15" hidden="false" customHeight="false" outlineLevel="0" collapsed="false">
      <c r="A33" s="53"/>
      <c r="B33" s="53"/>
      <c r="C33" s="53"/>
      <c r="D33" s="53"/>
      <c r="E33" s="53"/>
      <c r="F33" s="58"/>
      <c r="G33" s="58"/>
      <c r="H33" s="58"/>
      <c r="I33" s="55"/>
      <c r="J33" s="56"/>
      <c r="K33" s="56"/>
      <c r="L33" s="53"/>
      <c r="M33" s="53"/>
      <c r="N33" s="53"/>
    </row>
    <row r="34" customFormat="false" ht="15" hidden="false" customHeight="false" outlineLevel="0" collapsed="false">
      <c r="A34" s="47"/>
      <c r="B34" s="47"/>
      <c r="C34" s="47"/>
      <c r="D34" s="47"/>
      <c r="E34" s="47"/>
      <c r="F34" s="59"/>
      <c r="G34" s="59"/>
      <c r="H34" s="59"/>
      <c r="I34" s="49"/>
      <c r="J34" s="50"/>
      <c r="K34" s="50"/>
      <c r="L34" s="47"/>
      <c r="M34" s="47"/>
      <c r="N34" s="47"/>
    </row>
    <row r="35" customFormat="false" ht="15" hidden="false" customHeight="false" outlineLevel="0" collapsed="false">
      <c r="A35" s="53"/>
      <c r="B35" s="53"/>
      <c r="C35" s="53"/>
      <c r="D35" s="53"/>
      <c r="E35" s="53"/>
      <c r="F35" s="58"/>
      <c r="G35" s="58"/>
      <c r="H35" s="58"/>
      <c r="I35" s="55"/>
      <c r="J35" s="56"/>
      <c r="K35" s="56"/>
      <c r="L35" s="53"/>
      <c r="M35" s="53"/>
      <c r="N35" s="53"/>
    </row>
    <row r="36" customFormat="false" ht="15" hidden="false" customHeight="false" outlineLevel="0" collapsed="false">
      <c r="A36" s="47"/>
      <c r="B36" s="47"/>
      <c r="C36" s="47"/>
      <c r="D36" s="47"/>
      <c r="E36" s="47"/>
      <c r="F36" s="59"/>
      <c r="G36" s="59"/>
      <c r="H36" s="59"/>
      <c r="I36" s="49"/>
      <c r="J36" s="50"/>
      <c r="K36" s="50"/>
      <c r="L36" s="47"/>
      <c r="M36" s="47"/>
      <c r="N36" s="47"/>
    </row>
    <row r="37" customFormat="false" ht="15" hidden="false" customHeight="false" outlineLevel="0" collapsed="false">
      <c r="A37" s="53"/>
      <c r="B37" s="53"/>
      <c r="C37" s="53"/>
      <c r="D37" s="53"/>
      <c r="E37" s="53"/>
      <c r="F37" s="58"/>
      <c r="G37" s="58"/>
      <c r="H37" s="58"/>
      <c r="I37" s="55"/>
      <c r="J37" s="56"/>
      <c r="K37" s="56"/>
      <c r="L37" s="53"/>
      <c r="M37" s="53"/>
      <c r="N37" s="53"/>
    </row>
    <row r="38" customFormat="false" ht="15" hidden="false" customHeight="false" outlineLevel="0" collapsed="false">
      <c r="A38" s="47"/>
      <c r="B38" s="47"/>
      <c r="C38" s="47"/>
      <c r="D38" s="47"/>
      <c r="E38" s="47"/>
      <c r="F38" s="59"/>
      <c r="G38" s="59"/>
      <c r="H38" s="59"/>
      <c r="I38" s="49"/>
      <c r="J38" s="50"/>
      <c r="K38" s="50"/>
      <c r="L38" s="47"/>
      <c r="M38" s="47"/>
      <c r="N38" s="47"/>
    </row>
    <row r="39" customFormat="false" ht="15" hidden="false" customHeight="false" outlineLevel="0" collapsed="false">
      <c r="A39" s="53"/>
      <c r="B39" s="53"/>
      <c r="C39" s="53"/>
      <c r="D39" s="53"/>
      <c r="E39" s="53"/>
      <c r="F39" s="58"/>
      <c r="G39" s="58"/>
      <c r="H39" s="58"/>
      <c r="I39" s="55"/>
      <c r="J39" s="56"/>
      <c r="K39" s="56"/>
      <c r="L39" s="53"/>
      <c r="M39" s="53"/>
      <c r="N39" s="53"/>
    </row>
    <row r="40" customFormat="false" ht="15" hidden="false" customHeight="false" outlineLevel="0" collapsed="false">
      <c r="A40" s="47"/>
      <c r="B40" s="47"/>
      <c r="C40" s="47"/>
      <c r="D40" s="47"/>
      <c r="E40" s="47"/>
      <c r="F40" s="59"/>
      <c r="G40" s="59"/>
      <c r="H40" s="59"/>
      <c r="I40" s="49"/>
      <c r="J40" s="50"/>
      <c r="K40" s="50"/>
      <c r="L40" s="47"/>
      <c r="M40" s="47"/>
      <c r="N40" s="47"/>
    </row>
    <row r="41" customFormat="false" ht="15" hidden="false" customHeight="false" outlineLevel="0" collapsed="false">
      <c r="A41" s="53"/>
      <c r="B41" s="53"/>
      <c r="C41" s="53"/>
      <c r="D41" s="53"/>
      <c r="E41" s="53"/>
      <c r="F41" s="58"/>
      <c r="G41" s="58"/>
      <c r="H41" s="58"/>
      <c r="I41" s="55"/>
      <c r="J41" s="56"/>
      <c r="K41" s="56"/>
      <c r="L41" s="53"/>
      <c r="M41" s="53"/>
      <c r="N41" s="53"/>
    </row>
    <row r="42" customFormat="false" ht="15" hidden="false" customHeight="false" outlineLevel="0" collapsed="false">
      <c r="A42" s="47"/>
      <c r="B42" s="47"/>
      <c r="C42" s="47"/>
      <c r="D42" s="47"/>
      <c r="E42" s="47"/>
      <c r="F42" s="59"/>
      <c r="G42" s="59"/>
      <c r="H42" s="59"/>
      <c r="I42" s="49"/>
      <c r="J42" s="50"/>
      <c r="K42" s="50"/>
      <c r="L42" s="47"/>
      <c r="M42" s="47"/>
      <c r="N42" s="47"/>
    </row>
    <row r="43" customFormat="false" ht="15" hidden="false" customHeight="false" outlineLevel="0" collapsed="false">
      <c r="A43" s="53"/>
      <c r="B43" s="53"/>
      <c r="C43" s="53"/>
      <c r="D43" s="53"/>
      <c r="E43" s="53"/>
      <c r="F43" s="58"/>
      <c r="G43" s="58"/>
      <c r="H43" s="58"/>
      <c r="I43" s="55"/>
      <c r="J43" s="56"/>
      <c r="K43" s="56"/>
      <c r="L43" s="53"/>
      <c r="M43" s="53"/>
      <c r="N43" s="53"/>
    </row>
  </sheetData>
  <autoFilter ref="A3:N43"/>
  <mergeCells count="2">
    <mergeCell ref="A1:N1"/>
    <mergeCell ref="A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AB15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0"/>
    <col collapsed="false" customWidth="true" hidden="false" outlineLevel="0" max="6" min="3" style="0" width="12"/>
    <col collapsed="false" customWidth="true" hidden="false" outlineLevel="0" max="7" min="7" style="0" width="16"/>
    <col collapsed="false" customWidth="true" hidden="false" outlineLevel="0" max="9" min="8" style="0" width="12"/>
    <col collapsed="false" customWidth="true" hidden="false" outlineLevel="0" max="10" min="10" style="0" width="11"/>
    <col collapsed="false" customWidth="true" hidden="false" outlineLevel="0" max="12" min="11" style="0" width="10"/>
    <col collapsed="false" customWidth="true" hidden="false" outlineLevel="0" max="13" min="13" style="0" width="9"/>
    <col collapsed="false" customWidth="true" hidden="false" outlineLevel="0" max="14" min="14" style="0" width="52"/>
    <col collapsed="false" customWidth="true" hidden="false" outlineLevel="0" max="15" min="15" style="0" width="18"/>
    <col collapsed="false" customWidth="true" hidden="false" outlineLevel="0" max="28" min="17" style="0" width="13"/>
  </cols>
  <sheetData>
    <row r="1" customFormat="false" ht="25.5" hidden="false" customHeight="true" outlineLevel="0" collapsed="false">
      <c r="A1" s="1" t="s">
        <v>181</v>
      </c>
      <c r="B1" s="1"/>
      <c r="C1" s="1"/>
      <c r="D1" s="1"/>
      <c r="E1" s="1"/>
      <c r="F1" s="1"/>
      <c r="G1" s="1"/>
      <c r="H1" s="1"/>
      <c r="I1" s="1"/>
      <c r="J1" s="1"/>
      <c r="K1" s="1"/>
      <c r="L1" s="1"/>
      <c r="M1" s="1"/>
      <c r="N1" s="1"/>
      <c r="O1" s="1"/>
      <c r="P1" s="3"/>
      <c r="Q1" s="3"/>
      <c r="R1" s="3"/>
      <c r="S1" s="3"/>
      <c r="T1" s="3"/>
      <c r="U1" s="3"/>
      <c r="V1" s="3"/>
      <c r="W1" s="3"/>
      <c r="X1" s="3"/>
      <c r="Y1" s="3"/>
      <c r="Z1" s="3"/>
      <c r="AA1" s="3"/>
      <c r="AB1" s="3"/>
    </row>
    <row r="2" customFormat="false" ht="15" hidden="false" customHeight="false" outlineLevel="0" collapsed="false">
      <c r="A2" s="2" t="s">
        <v>182</v>
      </c>
      <c r="B2" s="2"/>
      <c r="C2" s="2"/>
      <c r="D2" s="2"/>
      <c r="E2" s="2"/>
      <c r="F2" s="2"/>
      <c r="G2" s="2"/>
      <c r="H2" s="2"/>
      <c r="I2" s="2"/>
      <c r="J2" s="2"/>
      <c r="K2" s="2"/>
      <c r="L2" s="2"/>
      <c r="M2" s="2"/>
      <c r="N2" s="2"/>
      <c r="O2" s="2"/>
      <c r="P2" s="3"/>
      <c r="Q2" s="12" t="s">
        <v>183</v>
      </c>
      <c r="R2" s="3"/>
      <c r="S2" s="3"/>
      <c r="T2" s="3"/>
      <c r="U2" s="3"/>
      <c r="V2" s="3"/>
      <c r="W2" s="3"/>
      <c r="X2" s="3"/>
      <c r="Y2" s="3"/>
      <c r="Z2" s="3"/>
      <c r="AA2" s="3"/>
      <c r="AB2" s="3"/>
    </row>
    <row r="3" customFormat="false" ht="31.5" hidden="false" customHeight="true" outlineLevel="0" collapsed="false">
      <c r="A3" s="45" t="s">
        <v>184</v>
      </c>
      <c r="B3" s="45" t="s">
        <v>185</v>
      </c>
      <c r="C3" s="45" t="s">
        <v>186</v>
      </c>
      <c r="D3" s="45" t="s">
        <v>187</v>
      </c>
      <c r="E3" s="45" t="s">
        <v>188</v>
      </c>
      <c r="F3" s="45" t="s">
        <v>189</v>
      </c>
      <c r="G3" s="45" t="s">
        <v>190</v>
      </c>
      <c r="H3" s="45" t="s">
        <v>191</v>
      </c>
      <c r="I3" s="45" t="s">
        <v>192</v>
      </c>
      <c r="J3" s="45" t="s">
        <v>193</v>
      </c>
      <c r="K3" s="45" t="s">
        <v>194</v>
      </c>
      <c r="L3" s="45" t="s">
        <v>195</v>
      </c>
      <c r="M3" s="45" t="s">
        <v>196</v>
      </c>
      <c r="N3" s="45" t="s">
        <v>197</v>
      </c>
      <c r="O3" s="3"/>
      <c r="P3" s="3"/>
      <c r="Q3" s="60" t="s">
        <v>198</v>
      </c>
      <c r="R3" s="61" t="n">
        <v>46265</v>
      </c>
      <c r="S3" s="3"/>
      <c r="T3" s="3"/>
      <c r="U3" s="3"/>
      <c r="V3" s="3"/>
      <c r="W3" s="3"/>
      <c r="X3" s="3"/>
      <c r="Y3" s="3"/>
      <c r="Z3" s="3"/>
      <c r="AA3" s="3"/>
      <c r="AB3" s="3"/>
    </row>
    <row r="4" customFormat="false" ht="30" hidden="false" customHeight="true" outlineLevel="0" collapsed="false">
      <c r="A4" s="48" t="n">
        <v>46237</v>
      </c>
      <c r="B4" s="46" t="s">
        <v>143</v>
      </c>
      <c r="C4" s="50" t="n">
        <v>8</v>
      </c>
      <c r="D4" s="50" t="n">
        <v>7</v>
      </c>
      <c r="E4" s="50" t="n">
        <v>9</v>
      </c>
      <c r="F4" s="50" t="n">
        <v>8</v>
      </c>
      <c r="G4" s="49" t="n">
        <v>354857</v>
      </c>
      <c r="H4" s="50" t="n">
        <v>3</v>
      </c>
      <c r="I4" s="50" t="n">
        <v>2</v>
      </c>
      <c r="J4" s="50" t="n">
        <v>4</v>
      </c>
      <c r="K4" s="50" t="n">
        <v>1</v>
      </c>
      <c r="L4" s="50" t="n">
        <v>2</v>
      </c>
      <c r="M4" s="46" t="s">
        <v>199</v>
      </c>
      <c r="N4" s="51" t="s">
        <v>200</v>
      </c>
      <c r="O4" s="62" t="str">
        <f aca="false">IF($B4="","",TEXT($A4,"YYYY-MM-DD")&amp;"|"&amp;$B4)</f>
        <v>2026-08-03|P-001</v>
      </c>
      <c r="P4" s="3"/>
      <c r="Q4" s="45" t="s">
        <v>87</v>
      </c>
      <c r="R4" s="45" t="s">
        <v>201</v>
      </c>
      <c r="S4" s="45" t="s">
        <v>202</v>
      </c>
      <c r="T4" s="45" t="s">
        <v>203</v>
      </c>
      <c r="U4" s="45" t="s">
        <v>204</v>
      </c>
      <c r="V4" s="45" t="s">
        <v>205</v>
      </c>
      <c r="W4" s="45" t="s">
        <v>206</v>
      </c>
      <c r="X4" s="45" t="s">
        <v>207</v>
      </c>
      <c r="Y4" s="45" t="s">
        <v>208</v>
      </c>
      <c r="Z4" s="45" t="s">
        <v>209</v>
      </c>
      <c r="AA4" s="45" t="s">
        <v>210</v>
      </c>
      <c r="AB4" s="45" t="s">
        <v>195</v>
      </c>
    </row>
    <row r="5" customFormat="false" ht="15" hidden="false" customHeight="false" outlineLevel="0" collapsed="false">
      <c r="A5" s="54" t="n">
        <v>46237</v>
      </c>
      <c r="B5" s="52" t="s">
        <v>151</v>
      </c>
      <c r="C5" s="56" t="n">
        <v>8</v>
      </c>
      <c r="D5" s="56" t="n">
        <v>7</v>
      </c>
      <c r="E5" s="56" t="n">
        <v>8</v>
      </c>
      <c r="F5" s="56" t="n">
        <v>7</v>
      </c>
      <c r="G5" s="55" t="n">
        <v>566190</v>
      </c>
      <c r="H5" s="56" t="n">
        <v>2</v>
      </c>
      <c r="I5" s="56" t="n">
        <v>1</v>
      </c>
      <c r="J5" s="56" t="n">
        <v>5</v>
      </c>
      <c r="K5" s="56" t="n">
        <v>1</v>
      </c>
      <c r="L5" s="56" t="n">
        <v>0</v>
      </c>
      <c r="M5" s="52" t="s">
        <v>211</v>
      </c>
      <c r="N5" s="57" t="s">
        <v>212</v>
      </c>
      <c r="O5" s="62" t="str">
        <f aca="false">IF($B5="","",TEXT($A5,"YYYY-MM-DD")&amp;"|"&amp;$B5)</f>
        <v>2026-08-03|P-002</v>
      </c>
      <c r="P5" s="3"/>
      <c r="Q5" s="19" t="str">
        <f aca="false">IF('TOR Register'!$A4="","",'TOR Register'!$A4)</f>
        <v>P-001</v>
      </c>
      <c r="R5" s="20" t="n">
        <f aca="false">IFERROR(INDEX($C$4:$C$1503,MATCH(TEXT($R$3,"YYYY-MM-DD")&amp;"|"&amp;$Q5,$O$4:$O$1503,0)),"")</f>
        <v>9</v>
      </c>
      <c r="S5" s="20" t="n">
        <f aca="false">IFERROR(INDEX($D$4:$D$1503,MATCH(TEXT($R$3,"YYYY-MM-DD")&amp;"|"&amp;$Q5,$O$4:$O$1503,0)),"")</f>
        <v>7</v>
      </c>
      <c r="T5" s="20" t="n">
        <f aca="false">IFERROR(INDEX($E$4:$E$1503,MATCH(TEXT($R$3,"YYYY-MM-DD")&amp;"|"&amp;$Q5,$O$4:$O$1503,0)),"")</f>
        <v>11</v>
      </c>
      <c r="U5" s="20" t="n">
        <f aca="false">IFERROR(INDEX($F$4:$F$1503,MATCH(TEXT($R$3,"YYYY-MM-DD")&amp;"|"&amp;$Q5,$O$4:$O$1503,0)),"")</f>
        <v>9</v>
      </c>
      <c r="V5" s="21" t="n">
        <f aca="false">IFERROR(INDEX($G$4:$G$1503,MATCH(TEXT($R$3,"YYYY-MM-DD")&amp;"|"&amp;$Q5,$O$4:$O$1503,0)),"")</f>
        <v>412000</v>
      </c>
      <c r="W5" s="20" t="n">
        <f aca="false">IFERROR(INDEX($H$4:$H$1503,MATCH(TEXT($R$3,"YYYY-MM-DD")&amp;"|"&amp;$Q5,$O$4:$O$1503,0)),"")</f>
        <v>3</v>
      </c>
      <c r="X5" s="20" t="n">
        <f aca="false">IFERROR(INDEX($I$4:$I$1503,MATCH(TEXT($R$3,"YYYY-MM-DD")&amp;"|"&amp;$Q5,$O$4:$O$1503,0)),"")</f>
        <v>2</v>
      </c>
      <c r="Y5" s="20" t="n">
        <f aca="false">IFERROR(INDEX($J$4:$J$1503,MATCH(TEXT($R$3,"YYYY-MM-DD")&amp;"|"&amp;$Q5,$O$4:$O$1503,0)),"")</f>
        <v>3</v>
      </c>
      <c r="Z5" s="20" t="n">
        <f aca="false">IFERROR(INDEX($K$4:$K$1503,MATCH(TEXT($R$3,"YYYY-MM-DD")&amp;"|"&amp;$Q5,$O$4:$O$1503,0)),"")</f>
        <v>1</v>
      </c>
      <c r="AA5" s="20" t="n">
        <f aca="false">IFERROR(INDEX($L$4:$L$1503,MATCH(TEXT($R$3,"YYYY-MM-DD")&amp;"|"&amp;$Q5,$O$4:$O$1503,0)),"")</f>
        <v>2</v>
      </c>
      <c r="AB5" s="43" t="str">
        <f aca="false">IFERROR(INDEX($M$4:$M$1503,MATCH(TEXT($R$3,"YYYY-MM-DD")&amp;"|"&amp;$Q5,$O$4:$O$1503,0)),"")</f>
        <v>Amber</v>
      </c>
    </row>
    <row r="6" customFormat="false" ht="15" hidden="false" customHeight="false" outlineLevel="0" collapsed="false">
      <c r="A6" s="48" t="n">
        <v>46237</v>
      </c>
      <c r="B6" s="46" t="s">
        <v>159</v>
      </c>
      <c r="C6" s="50" t="n">
        <v>7</v>
      </c>
      <c r="D6" s="50" t="n">
        <v>4</v>
      </c>
      <c r="E6" s="50" t="n">
        <v>8</v>
      </c>
      <c r="F6" s="50" t="n">
        <v>5</v>
      </c>
      <c r="G6" s="49" t="n">
        <v>298619</v>
      </c>
      <c r="H6" s="50" t="n">
        <v>4</v>
      </c>
      <c r="I6" s="50" t="n">
        <v>3</v>
      </c>
      <c r="J6" s="50" t="n">
        <v>9</v>
      </c>
      <c r="K6" s="50" t="n">
        <v>3</v>
      </c>
      <c r="L6" s="50" t="n">
        <v>3</v>
      </c>
      <c r="M6" s="46" t="s">
        <v>213</v>
      </c>
      <c r="N6" s="51" t="s">
        <v>214</v>
      </c>
      <c r="O6" s="62" t="str">
        <f aca="false">IF($B6="","",TEXT($A6,"YYYY-MM-DD")&amp;"|"&amp;$B6)</f>
        <v>2026-08-03|P-003</v>
      </c>
      <c r="P6" s="3"/>
      <c r="Q6" s="19" t="str">
        <f aca="false">IF('TOR Register'!$A5="","",'TOR Register'!$A5)</f>
        <v>P-002</v>
      </c>
      <c r="R6" s="20" t="n">
        <f aca="false">IFERROR(INDEX($C$4:$C$1503,MATCH(TEXT($R$3,"YYYY-MM-DD")&amp;"|"&amp;$Q6,$O$4:$O$1503,0)),"")</f>
        <v>10</v>
      </c>
      <c r="S6" s="20" t="n">
        <f aca="false">IFERROR(INDEX($D$4:$D$1503,MATCH(TEXT($R$3,"YYYY-MM-DD")&amp;"|"&amp;$Q6,$O$4:$O$1503,0)),"")</f>
        <v>9</v>
      </c>
      <c r="T6" s="20" t="n">
        <f aca="false">IFERROR(INDEX($E$4:$E$1503,MATCH(TEXT($R$3,"YYYY-MM-DD")&amp;"|"&amp;$Q6,$O$4:$O$1503,0)),"")</f>
        <v>10</v>
      </c>
      <c r="U6" s="20" t="n">
        <f aca="false">IFERROR(INDEX($F$4:$F$1503,MATCH(TEXT($R$3,"YYYY-MM-DD")&amp;"|"&amp;$Q6,$O$4:$O$1503,0)),"")</f>
        <v>9</v>
      </c>
      <c r="V6" s="21" t="n">
        <f aca="false">IFERROR(INDEX($G$4:$G$1503,MATCH(TEXT($R$3,"YYYY-MM-DD")&amp;"|"&amp;$Q6,$O$4:$O$1503,0)),"")</f>
        <v>690000</v>
      </c>
      <c r="W6" s="20" t="n">
        <f aca="false">IFERROR(INDEX($H$4:$H$1503,MATCH(TEXT($R$3,"YYYY-MM-DD")&amp;"|"&amp;$Q6,$O$4:$O$1503,0)),"")</f>
        <v>3</v>
      </c>
      <c r="X6" s="20" t="n">
        <f aca="false">IFERROR(INDEX($I$4:$I$1503,MATCH(TEXT($R$3,"YYYY-MM-DD")&amp;"|"&amp;$Q6,$O$4:$O$1503,0)),"")</f>
        <v>2</v>
      </c>
      <c r="Y6" s="20" t="n">
        <f aca="false">IFERROR(INDEX($J$4:$J$1503,MATCH(TEXT($R$3,"YYYY-MM-DD")&amp;"|"&amp;$Q6,$O$4:$O$1503,0)),"")</f>
        <v>5</v>
      </c>
      <c r="Z6" s="20" t="n">
        <f aca="false">IFERROR(INDEX($K$4:$K$1503,MATCH(TEXT($R$3,"YYYY-MM-DD")&amp;"|"&amp;$Q6,$O$4:$O$1503,0)),"")</f>
        <v>0</v>
      </c>
      <c r="AA6" s="20" t="n">
        <f aca="false">IFERROR(INDEX($L$4:$L$1503,MATCH(TEXT($R$3,"YYYY-MM-DD")&amp;"|"&amp;$Q6,$O$4:$O$1503,0)),"")</f>
        <v>0</v>
      </c>
      <c r="AB6" s="43" t="str">
        <f aca="false">IFERROR(INDEX($M$4:$M$1503,MATCH(TEXT($R$3,"YYYY-MM-DD")&amp;"|"&amp;$Q6,$O$4:$O$1503,0)),"")</f>
        <v>Green</v>
      </c>
    </row>
    <row r="7" customFormat="false" ht="15" hidden="false" customHeight="false" outlineLevel="0" collapsed="false">
      <c r="A7" s="54" t="n">
        <v>46237</v>
      </c>
      <c r="B7" s="52" t="s">
        <v>167</v>
      </c>
      <c r="C7" s="56" t="n">
        <v>6</v>
      </c>
      <c r="D7" s="56" t="n">
        <v>6</v>
      </c>
      <c r="E7" s="56" t="n">
        <v>6</v>
      </c>
      <c r="F7" s="56" t="n">
        <v>6</v>
      </c>
      <c r="G7" s="55" t="n">
        <v>343571</v>
      </c>
      <c r="H7" s="56" t="n">
        <v>1</v>
      </c>
      <c r="I7" s="56" t="n">
        <v>1</v>
      </c>
      <c r="J7" s="56" t="n">
        <v>2</v>
      </c>
      <c r="K7" s="56" t="n">
        <v>0</v>
      </c>
      <c r="L7" s="56" t="n">
        <v>0</v>
      </c>
      <c r="M7" s="52" t="s">
        <v>211</v>
      </c>
      <c r="N7" s="57" t="s">
        <v>215</v>
      </c>
      <c r="O7" s="62" t="str">
        <f aca="false">IF($B7="","",TEXT($A7,"YYYY-MM-DD")&amp;"|"&amp;$B7)</f>
        <v>2026-08-03|P-004</v>
      </c>
      <c r="P7" s="3"/>
      <c r="Q7" s="19" t="str">
        <f aca="false">IF('TOR Register'!$A6="","",'TOR Register'!$A6)</f>
        <v>P-003</v>
      </c>
      <c r="R7" s="20" t="n">
        <f aca="false">IFERROR(INDEX($C$4:$C$1503,MATCH(TEXT($R$3,"YYYY-MM-DD")&amp;"|"&amp;$Q7,$O$4:$O$1503,0)),"")</f>
        <v>8</v>
      </c>
      <c r="S7" s="20" t="n">
        <f aca="false">IFERROR(INDEX($D$4:$D$1503,MATCH(TEXT($R$3,"YYYY-MM-DD")&amp;"|"&amp;$Q7,$O$4:$O$1503,0)),"")</f>
        <v>5</v>
      </c>
      <c r="T7" s="20" t="n">
        <f aca="false">IFERROR(INDEX($E$4:$E$1503,MATCH(TEXT($R$3,"YYYY-MM-DD")&amp;"|"&amp;$Q7,$O$4:$O$1503,0)),"")</f>
        <v>10</v>
      </c>
      <c r="U7" s="20" t="n">
        <f aca="false">IFERROR(INDEX($F$4:$F$1503,MATCH(TEXT($R$3,"YYYY-MM-DD")&amp;"|"&amp;$Q7,$O$4:$O$1503,0)),"")</f>
        <v>6</v>
      </c>
      <c r="V7" s="21" t="n">
        <f aca="false">IFERROR(INDEX($G$4:$G$1503,MATCH(TEXT($R$3,"YYYY-MM-DD")&amp;"|"&amp;$Q7,$O$4:$O$1503,0)),"")</f>
        <v>351000</v>
      </c>
      <c r="W7" s="20" t="n">
        <f aca="false">IFERROR(INDEX($H$4:$H$1503,MATCH(TEXT($R$3,"YYYY-MM-DD")&amp;"|"&amp;$Q7,$O$4:$O$1503,0)),"")</f>
        <v>5</v>
      </c>
      <c r="X7" s="20" t="n">
        <f aca="false">IFERROR(INDEX($I$4:$I$1503,MATCH(TEXT($R$3,"YYYY-MM-DD")&amp;"|"&amp;$Q7,$O$4:$O$1503,0)),"")</f>
        <v>4</v>
      </c>
      <c r="Y7" s="20" t="n">
        <f aca="false">IFERROR(INDEX($J$4:$J$1503,MATCH(TEXT($R$3,"YYYY-MM-DD")&amp;"|"&amp;$Q7,$O$4:$O$1503,0)),"")</f>
        <v>9</v>
      </c>
      <c r="Z7" s="20" t="n">
        <f aca="false">IFERROR(INDEX($K$4:$K$1503,MATCH(TEXT($R$3,"YYYY-MM-DD")&amp;"|"&amp;$Q7,$O$4:$O$1503,0)),"")</f>
        <v>3</v>
      </c>
      <c r="AA7" s="20" t="n">
        <f aca="false">IFERROR(INDEX($L$4:$L$1503,MATCH(TEXT($R$3,"YYYY-MM-DD")&amp;"|"&amp;$Q7,$O$4:$O$1503,0)),"")</f>
        <v>4</v>
      </c>
      <c r="AB7" s="43" t="str">
        <f aca="false">IFERROR(INDEX($M$4:$M$1503,MATCH(TEXT($R$3,"YYYY-MM-DD")&amp;"|"&amp;$Q7,$O$4:$O$1503,0)),"")</f>
        <v>Red</v>
      </c>
    </row>
    <row r="8" customFormat="false" ht="15" hidden="false" customHeight="false" outlineLevel="0" collapsed="false">
      <c r="A8" s="48" t="n">
        <v>46237</v>
      </c>
      <c r="B8" s="46" t="s">
        <v>174</v>
      </c>
      <c r="C8" s="50" t="n">
        <v>6</v>
      </c>
      <c r="D8" s="50" t="n">
        <v>5</v>
      </c>
      <c r="E8" s="50" t="n">
        <v>7</v>
      </c>
      <c r="F8" s="50" t="n">
        <v>6</v>
      </c>
      <c r="G8" s="49" t="n">
        <v>182095</v>
      </c>
      <c r="H8" s="50" t="n">
        <v>2</v>
      </c>
      <c r="I8" s="50" t="n">
        <v>1</v>
      </c>
      <c r="J8" s="50" t="n">
        <v>4</v>
      </c>
      <c r="K8" s="50" t="n">
        <v>1</v>
      </c>
      <c r="L8" s="50" t="n">
        <v>0</v>
      </c>
      <c r="M8" s="46" t="s">
        <v>211</v>
      </c>
      <c r="N8" s="51" t="s">
        <v>216</v>
      </c>
      <c r="O8" s="62" t="str">
        <f aca="false">IF($B8="","",TEXT($A8,"YYYY-MM-DD")&amp;"|"&amp;$B8)</f>
        <v>2026-08-03|P-005</v>
      </c>
      <c r="P8" s="3"/>
      <c r="Q8" s="19" t="str">
        <f aca="false">IF('TOR Register'!$A7="","",'TOR Register'!$A7)</f>
        <v>P-004</v>
      </c>
      <c r="R8" s="20" t="n">
        <f aca="false">IFERROR(INDEX($C$4:$C$1503,MATCH(TEXT($R$3,"YYYY-MM-DD")&amp;"|"&amp;$Q8,$O$4:$O$1503,0)),"")</f>
        <v>8</v>
      </c>
      <c r="S8" s="20" t="n">
        <f aca="false">IFERROR(INDEX($D$4:$D$1503,MATCH(TEXT($R$3,"YYYY-MM-DD")&amp;"|"&amp;$Q8,$O$4:$O$1503,0)),"")</f>
        <v>8</v>
      </c>
      <c r="T8" s="20" t="n">
        <f aca="false">IFERROR(INDEX($E$4:$E$1503,MATCH(TEXT($R$3,"YYYY-MM-DD")&amp;"|"&amp;$Q8,$O$4:$O$1503,0)),"")</f>
        <v>8</v>
      </c>
      <c r="U8" s="20" t="n">
        <f aca="false">IFERROR(INDEX($F$4:$F$1503,MATCH(TEXT($R$3,"YYYY-MM-DD")&amp;"|"&amp;$Q8,$O$4:$O$1503,0)),"")</f>
        <v>8</v>
      </c>
      <c r="V8" s="21" t="n">
        <f aca="false">IFERROR(INDEX($G$4:$G$1503,MATCH(TEXT($R$3,"YYYY-MM-DD")&amp;"|"&amp;$Q8,$O$4:$O$1503,0)),"")</f>
        <v>415000</v>
      </c>
      <c r="W8" s="20" t="n">
        <f aca="false">IFERROR(INDEX($H$4:$H$1503,MATCH(TEXT($R$3,"YYYY-MM-DD")&amp;"|"&amp;$Q8,$O$4:$O$1503,0)),"")</f>
        <v>1</v>
      </c>
      <c r="X8" s="20" t="n">
        <f aca="false">IFERROR(INDEX($I$4:$I$1503,MATCH(TEXT($R$3,"YYYY-MM-DD")&amp;"|"&amp;$Q8,$O$4:$O$1503,0)),"")</f>
        <v>1</v>
      </c>
      <c r="Y8" s="20" t="n">
        <f aca="false">IFERROR(INDEX($J$4:$J$1503,MATCH(TEXT($R$3,"YYYY-MM-DD")&amp;"|"&amp;$Q8,$O$4:$O$1503,0)),"")</f>
        <v>2</v>
      </c>
      <c r="Z8" s="20" t="n">
        <f aca="false">IFERROR(INDEX($K$4:$K$1503,MATCH(TEXT($R$3,"YYYY-MM-DD")&amp;"|"&amp;$Q8,$O$4:$O$1503,0)),"")</f>
        <v>0</v>
      </c>
      <c r="AA8" s="20" t="n">
        <f aca="false">IFERROR(INDEX($L$4:$L$1503,MATCH(TEXT($R$3,"YYYY-MM-DD")&amp;"|"&amp;$Q8,$O$4:$O$1503,0)),"")</f>
        <v>0</v>
      </c>
      <c r="AB8" s="43" t="str">
        <f aca="false">IFERROR(INDEX($M$4:$M$1503,MATCH(TEXT($R$3,"YYYY-MM-DD")&amp;"|"&amp;$Q8,$O$4:$O$1503,0)),"")</f>
        <v>Green</v>
      </c>
    </row>
    <row r="9" customFormat="false" ht="15" hidden="false" customHeight="false" outlineLevel="0" collapsed="false">
      <c r="A9" s="54" t="n">
        <v>46238</v>
      </c>
      <c r="B9" s="52" t="s">
        <v>143</v>
      </c>
      <c r="C9" s="56" t="n">
        <v>8</v>
      </c>
      <c r="D9" s="56" t="n">
        <v>7</v>
      </c>
      <c r="E9" s="56" t="n">
        <v>9</v>
      </c>
      <c r="F9" s="56" t="n">
        <v>8</v>
      </c>
      <c r="G9" s="55" t="n">
        <v>357714</v>
      </c>
      <c r="H9" s="56" t="n">
        <v>3</v>
      </c>
      <c r="I9" s="56" t="n">
        <v>2</v>
      </c>
      <c r="J9" s="56" t="n">
        <v>4</v>
      </c>
      <c r="K9" s="56" t="n">
        <v>1</v>
      </c>
      <c r="L9" s="56" t="n">
        <v>2</v>
      </c>
      <c r="M9" s="52" t="s">
        <v>199</v>
      </c>
      <c r="N9" s="57" t="s">
        <v>200</v>
      </c>
      <c r="O9" s="62" t="str">
        <f aca="false">IF($B9="","",TEXT($A9,"YYYY-MM-DD")&amp;"|"&amp;$B9)</f>
        <v>2026-08-04|P-001</v>
      </c>
      <c r="P9" s="3"/>
      <c r="Q9" s="19" t="str">
        <f aca="false">IF('TOR Register'!$A8="","",'TOR Register'!$A8)</f>
        <v>P-005</v>
      </c>
      <c r="R9" s="20" t="n">
        <f aca="false">IFERROR(INDEX($C$4:$C$1503,MATCH(TEXT($R$3,"YYYY-MM-DD")&amp;"|"&amp;$Q9,$O$4:$O$1503,0)),"")</f>
        <v>7</v>
      </c>
      <c r="S9" s="20" t="n">
        <f aca="false">IFERROR(INDEX($D$4:$D$1503,MATCH(TEXT($R$3,"YYYY-MM-DD")&amp;"|"&amp;$Q9,$O$4:$O$1503,0)),"")</f>
        <v>6</v>
      </c>
      <c r="T9" s="20" t="n">
        <f aca="false">IFERROR(INDEX($E$4:$E$1503,MATCH(TEXT($R$3,"YYYY-MM-DD")&amp;"|"&amp;$Q9,$O$4:$O$1503,0)),"")</f>
        <v>9</v>
      </c>
      <c r="U9" s="20" t="n">
        <f aca="false">IFERROR(INDEX($F$4:$F$1503,MATCH(TEXT($R$3,"YYYY-MM-DD")&amp;"|"&amp;$Q9,$O$4:$O$1503,0)),"")</f>
        <v>7</v>
      </c>
      <c r="V9" s="21" t="n">
        <f aca="false">IFERROR(INDEX($G$4:$G$1503,MATCH(TEXT($R$3,"YYYY-MM-DD")&amp;"|"&amp;$Q9,$O$4:$O$1503,0)),"")</f>
        <v>224000</v>
      </c>
      <c r="W9" s="20" t="n">
        <f aca="false">IFERROR(INDEX($H$4:$H$1503,MATCH(TEXT($R$3,"YYYY-MM-DD")&amp;"|"&amp;$Q9,$O$4:$O$1503,0)),"")</f>
        <v>2</v>
      </c>
      <c r="X9" s="20" t="n">
        <f aca="false">IFERROR(INDEX($I$4:$I$1503,MATCH(TEXT($R$3,"YYYY-MM-DD")&amp;"|"&amp;$Q9,$O$4:$O$1503,0)),"")</f>
        <v>1</v>
      </c>
      <c r="Y9" s="20" t="n">
        <f aca="false">IFERROR(INDEX($J$4:$J$1503,MATCH(TEXT($R$3,"YYYY-MM-DD")&amp;"|"&amp;$Q9,$O$4:$O$1503,0)),"")</f>
        <v>3</v>
      </c>
      <c r="Z9" s="20" t="n">
        <f aca="false">IFERROR(INDEX($K$4:$K$1503,MATCH(TEXT($R$3,"YYYY-MM-DD")&amp;"|"&amp;$Q9,$O$4:$O$1503,0)),"")</f>
        <v>0</v>
      </c>
      <c r="AA9" s="20" t="n">
        <f aca="false">IFERROR(INDEX($L$4:$L$1503,MATCH(TEXT($R$3,"YYYY-MM-DD")&amp;"|"&amp;$Q9,$O$4:$O$1503,0)),"")</f>
        <v>1</v>
      </c>
      <c r="AB9" s="43" t="str">
        <f aca="false">IFERROR(INDEX($M$4:$M$1503,MATCH(TEXT($R$3,"YYYY-MM-DD")&amp;"|"&amp;$Q9,$O$4:$O$1503,0)),"")</f>
        <v>Green</v>
      </c>
    </row>
    <row r="10" customFormat="false" ht="15" hidden="false" customHeight="false" outlineLevel="0" collapsed="false">
      <c r="A10" s="48" t="n">
        <v>46238</v>
      </c>
      <c r="B10" s="46" t="s">
        <v>151</v>
      </c>
      <c r="C10" s="50" t="n">
        <v>8</v>
      </c>
      <c r="D10" s="50" t="n">
        <v>7</v>
      </c>
      <c r="E10" s="50" t="n">
        <v>8</v>
      </c>
      <c r="F10" s="50" t="n">
        <v>7</v>
      </c>
      <c r="G10" s="49" t="n">
        <v>572381</v>
      </c>
      <c r="H10" s="50" t="n">
        <v>2</v>
      </c>
      <c r="I10" s="50" t="n">
        <v>1</v>
      </c>
      <c r="J10" s="50" t="n">
        <v>5</v>
      </c>
      <c r="K10" s="50" t="n">
        <v>1</v>
      </c>
      <c r="L10" s="50" t="n">
        <v>0</v>
      </c>
      <c r="M10" s="46" t="s">
        <v>211</v>
      </c>
      <c r="N10" s="51" t="s">
        <v>212</v>
      </c>
      <c r="O10" s="62" t="str">
        <f aca="false">IF($B10="","",TEXT($A10,"YYYY-MM-DD")&amp;"|"&amp;$B10)</f>
        <v>2026-08-04|P-002</v>
      </c>
      <c r="P10" s="3"/>
      <c r="Q10" s="19" t="str">
        <f aca="false">IF('TOR Register'!$A9="","",'TOR Register'!$A9)</f>
        <v/>
      </c>
      <c r="R10" s="20" t="str">
        <f aca="false">IFERROR(INDEX($C$4:$C$1503,MATCH(TEXT($R$3,"YYYY-MM-DD")&amp;"|"&amp;$Q10,$O$4:$O$1503,0)),"")</f>
        <v/>
      </c>
      <c r="S10" s="20" t="str">
        <f aca="false">IFERROR(INDEX($D$4:$D$1503,MATCH(TEXT($R$3,"YYYY-MM-DD")&amp;"|"&amp;$Q10,$O$4:$O$1503,0)),"")</f>
        <v/>
      </c>
      <c r="T10" s="20" t="str">
        <f aca="false">IFERROR(INDEX($E$4:$E$1503,MATCH(TEXT($R$3,"YYYY-MM-DD")&amp;"|"&amp;$Q10,$O$4:$O$1503,0)),"")</f>
        <v/>
      </c>
      <c r="U10" s="20" t="str">
        <f aca="false">IFERROR(INDEX($F$4:$F$1503,MATCH(TEXT($R$3,"YYYY-MM-DD")&amp;"|"&amp;$Q10,$O$4:$O$1503,0)),"")</f>
        <v/>
      </c>
      <c r="V10" s="21" t="str">
        <f aca="false">IFERROR(INDEX($G$4:$G$1503,MATCH(TEXT($R$3,"YYYY-MM-DD")&amp;"|"&amp;$Q10,$O$4:$O$1503,0)),"")</f>
        <v/>
      </c>
      <c r="W10" s="20" t="str">
        <f aca="false">IFERROR(INDEX($H$4:$H$1503,MATCH(TEXT($R$3,"YYYY-MM-DD")&amp;"|"&amp;$Q10,$O$4:$O$1503,0)),"")</f>
        <v/>
      </c>
      <c r="X10" s="20" t="str">
        <f aca="false">IFERROR(INDEX($I$4:$I$1503,MATCH(TEXT($R$3,"YYYY-MM-DD")&amp;"|"&amp;$Q10,$O$4:$O$1503,0)),"")</f>
        <v/>
      </c>
      <c r="Y10" s="20" t="str">
        <f aca="false">IFERROR(INDEX($J$4:$J$1503,MATCH(TEXT($R$3,"YYYY-MM-DD")&amp;"|"&amp;$Q10,$O$4:$O$1503,0)),"")</f>
        <v/>
      </c>
      <c r="Z10" s="20" t="str">
        <f aca="false">IFERROR(INDEX($K$4:$K$1503,MATCH(TEXT($R$3,"YYYY-MM-DD")&amp;"|"&amp;$Q10,$O$4:$O$1503,0)),"")</f>
        <v/>
      </c>
      <c r="AA10" s="20" t="str">
        <f aca="false">IFERROR(INDEX($L$4:$L$1503,MATCH(TEXT($R$3,"YYYY-MM-DD")&amp;"|"&amp;$Q10,$O$4:$O$1503,0)),"")</f>
        <v/>
      </c>
      <c r="AB10" s="43" t="str">
        <f aca="false">IFERROR(INDEX($M$4:$M$1503,MATCH(TEXT($R$3,"YYYY-MM-DD")&amp;"|"&amp;$Q10,$O$4:$O$1503,0)),"")</f>
        <v/>
      </c>
    </row>
    <row r="11" customFormat="false" ht="15" hidden="false" customHeight="false" outlineLevel="0" collapsed="false">
      <c r="A11" s="54" t="n">
        <v>46238</v>
      </c>
      <c r="B11" s="52" t="s">
        <v>159</v>
      </c>
      <c r="C11" s="56" t="n">
        <v>7</v>
      </c>
      <c r="D11" s="56" t="n">
        <v>4</v>
      </c>
      <c r="E11" s="56" t="n">
        <v>8</v>
      </c>
      <c r="F11" s="56" t="n">
        <v>5</v>
      </c>
      <c r="G11" s="55" t="n">
        <v>301238</v>
      </c>
      <c r="H11" s="56" t="n">
        <v>4</v>
      </c>
      <c r="I11" s="56" t="n">
        <v>3</v>
      </c>
      <c r="J11" s="56" t="n">
        <v>9</v>
      </c>
      <c r="K11" s="56" t="n">
        <v>3</v>
      </c>
      <c r="L11" s="56" t="n">
        <v>3</v>
      </c>
      <c r="M11" s="52" t="s">
        <v>213</v>
      </c>
      <c r="N11" s="57" t="s">
        <v>214</v>
      </c>
      <c r="O11" s="62" t="str">
        <f aca="false">IF($B11="","",TEXT($A11,"YYYY-MM-DD")&amp;"|"&amp;$B11)</f>
        <v>2026-08-04|P-003</v>
      </c>
      <c r="P11" s="3"/>
      <c r="Q11" s="19" t="str">
        <f aca="false">IF('TOR Register'!$A10="","",'TOR Register'!$A10)</f>
        <v/>
      </c>
      <c r="R11" s="20" t="str">
        <f aca="false">IFERROR(INDEX($C$4:$C$1503,MATCH(TEXT($R$3,"YYYY-MM-DD")&amp;"|"&amp;$Q11,$O$4:$O$1503,0)),"")</f>
        <v/>
      </c>
      <c r="S11" s="20" t="str">
        <f aca="false">IFERROR(INDEX($D$4:$D$1503,MATCH(TEXT($R$3,"YYYY-MM-DD")&amp;"|"&amp;$Q11,$O$4:$O$1503,0)),"")</f>
        <v/>
      </c>
      <c r="T11" s="20" t="str">
        <f aca="false">IFERROR(INDEX($E$4:$E$1503,MATCH(TEXT($R$3,"YYYY-MM-DD")&amp;"|"&amp;$Q11,$O$4:$O$1503,0)),"")</f>
        <v/>
      </c>
      <c r="U11" s="20" t="str">
        <f aca="false">IFERROR(INDEX($F$4:$F$1503,MATCH(TEXT($R$3,"YYYY-MM-DD")&amp;"|"&amp;$Q11,$O$4:$O$1503,0)),"")</f>
        <v/>
      </c>
      <c r="V11" s="21" t="str">
        <f aca="false">IFERROR(INDEX($G$4:$G$1503,MATCH(TEXT($R$3,"YYYY-MM-DD")&amp;"|"&amp;$Q11,$O$4:$O$1503,0)),"")</f>
        <v/>
      </c>
      <c r="W11" s="20" t="str">
        <f aca="false">IFERROR(INDEX($H$4:$H$1503,MATCH(TEXT($R$3,"YYYY-MM-DD")&amp;"|"&amp;$Q11,$O$4:$O$1503,0)),"")</f>
        <v/>
      </c>
      <c r="X11" s="20" t="str">
        <f aca="false">IFERROR(INDEX($I$4:$I$1503,MATCH(TEXT($R$3,"YYYY-MM-DD")&amp;"|"&amp;$Q11,$O$4:$O$1503,0)),"")</f>
        <v/>
      </c>
      <c r="Y11" s="20" t="str">
        <f aca="false">IFERROR(INDEX($J$4:$J$1503,MATCH(TEXT($R$3,"YYYY-MM-DD")&amp;"|"&amp;$Q11,$O$4:$O$1503,0)),"")</f>
        <v/>
      </c>
      <c r="Z11" s="20" t="str">
        <f aca="false">IFERROR(INDEX($K$4:$K$1503,MATCH(TEXT($R$3,"YYYY-MM-DD")&amp;"|"&amp;$Q11,$O$4:$O$1503,0)),"")</f>
        <v/>
      </c>
      <c r="AA11" s="20" t="str">
        <f aca="false">IFERROR(INDEX($L$4:$L$1503,MATCH(TEXT($R$3,"YYYY-MM-DD")&amp;"|"&amp;$Q11,$O$4:$O$1503,0)),"")</f>
        <v/>
      </c>
      <c r="AB11" s="43" t="str">
        <f aca="false">IFERROR(INDEX($M$4:$M$1503,MATCH(TEXT($R$3,"YYYY-MM-DD")&amp;"|"&amp;$Q11,$O$4:$O$1503,0)),"")</f>
        <v/>
      </c>
    </row>
    <row r="12" customFormat="false" ht="15" hidden="false" customHeight="false" outlineLevel="0" collapsed="false">
      <c r="A12" s="48" t="n">
        <v>46238</v>
      </c>
      <c r="B12" s="46" t="s">
        <v>167</v>
      </c>
      <c r="C12" s="50" t="n">
        <v>6</v>
      </c>
      <c r="D12" s="50" t="n">
        <v>6</v>
      </c>
      <c r="E12" s="50" t="n">
        <v>6</v>
      </c>
      <c r="F12" s="50" t="n">
        <v>6</v>
      </c>
      <c r="G12" s="49" t="n">
        <v>347143</v>
      </c>
      <c r="H12" s="50" t="n">
        <v>1</v>
      </c>
      <c r="I12" s="50" t="n">
        <v>1</v>
      </c>
      <c r="J12" s="50" t="n">
        <v>2</v>
      </c>
      <c r="K12" s="50" t="n">
        <v>0</v>
      </c>
      <c r="L12" s="50" t="n">
        <v>0</v>
      </c>
      <c r="M12" s="46" t="s">
        <v>211</v>
      </c>
      <c r="N12" s="51" t="s">
        <v>215</v>
      </c>
      <c r="O12" s="62" t="str">
        <f aca="false">IF($B12="","",TEXT($A12,"YYYY-MM-DD")&amp;"|"&amp;$B12)</f>
        <v>2026-08-04|P-004</v>
      </c>
      <c r="P12" s="3"/>
      <c r="Q12" s="19" t="str">
        <f aca="false">IF('TOR Register'!$A11="","",'TOR Register'!$A11)</f>
        <v/>
      </c>
      <c r="R12" s="20" t="str">
        <f aca="false">IFERROR(INDEX($C$4:$C$1503,MATCH(TEXT($R$3,"YYYY-MM-DD")&amp;"|"&amp;$Q12,$O$4:$O$1503,0)),"")</f>
        <v/>
      </c>
      <c r="S12" s="20" t="str">
        <f aca="false">IFERROR(INDEX($D$4:$D$1503,MATCH(TEXT($R$3,"YYYY-MM-DD")&amp;"|"&amp;$Q12,$O$4:$O$1503,0)),"")</f>
        <v/>
      </c>
      <c r="T12" s="20" t="str">
        <f aca="false">IFERROR(INDEX($E$4:$E$1503,MATCH(TEXT($R$3,"YYYY-MM-DD")&amp;"|"&amp;$Q12,$O$4:$O$1503,0)),"")</f>
        <v/>
      </c>
      <c r="U12" s="20" t="str">
        <f aca="false">IFERROR(INDEX($F$4:$F$1503,MATCH(TEXT($R$3,"YYYY-MM-DD")&amp;"|"&amp;$Q12,$O$4:$O$1503,0)),"")</f>
        <v/>
      </c>
      <c r="V12" s="21" t="str">
        <f aca="false">IFERROR(INDEX($G$4:$G$1503,MATCH(TEXT($R$3,"YYYY-MM-DD")&amp;"|"&amp;$Q12,$O$4:$O$1503,0)),"")</f>
        <v/>
      </c>
      <c r="W12" s="20" t="str">
        <f aca="false">IFERROR(INDEX($H$4:$H$1503,MATCH(TEXT($R$3,"YYYY-MM-DD")&amp;"|"&amp;$Q12,$O$4:$O$1503,0)),"")</f>
        <v/>
      </c>
      <c r="X12" s="20" t="str">
        <f aca="false">IFERROR(INDEX($I$4:$I$1503,MATCH(TEXT($R$3,"YYYY-MM-DD")&amp;"|"&amp;$Q12,$O$4:$O$1503,0)),"")</f>
        <v/>
      </c>
      <c r="Y12" s="20" t="str">
        <f aca="false">IFERROR(INDEX($J$4:$J$1503,MATCH(TEXT($R$3,"YYYY-MM-DD")&amp;"|"&amp;$Q12,$O$4:$O$1503,0)),"")</f>
        <v/>
      </c>
      <c r="Z12" s="20" t="str">
        <f aca="false">IFERROR(INDEX($K$4:$K$1503,MATCH(TEXT($R$3,"YYYY-MM-DD")&amp;"|"&amp;$Q12,$O$4:$O$1503,0)),"")</f>
        <v/>
      </c>
      <c r="AA12" s="20" t="str">
        <f aca="false">IFERROR(INDEX($L$4:$L$1503,MATCH(TEXT($R$3,"YYYY-MM-DD")&amp;"|"&amp;$Q12,$O$4:$O$1503,0)),"")</f>
        <v/>
      </c>
      <c r="AB12" s="43" t="str">
        <f aca="false">IFERROR(INDEX($M$4:$M$1503,MATCH(TEXT($R$3,"YYYY-MM-DD")&amp;"|"&amp;$Q12,$O$4:$O$1503,0)),"")</f>
        <v/>
      </c>
    </row>
    <row r="13" customFormat="false" ht="15" hidden="false" customHeight="false" outlineLevel="0" collapsed="false">
      <c r="A13" s="54" t="n">
        <v>46238</v>
      </c>
      <c r="B13" s="52" t="s">
        <v>174</v>
      </c>
      <c r="C13" s="56" t="n">
        <v>6</v>
      </c>
      <c r="D13" s="56" t="n">
        <v>5</v>
      </c>
      <c r="E13" s="56" t="n">
        <v>7</v>
      </c>
      <c r="F13" s="56" t="n">
        <v>6</v>
      </c>
      <c r="G13" s="55" t="n">
        <v>184190</v>
      </c>
      <c r="H13" s="56" t="n">
        <v>2</v>
      </c>
      <c r="I13" s="56" t="n">
        <v>1</v>
      </c>
      <c r="J13" s="56" t="n">
        <v>4</v>
      </c>
      <c r="K13" s="56" t="n">
        <v>1</v>
      </c>
      <c r="L13" s="56" t="n">
        <v>0</v>
      </c>
      <c r="M13" s="52" t="s">
        <v>211</v>
      </c>
      <c r="N13" s="57" t="s">
        <v>216</v>
      </c>
      <c r="O13" s="62" t="str">
        <f aca="false">IF($B13="","",TEXT($A13,"YYYY-MM-DD")&amp;"|"&amp;$B13)</f>
        <v>2026-08-04|P-005</v>
      </c>
      <c r="P13" s="3"/>
      <c r="Q13" s="19" t="str">
        <f aca="false">IF('TOR Register'!$A12="","",'TOR Register'!$A12)</f>
        <v/>
      </c>
      <c r="R13" s="20" t="str">
        <f aca="false">IFERROR(INDEX($C$4:$C$1503,MATCH(TEXT($R$3,"YYYY-MM-DD")&amp;"|"&amp;$Q13,$O$4:$O$1503,0)),"")</f>
        <v/>
      </c>
      <c r="S13" s="20" t="str">
        <f aca="false">IFERROR(INDEX($D$4:$D$1503,MATCH(TEXT($R$3,"YYYY-MM-DD")&amp;"|"&amp;$Q13,$O$4:$O$1503,0)),"")</f>
        <v/>
      </c>
      <c r="T13" s="20" t="str">
        <f aca="false">IFERROR(INDEX($E$4:$E$1503,MATCH(TEXT($R$3,"YYYY-MM-DD")&amp;"|"&amp;$Q13,$O$4:$O$1503,0)),"")</f>
        <v/>
      </c>
      <c r="U13" s="20" t="str">
        <f aca="false">IFERROR(INDEX($F$4:$F$1503,MATCH(TEXT($R$3,"YYYY-MM-DD")&amp;"|"&amp;$Q13,$O$4:$O$1503,0)),"")</f>
        <v/>
      </c>
      <c r="V13" s="21" t="str">
        <f aca="false">IFERROR(INDEX($G$4:$G$1503,MATCH(TEXT($R$3,"YYYY-MM-DD")&amp;"|"&amp;$Q13,$O$4:$O$1503,0)),"")</f>
        <v/>
      </c>
      <c r="W13" s="20" t="str">
        <f aca="false">IFERROR(INDEX($H$4:$H$1503,MATCH(TEXT($R$3,"YYYY-MM-DD")&amp;"|"&amp;$Q13,$O$4:$O$1503,0)),"")</f>
        <v/>
      </c>
      <c r="X13" s="20" t="str">
        <f aca="false">IFERROR(INDEX($I$4:$I$1503,MATCH(TEXT($R$3,"YYYY-MM-DD")&amp;"|"&amp;$Q13,$O$4:$O$1503,0)),"")</f>
        <v/>
      </c>
      <c r="Y13" s="20" t="str">
        <f aca="false">IFERROR(INDEX($J$4:$J$1503,MATCH(TEXT($R$3,"YYYY-MM-DD")&amp;"|"&amp;$Q13,$O$4:$O$1503,0)),"")</f>
        <v/>
      </c>
      <c r="Z13" s="20" t="str">
        <f aca="false">IFERROR(INDEX($K$4:$K$1503,MATCH(TEXT($R$3,"YYYY-MM-DD")&amp;"|"&amp;$Q13,$O$4:$O$1503,0)),"")</f>
        <v/>
      </c>
      <c r="AA13" s="20" t="str">
        <f aca="false">IFERROR(INDEX($L$4:$L$1503,MATCH(TEXT($R$3,"YYYY-MM-DD")&amp;"|"&amp;$Q13,$O$4:$O$1503,0)),"")</f>
        <v/>
      </c>
      <c r="AB13" s="43" t="str">
        <f aca="false">IFERROR(INDEX($M$4:$M$1503,MATCH(TEXT($R$3,"YYYY-MM-DD")&amp;"|"&amp;$Q13,$O$4:$O$1503,0)),"")</f>
        <v/>
      </c>
    </row>
    <row r="14" customFormat="false" ht="15" hidden="false" customHeight="false" outlineLevel="0" collapsed="false">
      <c r="A14" s="48" t="n">
        <v>46239</v>
      </c>
      <c r="B14" s="46" t="s">
        <v>143</v>
      </c>
      <c r="C14" s="50" t="n">
        <v>8</v>
      </c>
      <c r="D14" s="50" t="n">
        <v>7</v>
      </c>
      <c r="E14" s="50" t="n">
        <v>9</v>
      </c>
      <c r="F14" s="50" t="n">
        <v>8</v>
      </c>
      <c r="G14" s="49" t="n">
        <v>360571</v>
      </c>
      <c r="H14" s="50" t="n">
        <v>3</v>
      </c>
      <c r="I14" s="50" t="n">
        <v>2</v>
      </c>
      <c r="J14" s="50" t="n">
        <v>4</v>
      </c>
      <c r="K14" s="50" t="n">
        <v>1</v>
      </c>
      <c r="L14" s="50" t="n">
        <v>2</v>
      </c>
      <c r="M14" s="46" t="s">
        <v>199</v>
      </c>
      <c r="N14" s="51" t="s">
        <v>200</v>
      </c>
      <c r="O14" s="62" t="str">
        <f aca="false">IF($B14="","",TEXT($A14,"YYYY-MM-DD")&amp;"|"&amp;$B14)</f>
        <v>2026-08-05|P-001</v>
      </c>
      <c r="P14" s="3"/>
      <c r="Q14" s="19" t="str">
        <f aca="false">IF('TOR Register'!$A13="","",'TOR Register'!$A13)</f>
        <v/>
      </c>
      <c r="R14" s="20" t="str">
        <f aca="false">IFERROR(INDEX($C$4:$C$1503,MATCH(TEXT($R$3,"YYYY-MM-DD")&amp;"|"&amp;$Q14,$O$4:$O$1503,0)),"")</f>
        <v/>
      </c>
      <c r="S14" s="20" t="str">
        <f aca="false">IFERROR(INDEX($D$4:$D$1503,MATCH(TEXT($R$3,"YYYY-MM-DD")&amp;"|"&amp;$Q14,$O$4:$O$1503,0)),"")</f>
        <v/>
      </c>
      <c r="T14" s="20" t="str">
        <f aca="false">IFERROR(INDEX($E$4:$E$1503,MATCH(TEXT($R$3,"YYYY-MM-DD")&amp;"|"&amp;$Q14,$O$4:$O$1503,0)),"")</f>
        <v/>
      </c>
      <c r="U14" s="20" t="str">
        <f aca="false">IFERROR(INDEX($F$4:$F$1503,MATCH(TEXT($R$3,"YYYY-MM-DD")&amp;"|"&amp;$Q14,$O$4:$O$1503,0)),"")</f>
        <v/>
      </c>
      <c r="V14" s="21" t="str">
        <f aca="false">IFERROR(INDEX($G$4:$G$1503,MATCH(TEXT($R$3,"YYYY-MM-DD")&amp;"|"&amp;$Q14,$O$4:$O$1503,0)),"")</f>
        <v/>
      </c>
      <c r="W14" s="20" t="str">
        <f aca="false">IFERROR(INDEX($H$4:$H$1503,MATCH(TEXT($R$3,"YYYY-MM-DD")&amp;"|"&amp;$Q14,$O$4:$O$1503,0)),"")</f>
        <v/>
      </c>
      <c r="X14" s="20" t="str">
        <f aca="false">IFERROR(INDEX($I$4:$I$1503,MATCH(TEXT($R$3,"YYYY-MM-DD")&amp;"|"&amp;$Q14,$O$4:$O$1503,0)),"")</f>
        <v/>
      </c>
      <c r="Y14" s="20" t="str">
        <f aca="false">IFERROR(INDEX($J$4:$J$1503,MATCH(TEXT($R$3,"YYYY-MM-DD")&amp;"|"&amp;$Q14,$O$4:$O$1503,0)),"")</f>
        <v/>
      </c>
      <c r="Z14" s="20" t="str">
        <f aca="false">IFERROR(INDEX($K$4:$K$1503,MATCH(TEXT($R$3,"YYYY-MM-DD")&amp;"|"&amp;$Q14,$O$4:$O$1503,0)),"")</f>
        <v/>
      </c>
      <c r="AA14" s="20" t="str">
        <f aca="false">IFERROR(INDEX($L$4:$L$1503,MATCH(TEXT($R$3,"YYYY-MM-DD")&amp;"|"&amp;$Q14,$O$4:$O$1503,0)),"")</f>
        <v/>
      </c>
      <c r="AB14" s="43" t="str">
        <f aca="false">IFERROR(INDEX($M$4:$M$1503,MATCH(TEXT($R$3,"YYYY-MM-DD")&amp;"|"&amp;$Q14,$O$4:$O$1503,0)),"")</f>
        <v/>
      </c>
    </row>
    <row r="15" customFormat="false" ht="15" hidden="false" customHeight="false" outlineLevel="0" collapsed="false">
      <c r="A15" s="54" t="n">
        <v>46239</v>
      </c>
      <c r="B15" s="52" t="s">
        <v>151</v>
      </c>
      <c r="C15" s="56" t="n">
        <v>8</v>
      </c>
      <c r="D15" s="56" t="n">
        <v>7</v>
      </c>
      <c r="E15" s="56" t="n">
        <v>8</v>
      </c>
      <c r="F15" s="56" t="n">
        <v>7</v>
      </c>
      <c r="G15" s="55" t="n">
        <v>578571</v>
      </c>
      <c r="H15" s="56" t="n">
        <v>2</v>
      </c>
      <c r="I15" s="56" t="n">
        <v>1</v>
      </c>
      <c r="J15" s="56" t="n">
        <v>5</v>
      </c>
      <c r="K15" s="56" t="n">
        <v>1</v>
      </c>
      <c r="L15" s="56" t="n">
        <v>0</v>
      </c>
      <c r="M15" s="52" t="s">
        <v>211</v>
      </c>
      <c r="N15" s="57" t="s">
        <v>212</v>
      </c>
      <c r="O15" s="62" t="str">
        <f aca="false">IF($B15="","",TEXT($A15,"YYYY-MM-DD")&amp;"|"&amp;$B15)</f>
        <v>2026-08-05|P-002</v>
      </c>
      <c r="P15" s="3"/>
      <c r="Q15" s="19" t="str">
        <f aca="false">IF('TOR Register'!$A14="","",'TOR Register'!$A14)</f>
        <v/>
      </c>
      <c r="R15" s="20" t="str">
        <f aca="false">IFERROR(INDEX($C$4:$C$1503,MATCH(TEXT($R$3,"YYYY-MM-DD")&amp;"|"&amp;$Q15,$O$4:$O$1503,0)),"")</f>
        <v/>
      </c>
      <c r="S15" s="20" t="str">
        <f aca="false">IFERROR(INDEX($D$4:$D$1503,MATCH(TEXT($R$3,"YYYY-MM-DD")&amp;"|"&amp;$Q15,$O$4:$O$1503,0)),"")</f>
        <v/>
      </c>
      <c r="T15" s="20" t="str">
        <f aca="false">IFERROR(INDEX($E$4:$E$1503,MATCH(TEXT($R$3,"YYYY-MM-DD")&amp;"|"&amp;$Q15,$O$4:$O$1503,0)),"")</f>
        <v/>
      </c>
      <c r="U15" s="20" t="str">
        <f aca="false">IFERROR(INDEX($F$4:$F$1503,MATCH(TEXT($R$3,"YYYY-MM-DD")&amp;"|"&amp;$Q15,$O$4:$O$1503,0)),"")</f>
        <v/>
      </c>
      <c r="V15" s="21" t="str">
        <f aca="false">IFERROR(INDEX($G$4:$G$1503,MATCH(TEXT($R$3,"YYYY-MM-DD")&amp;"|"&amp;$Q15,$O$4:$O$1503,0)),"")</f>
        <v/>
      </c>
      <c r="W15" s="20" t="str">
        <f aca="false">IFERROR(INDEX($H$4:$H$1503,MATCH(TEXT($R$3,"YYYY-MM-DD")&amp;"|"&amp;$Q15,$O$4:$O$1503,0)),"")</f>
        <v/>
      </c>
      <c r="X15" s="20" t="str">
        <f aca="false">IFERROR(INDEX($I$4:$I$1503,MATCH(TEXT($R$3,"YYYY-MM-DD")&amp;"|"&amp;$Q15,$O$4:$O$1503,0)),"")</f>
        <v/>
      </c>
      <c r="Y15" s="20" t="str">
        <f aca="false">IFERROR(INDEX($J$4:$J$1503,MATCH(TEXT($R$3,"YYYY-MM-DD")&amp;"|"&amp;$Q15,$O$4:$O$1503,0)),"")</f>
        <v/>
      </c>
      <c r="Z15" s="20" t="str">
        <f aca="false">IFERROR(INDEX($K$4:$K$1503,MATCH(TEXT($R$3,"YYYY-MM-DD")&amp;"|"&amp;$Q15,$O$4:$O$1503,0)),"")</f>
        <v/>
      </c>
      <c r="AA15" s="20" t="str">
        <f aca="false">IFERROR(INDEX($L$4:$L$1503,MATCH(TEXT($R$3,"YYYY-MM-DD")&amp;"|"&amp;$Q15,$O$4:$O$1503,0)),"")</f>
        <v/>
      </c>
      <c r="AB15" s="43" t="str">
        <f aca="false">IFERROR(INDEX($M$4:$M$1503,MATCH(TEXT($R$3,"YYYY-MM-DD")&amp;"|"&amp;$Q15,$O$4:$O$1503,0)),"")</f>
        <v/>
      </c>
    </row>
    <row r="16" customFormat="false" ht="15" hidden="false" customHeight="false" outlineLevel="0" collapsed="false">
      <c r="A16" s="48" t="n">
        <v>46239</v>
      </c>
      <c r="B16" s="46" t="s">
        <v>159</v>
      </c>
      <c r="C16" s="50" t="n">
        <v>7</v>
      </c>
      <c r="D16" s="50" t="n">
        <v>4</v>
      </c>
      <c r="E16" s="50" t="n">
        <v>8</v>
      </c>
      <c r="F16" s="50" t="n">
        <v>5</v>
      </c>
      <c r="G16" s="49" t="n">
        <v>303857</v>
      </c>
      <c r="H16" s="50" t="n">
        <v>4</v>
      </c>
      <c r="I16" s="50" t="n">
        <v>3</v>
      </c>
      <c r="J16" s="50" t="n">
        <v>9</v>
      </c>
      <c r="K16" s="50" t="n">
        <v>3</v>
      </c>
      <c r="L16" s="50" t="n">
        <v>3</v>
      </c>
      <c r="M16" s="46" t="s">
        <v>213</v>
      </c>
      <c r="N16" s="51" t="s">
        <v>214</v>
      </c>
      <c r="O16" s="62" t="str">
        <f aca="false">IF($B16="","",TEXT($A16,"YYYY-MM-DD")&amp;"|"&amp;$B16)</f>
        <v>2026-08-05|P-003</v>
      </c>
      <c r="P16" s="3"/>
      <c r="Q16" s="19" t="str">
        <f aca="false">IF('TOR Register'!$A15="","",'TOR Register'!$A15)</f>
        <v/>
      </c>
      <c r="R16" s="20" t="str">
        <f aca="false">IFERROR(INDEX($C$4:$C$1503,MATCH(TEXT($R$3,"YYYY-MM-DD")&amp;"|"&amp;$Q16,$O$4:$O$1503,0)),"")</f>
        <v/>
      </c>
      <c r="S16" s="20" t="str">
        <f aca="false">IFERROR(INDEX($D$4:$D$1503,MATCH(TEXT($R$3,"YYYY-MM-DD")&amp;"|"&amp;$Q16,$O$4:$O$1503,0)),"")</f>
        <v/>
      </c>
      <c r="T16" s="20" t="str">
        <f aca="false">IFERROR(INDEX($E$4:$E$1503,MATCH(TEXT($R$3,"YYYY-MM-DD")&amp;"|"&amp;$Q16,$O$4:$O$1503,0)),"")</f>
        <v/>
      </c>
      <c r="U16" s="20" t="str">
        <f aca="false">IFERROR(INDEX($F$4:$F$1503,MATCH(TEXT($R$3,"YYYY-MM-DD")&amp;"|"&amp;$Q16,$O$4:$O$1503,0)),"")</f>
        <v/>
      </c>
      <c r="V16" s="21" t="str">
        <f aca="false">IFERROR(INDEX($G$4:$G$1503,MATCH(TEXT($R$3,"YYYY-MM-DD")&amp;"|"&amp;$Q16,$O$4:$O$1503,0)),"")</f>
        <v/>
      </c>
      <c r="W16" s="20" t="str">
        <f aca="false">IFERROR(INDEX($H$4:$H$1503,MATCH(TEXT($R$3,"YYYY-MM-DD")&amp;"|"&amp;$Q16,$O$4:$O$1503,0)),"")</f>
        <v/>
      </c>
      <c r="X16" s="20" t="str">
        <f aca="false">IFERROR(INDEX($I$4:$I$1503,MATCH(TEXT($R$3,"YYYY-MM-DD")&amp;"|"&amp;$Q16,$O$4:$O$1503,0)),"")</f>
        <v/>
      </c>
      <c r="Y16" s="20" t="str">
        <f aca="false">IFERROR(INDEX($J$4:$J$1503,MATCH(TEXT($R$3,"YYYY-MM-DD")&amp;"|"&amp;$Q16,$O$4:$O$1503,0)),"")</f>
        <v/>
      </c>
      <c r="Z16" s="20" t="str">
        <f aca="false">IFERROR(INDEX($K$4:$K$1503,MATCH(TEXT($R$3,"YYYY-MM-DD")&amp;"|"&amp;$Q16,$O$4:$O$1503,0)),"")</f>
        <v/>
      </c>
      <c r="AA16" s="20" t="str">
        <f aca="false">IFERROR(INDEX($L$4:$L$1503,MATCH(TEXT($R$3,"YYYY-MM-DD")&amp;"|"&amp;$Q16,$O$4:$O$1503,0)),"")</f>
        <v/>
      </c>
      <c r="AB16" s="43" t="str">
        <f aca="false">IFERROR(INDEX($M$4:$M$1503,MATCH(TEXT($R$3,"YYYY-MM-DD")&amp;"|"&amp;$Q16,$O$4:$O$1503,0)),"")</f>
        <v/>
      </c>
    </row>
    <row r="17" customFormat="false" ht="15" hidden="false" customHeight="false" outlineLevel="0" collapsed="false">
      <c r="A17" s="54" t="n">
        <v>46239</v>
      </c>
      <c r="B17" s="52" t="s">
        <v>167</v>
      </c>
      <c r="C17" s="56" t="n">
        <v>6</v>
      </c>
      <c r="D17" s="56" t="n">
        <v>6</v>
      </c>
      <c r="E17" s="56" t="n">
        <v>6</v>
      </c>
      <c r="F17" s="56" t="n">
        <v>6</v>
      </c>
      <c r="G17" s="55" t="n">
        <v>350714</v>
      </c>
      <c r="H17" s="56" t="n">
        <v>1</v>
      </c>
      <c r="I17" s="56" t="n">
        <v>1</v>
      </c>
      <c r="J17" s="56" t="n">
        <v>2</v>
      </c>
      <c r="K17" s="56" t="n">
        <v>0</v>
      </c>
      <c r="L17" s="56" t="n">
        <v>0</v>
      </c>
      <c r="M17" s="52" t="s">
        <v>211</v>
      </c>
      <c r="N17" s="57" t="s">
        <v>215</v>
      </c>
      <c r="O17" s="62" t="str">
        <f aca="false">IF($B17="","",TEXT($A17,"YYYY-MM-DD")&amp;"|"&amp;$B17)</f>
        <v>2026-08-05|P-004</v>
      </c>
      <c r="P17" s="3"/>
      <c r="Q17" s="19" t="str">
        <f aca="false">IF('TOR Register'!$A16="","",'TOR Register'!$A16)</f>
        <v/>
      </c>
      <c r="R17" s="20" t="str">
        <f aca="false">IFERROR(INDEX($C$4:$C$1503,MATCH(TEXT($R$3,"YYYY-MM-DD")&amp;"|"&amp;$Q17,$O$4:$O$1503,0)),"")</f>
        <v/>
      </c>
      <c r="S17" s="20" t="str">
        <f aca="false">IFERROR(INDEX($D$4:$D$1503,MATCH(TEXT($R$3,"YYYY-MM-DD")&amp;"|"&amp;$Q17,$O$4:$O$1503,0)),"")</f>
        <v/>
      </c>
      <c r="T17" s="20" t="str">
        <f aca="false">IFERROR(INDEX($E$4:$E$1503,MATCH(TEXT($R$3,"YYYY-MM-DD")&amp;"|"&amp;$Q17,$O$4:$O$1503,0)),"")</f>
        <v/>
      </c>
      <c r="U17" s="20" t="str">
        <f aca="false">IFERROR(INDEX($F$4:$F$1503,MATCH(TEXT($R$3,"YYYY-MM-DD")&amp;"|"&amp;$Q17,$O$4:$O$1503,0)),"")</f>
        <v/>
      </c>
      <c r="V17" s="21" t="str">
        <f aca="false">IFERROR(INDEX($G$4:$G$1503,MATCH(TEXT($R$3,"YYYY-MM-DD")&amp;"|"&amp;$Q17,$O$4:$O$1503,0)),"")</f>
        <v/>
      </c>
      <c r="W17" s="20" t="str">
        <f aca="false">IFERROR(INDEX($H$4:$H$1503,MATCH(TEXT($R$3,"YYYY-MM-DD")&amp;"|"&amp;$Q17,$O$4:$O$1503,0)),"")</f>
        <v/>
      </c>
      <c r="X17" s="20" t="str">
        <f aca="false">IFERROR(INDEX($I$4:$I$1503,MATCH(TEXT($R$3,"YYYY-MM-DD")&amp;"|"&amp;$Q17,$O$4:$O$1503,0)),"")</f>
        <v/>
      </c>
      <c r="Y17" s="20" t="str">
        <f aca="false">IFERROR(INDEX($J$4:$J$1503,MATCH(TEXT($R$3,"YYYY-MM-DD")&amp;"|"&amp;$Q17,$O$4:$O$1503,0)),"")</f>
        <v/>
      </c>
      <c r="Z17" s="20" t="str">
        <f aca="false">IFERROR(INDEX($K$4:$K$1503,MATCH(TEXT($R$3,"YYYY-MM-DD")&amp;"|"&amp;$Q17,$O$4:$O$1503,0)),"")</f>
        <v/>
      </c>
      <c r="AA17" s="20" t="str">
        <f aca="false">IFERROR(INDEX($L$4:$L$1503,MATCH(TEXT($R$3,"YYYY-MM-DD")&amp;"|"&amp;$Q17,$O$4:$O$1503,0)),"")</f>
        <v/>
      </c>
      <c r="AB17" s="43" t="str">
        <f aca="false">IFERROR(INDEX($M$4:$M$1503,MATCH(TEXT($R$3,"YYYY-MM-DD")&amp;"|"&amp;$Q17,$O$4:$O$1503,0)),"")</f>
        <v/>
      </c>
    </row>
    <row r="18" customFormat="false" ht="15" hidden="false" customHeight="false" outlineLevel="0" collapsed="false">
      <c r="A18" s="48" t="n">
        <v>46239</v>
      </c>
      <c r="B18" s="46" t="s">
        <v>174</v>
      </c>
      <c r="C18" s="50" t="n">
        <v>6</v>
      </c>
      <c r="D18" s="50" t="n">
        <v>5</v>
      </c>
      <c r="E18" s="50" t="n">
        <v>7</v>
      </c>
      <c r="F18" s="50" t="n">
        <v>6</v>
      </c>
      <c r="G18" s="49" t="n">
        <v>186286</v>
      </c>
      <c r="H18" s="50" t="n">
        <v>2</v>
      </c>
      <c r="I18" s="50" t="n">
        <v>1</v>
      </c>
      <c r="J18" s="50" t="n">
        <v>4</v>
      </c>
      <c r="K18" s="50" t="n">
        <v>1</v>
      </c>
      <c r="L18" s="50" t="n">
        <v>0</v>
      </c>
      <c r="M18" s="46" t="s">
        <v>211</v>
      </c>
      <c r="N18" s="51" t="s">
        <v>216</v>
      </c>
      <c r="O18" s="62" t="str">
        <f aca="false">IF($B18="","",TEXT($A18,"YYYY-MM-DD")&amp;"|"&amp;$B18)</f>
        <v>2026-08-05|P-005</v>
      </c>
      <c r="P18" s="3"/>
      <c r="Q18" s="19" t="str">
        <f aca="false">IF('TOR Register'!$A17="","",'TOR Register'!$A17)</f>
        <v/>
      </c>
      <c r="R18" s="20" t="str">
        <f aca="false">IFERROR(INDEX($C$4:$C$1503,MATCH(TEXT($R$3,"YYYY-MM-DD")&amp;"|"&amp;$Q18,$O$4:$O$1503,0)),"")</f>
        <v/>
      </c>
      <c r="S18" s="20" t="str">
        <f aca="false">IFERROR(INDEX($D$4:$D$1503,MATCH(TEXT($R$3,"YYYY-MM-DD")&amp;"|"&amp;$Q18,$O$4:$O$1503,0)),"")</f>
        <v/>
      </c>
      <c r="T18" s="20" t="str">
        <f aca="false">IFERROR(INDEX($E$4:$E$1503,MATCH(TEXT($R$3,"YYYY-MM-DD")&amp;"|"&amp;$Q18,$O$4:$O$1503,0)),"")</f>
        <v/>
      </c>
      <c r="U18" s="20" t="str">
        <f aca="false">IFERROR(INDEX($F$4:$F$1503,MATCH(TEXT($R$3,"YYYY-MM-DD")&amp;"|"&amp;$Q18,$O$4:$O$1503,0)),"")</f>
        <v/>
      </c>
      <c r="V18" s="21" t="str">
        <f aca="false">IFERROR(INDEX($G$4:$G$1503,MATCH(TEXT($R$3,"YYYY-MM-DD")&amp;"|"&amp;$Q18,$O$4:$O$1503,0)),"")</f>
        <v/>
      </c>
      <c r="W18" s="20" t="str">
        <f aca="false">IFERROR(INDEX($H$4:$H$1503,MATCH(TEXT($R$3,"YYYY-MM-DD")&amp;"|"&amp;$Q18,$O$4:$O$1503,0)),"")</f>
        <v/>
      </c>
      <c r="X18" s="20" t="str">
        <f aca="false">IFERROR(INDEX($I$4:$I$1503,MATCH(TEXT($R$3,"YYYY-MM-DD")&amp;"|"&amp;$Q18,$O$4:$O$1503,0)),"")</f>
        <v/>
      </c>
      <c r="Y18" s="20" t="str">
        <f aca="false">IFERROR(INDEX($J$4:$J$1503,MATCH(TEXT($R$3,"YYYY-MM-DD")&amp;"|"&amp;$Q18,$O$4:$O$1503,0)),"")</f>
        <v/>
      </c>
      <c r="Z18" s="20" t="str">
        <f aca="false">IFERROR(INDEX($K$4:$K$1503,MATCH(TEXT($R$3,"YYYY-MM-DD")&amp;"|"&amp;$Q18,$O$4:$O$1503,0)),"")</f>
        <v/>
      </c>
      <c r="AA18" s="20" t="str">
        <f aca="false">IFERROR(INDEX($L$4:$L$1503,MATCH(TEXT($R$3,"YYYY-MM-DD")&amp;"|"&amp;$Q18,$O$4:$O$1503,0)),"")</f>
        <v/>
      </c>
      <c r="AB18" s="43" t="str">
        <f aca="false">IFERROR(INDEX($M$4:$M$1503,MATCH(TEXT($R$3,"YYYY-MM-DD")&amp;"|"&amp;$Q18,$O$4:$O$1503,0)),"")</f>
        <v/>
      </c>
    </row>
    <row r="19" customFormat="false" ht="15" hidden="false" customHeight="false" outlineLevel="0" collapsed="false">
      <c r="A19" s="54" t="n">
        <v>46240</v>
      </c>
      <c r="B19" s="52" t="s">
        <v>143</v>
      </c>
      <c r="C19" s="56" t="n">
        <v>8</v>
      </c>
      <c r="D19" s="56" t="n">
        <v>7</v>
      </c>
      <c r="E19" s="56" t="n">
        <v>9</v>
      </c>
      <c r="F19" s="56" t="n">
        <v>8</v>
      </c>
      <c r="G19" s="55" t="n">
        <v>363429</v>
      </c>
      <c r="H19" s="56" t="n">
        <v>3</v>
      </c>
      <c r="I19" s="56" t="n">
        <v>2</v>
      </c>
      <c r="J19" s="56" t="n">
        <v>4</v>
      </c>
      <c r="K19" s="56" t="n">
        <v>1</v>
      </c>
      <c r="L19" s="56" t="n">
        <v>2</v>
      </c>
      <c r="M19" s="52" t="s">
        <v>199</v>
      </c>
      <c r="N19" s="57" t="s">
        <v>200</v>
      </c>
      <c r="O19" s="62" t="str">
        <f aca="false">IF($B19="","",TEXT($A19,"YYYY-MM-DD")&amp;"|"&amp;$B19)</f>
        <v>2026-08-06|P-001</v>
      </c>
      <c r="P19" s="3"/>
      <c r="Q19" s="19" t="str">
        <f aca="false">IF('TOR Register'!$A18="","",'TOR Register'!$A18)</f>
        <v/>
      </c>
      <c r="R19" s="20" t="str">
        <f aca="false">IFERROR(INDEX($C$4:$C$1503,MATCH(TEXT($R$3,"YYYY-MM-DD")&amp;"|"&amp;$Q19,$O$4:$O$1503,0)),"")</f>
        <v/>
      </c>
      <c r="S19" s="20" t="str">
        <f aca="false">IFERROR(INDEX($D$4:$D$1503,MATCH(TEXT($R$3,"YYYY-MM-DD")&amp;"|"&amp;$Q19,$O$4:$O$1503,0)),"")</f>
        <v/>
      </c>
      <c r="T19" s="20" t="str">
        <f aca="false">IFERROR(INDEX($E$4:$E$1503,MATCH(TEXT($R$3,"YYYY-MM-DD")&amp;"|"&amp;$Q19,$O$4:$O$1503,0)),"")</f>
        <v/>
      </c>
      <c r="U19" s="20" t="str">
        <f aca="false">IFERROR(INDEX($F$4:$F$1503,MATCH(TEXT($R$3,"YYYY-MM-DD")&amp;"|"&amp;$Q19,$O$4:$O$1503,0)),"")</f>
        <v/>
      </c>
      <c r="V19" s="21" t="str">
        <f aca="false">IFERROR(INDEX($G$4:$G$1503,MATCH(TEXT($R$3,"YYYY-MM-DD")&amp;"|"&amp;$Q19,$O$4:$O$1503,0)),"")</f>
        <v/>
      </c>
      <c r="W19" s="20" t="str">
        <f aca="false">IFERROR(INDEX($H$4:$H$1503,MATCH(TEXT($R$3,"YYYY-MM-DD")&amp;"|"&amp;$Q19,$O$4:$O$1503,0)),"")</f>
        <v/>
      </c>
      <c r="X19" s="20" t="str">
        <f aca="false">IFERROR(INDEX($I$4:$I$1503,MATCH(TEXT($R$3,"YYYY-MM-DD")&amp;"|"&amp;$Q19,$O$4:$O$1503,0)),"")</f>
        <v/>
      </c>
      <c r="Y19" s="20" t="str">
        <f aca="false">IFERROR(INDEX($J$4:$J$1503,MATCH(TEXT($R$3,"YYYY-MM-DD")&amp;"|"&amp;$Q19,$O$4:$O$1503,0)),"")</f>
        <v/>
      </c>
      <c r="Z19" s="20" t="str">
        <f aca="false">IFERROR(INDEX($K$4:$K$1503,MATCH(TEXT($R$3,"YYYY-MM-DD")&amp;"|"&amp;$Q19,$O$4:$O$1503,0)),"")</f>
        <v/>
      </c>
      <c r="AA19" s="20" t="str">
        <f aca="false">IFERROR(INDEX($L$4:$L$1503,MATCH(TEXT($R$3,"YYYY-MM-DD")&amp;"|"&amp;$Q19,$O$4:$O$1503,0)),"")</f>
        <v/>
      </c>
      <c r="AB19" s="43" t="str">
        <f aca="false">IFERROR(INDEX($M$4:$M$1503,MATCH(TEXT($R$3,"YYYY-MM-DD")&amp;"|"&amp;$Q19,$O$4:$O$1503,0)),"")</f>
        <v/>
      </c>
    </row>
    <row r="20" customFormat="false" ht="15" hidden="false" customHeight="false" outlineLevel="0" collapsed="false">
      <c r="A20" s="48" t="n">
        <v>46240</v>
      </c>
      <c r="B20" s="46" t="s">
        <v>151</v>
      </c>
      <c r="C20" s="50" t="n">
        <v>8</v>
      </c>
      <c r="D20" s="50" t="n">
        <v>7</v>
      </c>
      <c r="E20" s="50" t="n">
        <v>8</v>
      </c>
      <c r="F20" s="50" t="n">
        <v>7</v>
      </c>
      <c r="G20" s="49" t="n">
        <v>584762</v>
      </c>
      <c r="H20" s="50" t="n">
        <v>2</v>
      </c>
      <c r="I20" s="50" t="n">
        <v>1</v>
      </c>
      <c r="J20" s="50" t="n">
        <v>5</v>
      </c>
      <c r="K20" s="50" t="n">
        <v>1</v>
      </c>
      <c r="L20" s="50" t="n">
        <v>0</v>
      </c>
      <c r="M20" s="46" t="s">
        <v>211</v>
      </c>
      <c r="N20" s="51" t="s">
        <v>212</v>
      </c>
      <c r="O20" s="62" t="str">
        <f aca="false">IF($B20="","",TEXT($A20,"YYYY-MM-DD")&amp;"|"&amp;$B20)</f>
        <v>2026-08-06|P-002</v>
      </c>
      <c r="P20" s="3"/>
      <c r="Q20" s="19" t="str">
        <f aca="false">IF('TOR Register'!$A19="","",'TOR Register'!$A19)</f>
        <v/>
      </c>
      <c r="R20" s="20" t="str">
        <f aca="false">IFERROR(INDEX($C$4:$C$1503,MATCH(TEXT($R$3,"YYYY-MM-DD")&amp;"|"&amp;$Q20,$O$4:$O$1503,0)),"")</f>
        <v/>
      </c>
      <c r="S20" s="20" t="str">
        <f aca="false">IFERROR(INDEX($D$4:$D$1503,MATCH(TEXT($R$3,"YYYY-MM-DD")&amp;"|"&amp;$Q20,$O$4:$O$1503,0)),"")</f>
        <v/>
      </c>
      <c r="T20" s="20" t="str">
        <f aca="false">IFERROR(INDEX($E$4:$E$1503,MATCH(TEXT($R$3,"YYYY-MM-DD")&amp;"|"&amp;$Q20,$O$4:$O$1503,0)),"")</f>
        <v/>
      </c>
      <c r="U20" s="20" t="str">
        <f aca="false">IFERROR(INDEX($F$4:$F$1503,MATCH(TEXT($R$3,"YYYY-MM-DD")&amp;"|"&amp;$Q20,$O$4:$O$1503,0)),"")</f>
        <v/>
      </c>
      <c r="V20" s="21" t="str">
        <f aca="false">IFERROR(INDEX($G$4:$G$1503,MATCH(TEXT($R$3,"YYYY-MM-DD")&amp;"|"&amp;$Q20,$O$4:$O$1503,0)),"")</f>
        <v/>
      </c>
      <c r="W20" s="20" t="str">
        <f aca="false">IFERROR(INDEX($H$4:$H$1503,MATCH(TEXT($R$3,"YYYY-MM-DD")&amp;"|"&amp;$Q20,$O$4:$O$1503,0)),"")</f>
        <v/>
      </c>
      <c r="X20" s="20" t="str">
        <f aca="false">IFERROR(INDEX($I$4:$I$1503,MATCH(TEXT($R$3,"YYYY-MM-DD")&amp;"|"&amp;$Q20,$O$4:$O$1503,0)),"")</f>
        <v/>
      </c>
      <c r="Y20" s="20" t="str">
        <f aca="false">IFERROR(INDEX($J$4:$J$1503,MATCH(TEXT($R$3,"YYYY-MM-DD")&amp;"|"&amp;$Q20,$O$4:$O$1503,0)),"")</f>
        <v/>
      </c>
      <c r="Z20" s="20" t="str">
        <f aca="false">IFERROR(INDEX($K$4:$K$1503,MATCH(TEXT($R$3,"YYYY-MM-DD")&amp;"|"&amp;$Q20,$O$4:$O$1503,0)),"")</f>
        <v/>
      </c>
      <c r="AA20" s="20" t="str">
        <f aca="false">IFERROR(INDEX($L$4:$L$1503,MATCH(TEXT($R$3,"YYYY-MM-DD")&amp;"|"&amp;$Q20,$O$4:$O$1503,0)),"")</f>
        <v/>
      </c>
      <c r="AB20" s="43" t="str">
        <f aca="false">IFERROR(INDEX($M$4:$M$1503,MATCH(TEXT($R$3,"YYYY-MM-DD")&amp;"|"&amp;$Q20,$O$4:$O$1503,0)),"")</f>
        <v/>
      </c>
    </row>
    <row r="21" customFormat="false" ht="15" hidden="false" customHeight="false" outlineLevel="0" collapsed="false">
      <c r="A21" s="54" t="n">
        <v>46240</v>
      </c>
      <c r="B21" s="52" t="s">
        <v>159</v>
      </c>
      <c r="C21" s="56" t="n">
        <v>7</v>
      </c>
      <c r="D21" s="56" t="n">
        <v>4</v>
      </c>
      <c r="E21" s="56" t="n">
        <v>8</v>
      </c>
      <c r="F21" s="56" t="n">
        <v>5</v>
      </c>
      <c r="G21" s="55" t="n">
        <v>306476</v>
      </c>
      <c r="H21" s="56" t="n">
        <v>4</v>
      </c>
      <c r="I21" s="56" t="n">
        <v>3</v>
      </c>
      <c r="J21" s="56" t="n">
        <v>9</v>
      </c>
      <c r="K21" s="56" t="n">
        <v>3</v>
      </c>
      <c r="L21" s="56" t="n">
        <v>3</v>
      </c>
      <c r="M21" s="52" t="s">
        <v>213</v>
      </c>
      <c r="N21" s="57" t="s">
        <v>214</v>
      </c>
      <c r="O21" s="62" t="str">
        <f aca="false">IF($B21="","",TEXT($A21,"YYYY-MM-DD")&amp;"|"&amp;$B21)</f>
        <v>2026-08-06|P-003</v>
      </c>
      <c r="P21" s="3"/>
      <c r="Q21" s="19" t="str">
        <f aca="false">IF('TOR Register'!$A20="","",'TOR Register'!$A20)</f>
        <v/>
      </c>
      <c r="R21" s="20" t="str">
        <f aca="false">IFERROR(INDEX($C$4:$C$1503,MATCH(TEXT($R$3,"YYYY-MM-DD")&amp;"|"&amp;$Q21,$O$4:$O$1503,0)),"")</f>
        <v/>
      </c>
      <c r="S21" s="20" t="str">
        <f aca="false">IFERROR(INDEX($D$4:$D$1503,MATCH(TEXT($R$3,"YYYY-MM-DD")&amp;"|"&amp;$Q21,$O$4:$O$1503,0)),"")</f>
        <v/>
      </c>
      <c r="T21" s="20" t="str">
        <f aca="false">IFERROR(INDEX($E$4:$E$1503,MATCH(TEXT($R$3,"YYYY-MM-DD")&amp;"|"&amp;$Q21,$O$4:$O$1503,0)),"")</f>
        <v/>
      </c>
      <c r="U21" s="20" t="str">
        <f aca="false">IFERROR(INDEX($F$4:$F$1503,MATCH(TEXT($R$3,"YYYY-MM-DD")&amp;"|"&amp;$Q21,$O$4:$O$1503,0)),"")</f>
        <v/>
      </c>
      <c r="V21" s="21" t="str">
        <f aca="false">IFERROR(INDEX($G$4:$G$1503,MATCH(TEXT($R$3,"YYYY-MM-DD")&amp;"|"&amp;$Q21,$O$4:$O$1503,0)),"")</f>
        <v/>
      </c>
      <c r="W21" s="20" t="str">
        <f aca="false">IFERROR(INDEX($H$4:$H$1503,MATCH(TEXT($R$3,"YYYY-MM-DD")&amp;"|"&amp;$Q21,$O$4:$O$1503,0)),"")</f>
        <v/>
      </c>
      <c r="X21" s="20" t="str">
        <f aca="false">IFERROR(INDEX($I$4:$I$1503,MATCH(TEXT($R$3,"YYYY-MM-DD")&amp;"|"&amp;$Q21,$O$4:$O$1503,0)),"")</f>
        <v/>
      </c>
      <c r="Y21" s="20" t="str">
        <f aca="false">IFERROR(INDEX($J$4:$J$1503,MATCH(TEXT($R$3,"YYYY-MM-DD")&amp;"|"&amp;$Q21,$O$4:$O$1503,0)),"")</f>
        <v/>
      </c>
      <c r="Z21" s="20" t="str">
        <f aca="false">IFERROR(INDEX($K$4:$K$1503,MATCH(TEXT($R$3,"YYYY-MM-DD")&amp;"|"&amp;$Q21,$O$4:$O$1503,0)),"")</f>
        <v/>
      </c>
      <c r="AA21" s="20" t="str">
        <f aca="false">IFERROR(INDEX($L$4:$L$1503,MATCH(TEXT($R$3,"YYYY-MM-DD")&amp;"|"&amp;$Q21,$O$4:$O$1503,0)),"")</f>
        <v/>
      </c>
      <c r="AB21" s="43" t="str">
        <f aca="false">IFERROR(INDEX($M$4:$M$1503,MATCH(TEXT($R$3,"YYYY-MM-DD")&amp;"|"&amp;$Q21,$O$4:$O$1503,0)),"")</f>
        <v/>
      </c>
    </row>
    <row r="22" customFormat="false" ht="15" hidden="false" customHeight="false" outlineLevel="0" collapsed="false">
      <c r="A22" s="48" t="n">
        <v>46240</v>
      </c>
      <c r="B22" s="46" t="s">
        <v>167</v>
      </c>
      <c r="C22" s="50" t="n">
        <v>6</v>
      </c>
      <c r="D22" s="50" t="n">
        <v>6</v>
      </c>
      <c r="E22" s="50" t="n">
        <v>6</v>
      </c>
      <c r="F22" s="50" t="n">
        <v>6</v>
      </c>
      <c r="G22" s="49" t="n">
        <v>354286</v>
      </c>
      <c r="H22" s="50" t="n">
        <v>1</v>
      </c>
      <c r="I22" s="50" t="n">
        <v>1</v>
      </c>
      <c r="J22" s="50" t="n">
        <v>2</v>
      </c>
      <c r="K22" s="50" t="n">
        <v>0</v>
      </c>
      <c r="L22" s="50" t="n">
        <v>0</v>
      </c>
      <c r="M22" s="46" t="s">
        <v>211</v>
      </c>
      <c r="N22" s="51" t="s">
        <v>215</v>
      </c>
      <c r="O22" s="62" t="str">
        <f aca="false">IF($B22="","",TEXT($A22,"YYYY-MM-DD")&amp;"|"&amp;$B22)</f>
        <v>2026-08-06|P-004</v>
      </c>
      <c r="P22" s="3"/>
      <c r="Q22" s="19" t="str">
        <f aca="false">IF('TOR Register'!$A21="","",'TOR Register'!$A21)</f>
        <v/>
      </c>
      <c r="R22" s="20" t="str">
        <f aca="false">IFERROR(INDEX($C$4:$C$1503,MATCH(TEXT($R$3,"YYYY-MM-DD")&amp;"|"&amp;$Q22,$O$4:$O$1503,0)),"")</f>
        <v/>
      </c>
      <c r="S22" s="20" t="str">
        <f aca="false">IFERROR(INDEX($D$4:$D$1503,MATCH(TEXT($R$3,"YYYY-MM-DD")&amp;"|"&amp;$Q22,$O$4:$O$1503,0)),"")</f>
        <v/>
      </c>
      <c r="T22" s="20" t="str">
        <f aca="false">IFERROR(INDEX($E$4:$E$1503,MATCH(TEXT($R$3,"YYYY-MM-DD")&amp;"|"&amp;$Q22,$O$4:$O$1503,0)),"")</f>
        <v/>
      </c>
      <c r="U22" s="20" t="str">
        <f aca="false">IFERROR(INDEX($F$4:$F$1503,MATCH(TEXT($R$3,"YYYY-MM-DD")&amp;"|"&amp;$Q22,$O$4:$O$1503,0)),"")</f>
        <v/>
      </c>
      <c r="V22" s="21" t="str">
        <f aca="false">IFERROR(INDEX($G$4:$G$1503,MATCH(TEXT($R$3,"YYYY-MM-DD")&amp;"|"&amp;$Q22,$O$4:$O$1503,0)),"")</f>
        <v/>
      </c>
      <c r="W22" s="20" t="str">
        <f aca="false">IFERROR(INDEX($H$4:$H$1503,MATCH(TEXT($R$3,"YYYY-MM-DD")&amp;"|"&amp;$Q22,$O$4:$O$1503,0)),"")</f>
        <v/>
      </c>
      <c r="X22" s="20" t="str">
        <f aca="false">IFERROR(INDEX($I$4:$I$1503,MATCH(TEXT($R$3,"YYYY-MM-DD")&amp;"|"&amp;$Q22,$O$4:$O$1503,0)),"")</f>
        <v/>
      </c>
      <c r="Y22" s="20" t="str">
        <f aca="false">IFERROR(INDEX($J$4:$J$1503,MATCH(TEXT($R$3,"YYYY-MM-DD")&amp;"|"&amp;$Q22,$O$4:$O$1503,0)),"")</f>
        <v/>
      </c>
      <c r="Z22" s="20" t="str">
        <f aca="false">IFERROR(INDEX($K$4:$K$1503,MATCH(TEXT($R$3,"YYYY-MM-DD")&amp;"|"&amp;$Q22,$O$4:$O$1503,0)),"")</f>
        <v/>
      </c>
      <c r="AA22" s="20" t="str">
        <f aca="false">IFERROR(INDEX($L$4:$L$1503,MATCH(TEXT($R$3,"YYYY-MM-DD")&amp;"|"&amp;$Q22,$O$4:$O$1503,0)),"")</f>
        <v/>
      </c>
      <c r="AB22" s="43" t="str">
        <f aca="false">IFERROR(INDEX($M$4:$M$1503,MATCH(TEXT($R$3,"YYYY-MM-DD")&amp;"|"&amp;$Q22,$O$4:$O$1503,0)),"")</f>
        <v/>
      </c>
    </row>
    <row r="23" customFormat="false" ht="15" hidden="false" customHeight="false" outlineLevel="0" collapsed="false">
      <c r="A23" s="54" t="n">
        <v>46240</v>
      </c>
      <c r="B23" s="52" t="s">
        <v>174</v>
      </c>
      <c r="C23" s="56" t="n">
        <v>6</v>
      </c>
      <c r="D23" s="56" t="n">
        <v>5</v>
      </c>
      <c r="E23" s="56" t="n">
        <v>7</v>
      </c>
      <c r="F23" s="56" t="n">
        <v>6</v>
      </c>
      <c r="G23" s="55" t="n">
        <v>188381</v>
      </c>
      <c r="H23" s="56" t="n">
        <v>2</v>
      </c>
      <c r="I23" s="56" t="n">
        <v>1</v>
      </c>
      <c r="J23" s="56" t="n">
        <v>4</v>
      </c>
      <c r="K23" s="56" t="n">
        <v>1</v>
      </c>
      <c r="L23" s="56" t="n">
        <v>0</v>
      </c>
      <c r="M23" s="52" t="s">
        <v>211</v>
      </c>
      <c r="N23" s="57" t="s">
        <v>216</v>
      </c>
      <c r="O23" s="62" t="str">
        <f aca="false">IF($B23="","",TEXT($A23,"YYYY-MM-DD")&amp;"|"&amp;$B23)</f>
        <v>2026-08-06|P-005</v>
      </c>
      <c r="P23" s="3"/>
      <c r="Q23" s="19" t="str">
        <f aca="false">IF('TOR Register'!$A22="","",'TOR Register'!$A22)</f>
        <v/>
      </c>
      <c r="R23" s="20" t="str">
        <f aca="false">IFERROR(INDEX($C$4:$C$1503,MATCH(TEXT($R$3,"YYYY-MM-DD")&amp;"|"&amp;$Q23,$O$4:$O$1503,0)),"")</f>
        <v/>
      </c>
      <c r="S23" s="20" t="str">
        <f aca="false">IFERROR(INDEX($D$4:$D$1503,MATCH(TEXT($R$3,"YYYY-MM-DD")&amp;"|"&amp;$Q23,$O$4:$O$1503,0)),"")</f>
        <v/>
      </c>
      <c r="T23" s="20" t="str">
        <f aca="false">IFERROR(INDEX($E$4:$E$1503,MATCH(TEXT($R$3,"YYYY-MM-DD")&amp;"|"&amp;$Q23,$O$4:$O$1503,0)),"")</f>
        <v/>
      </c>
      <c r="U23" s="20" t="str">
        <f aca="false">IFERROR(INDEX($F$4:$F$1503,MATCH(TEXT($R$3,"YYYY-MM-DD")&amp;"|"&amp;$Q23,$O$4:$O$1503,0)),"")</f>
        <v/>
      </c>
      <c r="V23" s="21" t="str">
        <f aca="false">IFERROR(INDEX($G$4:$G$1503,MATCH(TEXT($R$3,"YYYY-MM-DD")&amp;"|"&amp;$Q23,$O$4:$O$1503,0)),"")</f>
        <v/>
      </c>
      <c r="W23" s="20" t="str">
        <f aca="false">IFERROR(INDEX($H$4:$H$1503,MATCH(TEXT($R$3,"YYYY-MM-DD")&amp;"|"&amp;$Q23,$O$4:$O$1503,0)),"")</f>
        <v/>
      </c>
      <c r="X23" s="20" t="str">
        <f aca="false">IFERROR(INDEX($I$4:$I$1503,MATCH(TEXT($R$3,"YYYY-MM-DD")&amp;"|"&amp;$Q23,$O$4:$O$1503,0)),"")</f>
        <v/>
      </c>
      <c r="Y23" s="20" t="str">
        <f aca="false">IFERROR(INDEX($J$4:$J$1503,MATCH(TEXT($R$3,"YYYY-MM-DD")&amp;"|"&amp;$Q23,$O$4:$O$1503,0)),"")</f>
        <v/>
      </c>
      <c r="Z23" s="20" t="str">
        <f aca="false">IFERROR(INDEX($K$4:$K$1503,MATCH(TEXT($R$3,"YYYY-MM-DD")&amp;"|"&amp;$Q23,$O$4:$O$1503,0)),"")</f>
        <v/>
      </c>
      <c r="AA23" s="20" t="str">
        <f aca="false">IFERROR(INDEX($L$4:$L$1503,MATCH(TEXT($R$3,"YYYY-MM-DD")&amp;"|"&amp;$Q23,$O$4:$O$1503,0)),"")</f>
        <v/>
      </c>
      <c r="AB23" s="43" t="str">
        <f aca="false">IFERROR(INDEX($M$4:$M$1503,MATCH(TEXT($R$3,"YYYY-MM-DD")&amp;"|"&amp;$Q23,$O$4:$O$1503,0)),"")</f>
        <v/>
      </c>
    </row>
    <row r="24" customFormat="false" ht="15" hidden="false" customHeight="false" outlineLevel="0" collapsed="false">
      <c r="A24" s="48" t="n">
        <v>46241</v>
      </c>
      <c r="B24" s="46" t="s">
        <v>143</v>
      </c>
      <c r="C24" s="50" t="n">
        <v>8</v>
      </c>
      <c r="D24" s="50" t="n">
        <v>7</v>
      </c>
      <c r="E24" s="50" t="n">
        <v>9</v>
      </c>
      <c r="F24" s="50" t="n">
        <v>8</v>
      </c>
      <c r="G24" s="49" t="n">
        <v>366286</v>
      </c>
      <c r="H24" s="50" t="n">
        <v>3</v>
      </c>
      <c r="I24" s="50" t="n">
        <v>2</v>
      </c>
      <c r="J24" s="50" t="n">
        <v>4</v>
      </c>
      <c r="K24" s="50" t="n">
        <v>1</v>
      </c>
      <c r="L24" s="50" t="n">
        <v>2</v>
      </c>
      <c r="M24" s="46" t="s">
        <v>199</v>
      </c>
      <c r="N24" s="51" t="s">
        <v>200</v>
      </c>
      <c r="O24" s="62" t="str">
        <f aca="false">IF($B24="","",TEXT($A24,"YYYY-MM-DD")&amp;"|"&amp;$B24)</f>
        <v>2026-08-07|P-001</v>
      </c>
      <c r="P24" s="3"/>
      <c r="Q24" s="19" t="str">
        <f aca="false">IF('TOR Register'!$A23="","",'TOR Register'!$A23)</f>
        <v/>
      </c>
      <c r="R24" s="20" t="str">
        <f aca="false">IFERROR(INDEX($C$4:$C$1503,MATCH(TEXT($R$3,"YYYY-MM-DD")&amp;"|"&amp;$Q24,$O$4:$O$1503,0)),"")</f>
        <v/>
      </c>
      <c r="S24" s="20" t="str">
        <f aca="false">IFERROR(INDEX($D$4:$D$1503,MATCH(TEXT($R$3,"YYYY-MM-DD")&amp;"|"&amp;$Q24,$O$4:$O$1503,0)),"")</f>
        <v/>
      </c>
      <c r="T24" s="20" t="str">
        <f aca="false">IFERROR(INDEX($E$4:$E$1503,MATCH(TEXT($R$3,"YYYY-MM-DD")&amp;"|"&amp;$Q24,$O$4:$O$1503,0)),"")</f>
        <v/>
      </c>
      <c r="U24" s="20" t="str">
        <f aca="false">IFERROR(INDEX($F$4:$F$1503,MATCH(TEXT($R$3,"YYYY-MM-DD")&amp;"|"&amp;$Q24,$O$4:$O$1503,0)),"")</f>
        <v/>
      </c>
      <c r="V24" s="21" t="str">
        <f aca="false">IFERROR(INDEX($G$4:$G$1503,MATCH(TEXT($R$3,"YYYY-MM-DD")&amp;"|"&amp;$Q24,$O$4:$O$1503,0)),"")</f>
        <v/>
      </c>
      <c r="W24" s="20" t="str">
        <f aca="false">IFERROR(INDEX($H$4:$H$1503,MATCH(TEXT($R$3,"YYYY-MM-DD")&amp;"|"&amp;$Q24,$O$4:$O$1503,0)),"")</f>
        <v/>
      </c>
      <c r="X24" s="20" t="str">
        <f aca="false">IFERROR(INDEX($I$4:$I$1503,MATCH(TEXT($R$3,"YYYY-MM-DD")&amp;"|"&amp;$Q24,$O$4:$O$1503,0)),"")</f>
        <v/>
      </c>
      <c r="Y24" s="20" t="str">
        <f aca="false">IFERROR(INDEX($J$4:$J$1503,MATCH(TEXT($R$3,"YYYY-MM-DD")&amp;"|"&amp;$Q24,$O$4:$O$1503,0)),"")</f>
        <v/>
      </c>
      <c r="Z24" s="20" t="str">
        <f aca="false">IFERROR(INDEX($K$4:$K$1503,MATCH(TEXT($R$3,"YYYY-MM-DD")&amp;"|"&amp;$Q24,$O$4:$O$1503,0)),"")</f>
        <v/>
      </c>
      <c r="AA24" s="20" t="str">
        <f aca="false">IFERROR(INDEX($L$4:$L$1503,MATCH(TEXT($R$3,"YYYY-MM-DD")&amp;"|"&amp;$Q24,$O$4:$O$1503,0)),"")</f>
        <v/>
      </c>
      <c r="AB24" s="43" t="str">
        <f aca="false">IFERROR(INDEX($M$4:$M$1503,MATCH(TEXT($R$3,"YYYY-MM-DD")&amp;"|"&amp;$Q24,$O$4:$O$1503,0)),"")</f>
        <v/>
      </c>
    </row>
    <row r="25" customFormat="false" ht="15" hidden="false" customHeight="false" outlineLevel="0" collapsed="false">
      <c r="A25" s="54" t="n">
        <v>46241</v>
      </c>
      <c r="B25" s="52" t="s">
        <v>151</v>
      </c>
      <c r="C25" s="56" t="n">
        <v>8</v>
      </c>
      <c r="D25" s="56" t="n">
        <v>7</v>
      </c>
      <c r="E25" s="56" t="n">
        <v>8</v>
      </c>
      <c r="F25" s="56" t="n">
        <v>7</v>
      </c>
      <c r="G25" s="55" t="n">
        <v>590952</v>
      </c>
      <c r="H25" s="56" t="n">
        <v>2</v>
      </c>
      <c r="I25" s="56" t="n">
        <v>1</v>
      </c>
      <c r="J25" s="56" t="n">
        <v>5</v>
      </c>
      <c r="K25" s="56" t="n">
        <v>1</v>
      </c>
      <c r="L25" s="56" t="n">
        <v>0</v>
      </c>
      <c r="M25" s="52" t="s">
        <v>211</v>
      </c>
      <c r="N25" s="57" t="s">
        <v>212</v>
      </c>
      <c r="O25" s="62" t="str">
        <f aca="false">IF($B25="","",TEXT($A25,"YYYY-MM-DD")&amp;"|"&amp;$B25)</f>
        <v>2026-08-07|P-002</v>
      </c>
      <c r="P25" s="3"/>
      <c r="Q25" s="19" t="str">
        <f aca="false">IF('TOR Register'!$A24="","",'TOR Register'!$A24)</f>
        <v/>
      </c>
      <c r="R25" s="20" t="str">
        <f aca="false">IFERROR(INDEX($C$4:$C$1503,MATCH(TEXT($R$3,"YYYY-MM-DD")&amp;"|"&amp;$Q25,$O$4:$O$1503,0)),"")</f>
        <v/>
      </c>
      <c r="S25" s="20" t="str">
        <f aca="false">IFERROR(INDEX($D$4:$D$1503,MATCH(TEXT($R$3,"YYYY-MM-DD")&amp;"|"&amp;$Q25,$O$4:$O$1503,0)),"")</f>
        <v/>
      </c>
      <c r="T25" s="20" t="str">
        <f aca="false">IFERROR(INDEX($E$4:$E$1503,MATCH(TEXT($R$3,"YYYY-MM-DD")&amp;"|"&amp;$Q25,$O$4:$O$1503,0)),"")</f>
        <v/>
      </c>
      <c r="U25" s="20" t="str">
        <f aca="false">IFERROR(INDEX($F$4:$F$1503,MATCH(TEXT($R$3,"YYYY-MM-DD")&amp;"|"&amp;$Q25,$O$4:$O$1503,0)),"")</f>
        <v/>
      </c>
      <c r="V25" s="21" t="str">
        <f aca="false">IFERROR(INDEX($G$4:$G$1503,MATCH(TEXT($R$3,"YYYY-MM-DD")&amp;"|"&amp;$Q25,$O$4:$O$1503,0)),"")</f>
        <v/>
      </c>
      <c r="W25" s="20" t="str">
        <f aca="false">IFERROR(INDEX($H$4:$H$1503,MATCH(TEXT($R$3,"YYYY-MM-DD")&amp;"|"&amp;$Q25,$O$4:$O$1503,0)),"")</f>
        <v/>
      </c>
      <c r="X25" s="20" t="str">
        <f aca="false">IFERROR(INDEX($I$4:$I$1503,MATCH(TEXT($R$3,"YYYY-MM-DD")&amp;"|"&amp;$Q25,$O$4:$O$1503,0)),"")</f>
        <v/>
      </c>
      <c r="Y25" s="20" t="str">
        <f aca="false">IFERROR(INDEX($J$4:$J$1503,MATCH(TEXT($R$3,"YYYY-MM-DD")&amp;"|"&amp;$Q25,$O$4:$O$1503,0)),"")</f>
        <v/>
      </c>
      <c r="Z25" s="20" t="str">
        <f aca="false">IFERROR(INDEX($K$4:$K$1503,MATCH(TEXT($R$3,"YYYY-MM-DD")&amp;"|"&amp;$Q25,$O$4:$O$1503,0)),"")</f>
        <v/>
      </c>
      <c r="AA25" s="20" t="str">
        <f aca="false">IFERROR(INDEX($L$4:$L$1503,MATCH(TEXT($R$3,"YYYY-MM-DD")&amp;"|"&amp;$Q25,$O$4:$O$1503,0)),"")</f>
        <v/>
      </c>
      <c r="AB25" s="43" t="str">
        <f aca="false">IFERROR(INDEX($M$4:$M$1503,MATCH(TEXT($R$3,"YYYY-MM-DD")&amp;"|"&amp;$Q25,$O$4:$O$1503,0)),"")</f>
        <v/>
      </c>
    </row>
    <row r="26" customFormat="false" ht="15" hidden="false" customHeight="false" outlineLevel="0" collapsed="false">
      <c r="A26" s="48" t="n">
        <v>46241</v>
      </c>
      <c r="B26" s="46" t="s">
        <v>159</v>
      </c>
      <c r="C26" s="50" t="n">
        <v>7</v>
      </c>
      <c r="D26" s="50" t="n">
        <v>4</v>
      </c>
      <c r="E26" s="50" t="n">
        <v>8</v>
      </c>
      <c r="F26" s="50" t="n">
        <v>5</v>
      </c>
      <c r="G26" s="49" t="n">
        <v>309095</v>
      </c>
      <c r="H26" s="50" t="n">
        <v>4</v>
      </c>
      <c r="I26" s="50" t="n">
        <v>3</v>
      </c>
      <c r="J26" s="50" t="n">
        <v>9</v>
      </c>
      <c r="K26" s="50" t="n">
        <v>3</v>
      </c>
      <c r="L26" s="50" t="n">
        <v>3</v>
      </c>
      <c r="M26" s="46" t="s">
        <v>213</v>
      </c>
      <c r="N26" s="51" t="s">
        <v>214</v>
      </c>
      <c r="O26" s="62" t="str">
        <f aca="false">IF($B26="","",TEXT($A26,"YYYY-MM-DD")&amp;"|"&amp;$B26)</f>
        <v>2026-08-07|P-003</v>
      </c>
      <c r="P26" s="3"/>
      <c r="Q26" s="19" t="str">
        <f aca="false">IF('TOR Register'!$A25="","",'TOR Register'!$A25)</f>
        <v/>
      </c>
      <c r="R26" s="20" t="str">
        <f aca="false">IFERROR(INDEX($C$4:$C$1503,MATCH(TEXT($R$3,"YYYY-MM-DD")&amp;"|"&amp;$Q26,$O$4:$O$1503,0)),"")</f>
        <v/>
      </c>
      <c r="S26" s="20" t="str">
        <f aca="false">IFERROR(INDEX($D$4:$D$1503,MATCH(TEXT($R$3,"YYYY-MM-DD")&amp;"|"&amp;$Q26,$O$4:$O$1503,0)),"")</f>
        <v/>
      </c>
      <c r="T26" s="20" t="str">
        <f aca="false">IFERROR(INDEX($E$4:$E$1503,MATCH(TEXT($R$3,"YYYY-MM-DD")&amp;"|"&amp;$Q26,$O$4:$O$1503,0)),"")</f>
        <v/>
      </c>
      <c r="U26" s="20" t="str">
        <f aca="false">IFERROR(INDEX($F$4:$F$1503,MATCH(TEXT($R$3,"YYYY-MM-DD")&amp;"|"&amp;$Q26,$O$4:$O$1503,0)),"")</f>
        <v/>
      </c>
      <c r="V26" s="21" t="str">
        <f aca="false">IFERROR(INDEX($G$4:$G$1503,MATCH(TEXT($R$3,"YYYY-MM-DD")&amp;"|"&amp;$Q26,$O$4:$O$1503,0)),"")</f>
        <v/>
      </c>
      <c r="W26" s="20" t="str">
        <f aca="false">IFERROR(INDEX($H$4:$H$1503,MATCH(TEXT($R$3,"YYYY-MM-DD")&amp;"|"&amp;$Q26,$O$4:$O$1503,0)),"")</f>
        <v/>
      </c>
      <c r="X26" s="20" t="str">
        <f aca="false">IFERROR(INDEX($I$4:$I$1503,MATCH(TEXT($R$3,"YYYY-MM-DD")&amp;"|"&amp;$Q26,$O$4:$O$1503,0)),"")</f>
        <v/>
      </c>
      <c r="Y26" s="20" t="str">
        <f aca="false">IFERROR(INDEX($J$4:$J$1503,MATCH(TEXT($R$3,"YYYY-MM-DD")&amp;"|"&amp;$Q26,$O$4:$O$1503,0)),"")</f>
        <v/>
      </c>
      <c r="Z26" s="20" t="str">
        <f aca="false">IFERROR(INDEX($K$4:$K$1503,MATCH(TEXT($R$3,"YYYY-MM-DD")&amp;"|"&amp;$Q26,$O$4:$O$1503,0)),"")</f>
        <v/>
      </c>
      <c r="AA26" s="20" t="str">
        <f aca="false">IFERROR(INDEX($L$4:$L$1503,MATCH(TEXT($R$3,"YYYY-MM-DD")&amp;"|"&amp;$Q26,$O$4:$O$1503,0)),"")</f>
        <v/>
      </c>
      <c r="AB26" s="43" t="str">
        <f aca="false">IFERROR(INDEX($M$4:$M$1503,MATCH(TEXT($R$3,"YYYY-MM-DD")&amp;"|"&amp;$Q26,$O$4:$O$1503,0)),"")</f>
        <v/>
      </c>
    </row>
    <row r="27" customFormat="false" ht="15" hidden="false" customHeight="false" outlineLevel="0" collapsed="false">
      <c r="A27" s="54" t="n">
        <v>46241</v>
      </c>
      <c r="B27" s="52" t="s">
        <v>167</v>
      </c>
      <c r="C27" s="56" t="n">
        <v>6</v>
      </c>
      <c r="D27" s="56" t="n">
        <v>6</v>
      </c>
      <c r="E27" s="56" t="n">
        <v>6</v>
      </c>
      <c r="F27" s="56" t="n">
        <v>6</v>
      </c>
      <c r="G27" s="55" t="n">
        <v>357857</v>
      </c>
      <c r="H27" s="56" t="n">
        <v>1</v>
      </c>
      <c r="I27" s="56" t="n">
        <v>1</v>
      </c>
      <c r="J27" s="56" t="n">
        <v>2</v>
      </c>
      <c r="K27" s="56" t="n">
        <v>0</v>
      </c>
      <c r="L27" s="56" t="n">
        <v>0</v>
      </c>
      <c r="M27" s="52" t="s">
        <v>211</v>
      </c>
      <c r="N27" s="57" t="s">
        <v>215</v>
      </c>
      <c r="O27" s="62" t="str">
        <f aca="false">IF($B27="","",TEXT($A27,"YYYY-MM-DD")&amp;"|"&amp;$B27)</f>
        <v>2026-08-07|P-004</v>
      </c>
      <c r="P27" s="3"/>
      <c r="Q27" s="19" t="str">
        <f aca="false">IF('TOR Register'!$A26="","",'TOR Register'!$A26)</f>
        <v/>
      </c>
      <c r="R27" s="20" t="str">
        <f aca="false">IFERROR(INDEX($C$4:$C$1503,MATCH(TEXT($R$3,"YYYY-MM-DD")&amp;"|"&amp;$Q27,$O$4:$O$1503,0)),"")</f>
        <v/>
      </c>
      <c r="S27" s="20" t="str">
        <f aca="false">IFERROR(INDEX($D$4:$D$1503,MATCH(TEXT($R$3,"YYYY-MM-DD")&amp;"|"&amp;$Q27,$O$4:$O$1503,0)),"")</f>
        <v/>
      </c>
      <c r="T27" s="20" t="str">
        <f aca="false">IFERROR(INDEX($E$4:$E$1503,MATCH(TEXT($R$3,"YYYY-MM-DD")&amp;"|"&amp;$Q27,$O$4:$O$1503,0)),"")</f>
        <v/>
      </c>
      <c r="U27" s="20" t="str">
        <f aca="false">IFERROR(INDEX($F$4:$F$1503,MATCH(TEXT($R$3,"YYYY-MM-DD")&amp;"|"&amp;$Q27,$O$4:$O$1503,0)),"")</f>
        <v/>
      </c>
      <c r="V27" s="21" t="str">
        <f aca="false">IFERROR(INDEX($G$4:$G$1503,MATCH(TEXT($R$3,"YYYY-MM-DD")&amp;"|"&amp;$Q27,$O$4:$O$1503,0)),"")</f>
        <v/>
      </c>
      <c r="W27" s="20" t="str">
        <f aca="false">IFERROR(INDEX($H$4:$H$1503,MATCH(TEXT($R$3,"YYYY-MM-DD")&amp;"|"&amp;$Q27,$O$4:$O$1503,0)),"")</f>
        <v/>
      </c>
      <c r="X27" s="20" t="str">
        <f aca="false">IFERROR(INDEX($I$4:$I$1503,MATCH(TEXT($R$3,"YYYY-MM-DD")&amp;"|"&amp;$Q27,$O$4:$O$1503,0)),"")</f>
        <v/>
      </c>
      <c r="Y27" s="20" t="str">
        <f aca="false">IFERROR(INDEX($J$4:$J$1503,MATCH(TEXT($R$3,"YYYY-MM-DD")&amp;"|"&amp;$Q27,$O$4:$O$1503,0)),"")</f>
        <v/>
      </c>
      <c r="Z27" s="20" t="str">
        <f aca="false">IFERROR(INDEX($K$4:$K$1503,MATCH(TEXT($R$3,"YYYY-MM-DD")&amp;"|"&amp;$Q27,$O$4:$O$1503,0)),"")</f>
        <v/>
      </c>
      <c r="AA27" s="20" t="str">
        <f aca="false">IFERROR(INDEX($L$4:$L$1503,MATCH(TEXT($R$3,"YYYY-MM-DD")&amp;"|"&amp;$Q27,$O$4:$O$1503,0)),"")</f>
        <v/>
      </c>
      <c r="AB27" s="43" t="str">
        <f aca="false">IFERROR(INDEX($M$4:$M$1503,MATCH(TEXT($R$3,"YYYY-MM-DD")&amp;"|"&amp;$Q27,$O$4:$O$1503,0)),"")</f>
        <v/>
      </c>
    </row>
    <row r="28" customFormat="false" ht="15" hidden="false" customHeight="false" outlineLevel="0" collapsed="false">
      <c r="A28" s="48" t="n">
        <v>46241</v>
      </c>
      <c r="B28" s="46" t="s">
        <v>174</v>
      </c>
      <c r="C28" s="50" t="n">
        <v>6</v>
      </c>
      <c r="D28" s="50" t="n">
        <v>5</v>
      </c>
      <c r="E28" s="50" t="n">
        <v>7</v>
      </c>
      <c r="F28" s="50" t="n">
        <v>6</v>
      </c>
      <c r="G28" s="49" t="n">
        <v>190476</v>
      </c>
      <c r="H28" s="50" t="n">
        <v>2</v>
      </c>
      <c r="I28" s="50" t="n">
        <v>1</v>
      </c>
      <c r="J28" s="50" t="n">
        <v>4</v>
      </c>
      <c r="K28" s="50" t="n">
        <v>1</v>
      </c>
      <c r="L28" s="50" t="n">
        <v>0</v>
      </c>
      <c r="M28" s="46" t="s">
        <v>211</v>
      </c>
      <c r="N28" s="51" t="s">
        <v>216</v>
      </c>
      <c r="O28" s="62" t="str">
        <f aca="false">IF($B28="","",TEXT($A28,"YYYY-MM-DD")&amp;"|"&amp;$B28)</f>
        <v>2026-08-07|P-005</v>
      </c>
      <c r="P28" s="3"/>
      <c r="Q28" s="19" t="str">
        <f aca="false">IF('TOR Register'!$A27="","",'TOR Register'!$A27)</f>
        <v/>
      </c>
      <c r="R28" s="20" t="str">
        <f aca="false">IFERROR(INDEX($C$4:$C$1503,MATCH(TEXT($R$3,"YYYY-MM-DD")&amp;"|"&amp;$Q28,$O$4:$O$1503,0)),"")</f>
        <v/>
      </c>
      <c r="S28" s="20" t="str">
        <f aca="false">IFERROR(INDEX($D$4:$D$1503,MATCH(TEXT($R$3,"YYYY-MM-DD")&amp;"|"&amp;$Q28,$O$4:$O$1503,0)),"")</f>
        <v/>
      </c>
      <c r="T28" s="20" t="str">
        <f aca="false">IFERROR(INDEX($E$4:$E$1503,MATCH(TEXT($R$3,"YYYY-MM-DD")&amp;"|"&amp;$Q28,$O$4:$O$1503,0)),"")</f>
        <v/>
      </c>
      <c r="U28" s="20" t="str">
        <f aca="false">IFERROR(INDEX($F$4:$F$1503,MATCH(TEXT($R$3,"YYYY-MM-DD")&amp;"|"&amp;$Q28,$O$4:$O$1503,0)),"")</f>
        <v/>
      </c>
      <c r="V28" s="21" t="str">
        <f aca="false">IFERROR(INDEX($G$4:$G$1503,MATCH(TEXT($R$3,"YYYY-MM-DD")&amp;"|"&amp;$Q28,$O$4:$O$1503,0)),"")</f>
        <v/>
      </c>
      <c r="W28" s="20" t="str">
        <f aca="false">IFERROR(INDEX($H$4:$H$1503,MATCH(TEXT($R$3,"YYYY-MM-DD")&amp;"|"&amp;$Q28,$O$4:$O$1503,0)),"")</f>
        <v/>
      </c>
      <c r="X28" s="20" t="str">
        <f aca="false">IFERROR(INDEX($I$4:$I$1503,MATCH(TEXT($R$3,"YYYY-MM-DD")&amp;"|"&amp;$Q28,$O$4:$O$1503,0)),"")</f>
        <v/>
      </c>
      <c r="Y28" s="20" t="str">
        <f aca="false">IFERROR(INDEX($J$4:$J$1503,MATCH(TEXT($R$3,"YYYY-MM-DD")&amp;"|"&amp;$Q28,$O$4:$O$1503,0)),"")</f>
        <v/>
      </c>
      <c r="Z28" s="20" t="str">
        <f aca="false">IFERROR(INDEX($K$4:$K$1503,MATCH(TEXT($R$3,"YYYY-MM-DD")&amp;"|"&amp;$Q28,$O$4:$O$1503,0)),"")</f>
        <v/>
      </c>
      <c r="AA28" s="20" t="str">
        <f aca="false">IFERROR(INDEX($L$4:$L$1503,MATCH(TEXT($R$3,"YYYY-MM-DD")&amp;"|"&amp;$Q28,$O$4:$O$1503,0)),"")</f>
        <v/>
      </c>
      <c r="AB28" s="43" t="str">
        <f aca="false">IFERROR(INDEX($M$4:$M$1503,MATCH(TEXT($R$3,"YYYY-MM-DD")&amp;"|"&amp;$Q28,$O$4:$O$1503,0)),"")</f>
        <v/>
      </c>
    </row>
    <row r="29" customFormat="false" ht="15" hidden="false" customHeight="false" outlineLevel="0" collapsed="false">
      <c r="A29" s="54" t="n">
        <v>46244</v>
      </c>
      <c r="B29" s="52" t="s">
        <v>143</v>
      </c>
      <c r="C29" s="56" t="n">
        <v>8</v>
      </c>
      <c r="D29" s="56" t="n">
        <v>7</v>
      </c>
      <c r="E29" s="56" t="n">
        <v>10</v>
      </c>
      <c r="F29" s="56" t="n">
        <v>8</v>
      </c>
      <c r="G29" s="55" t="n">
        <v>369143</v>
      </c>
      <c r="H29" s="56" t="n">
        <v>3</v>
      </c>
      <c r="I29" s="56" t="n">
        <v>2</v>
      </c>
      <c r="J29" s="56" t="n">
        <v>4</v>
      </c>
      <c r="K29" s="56" t="n">
        <v>1</v>
      </c>
      <c r="L29" s="56" t="n">
        <v>2</v>
      </c>
      <c r="M29" s="52" t="s">
        <v>199</v>
      </c>
      <c r="N29" s="57" t="s">
        <v>200</v>
      </c>
      <c r="O29" s="62" t="str">
        <f aca="false">IF($B29="","",TEXT($A29,"YYYY-MM-DD")&amp;"|"&amp;$B29)</f>
        <v>2026-08-10|P-001</v>
      </c>
      <c r="P29" s="3"/>
      <c r="Q29" s="19" t="str">
        <f aca="false">IF('TOR Register'!$A28="","",'TOR Register'!$A28)</f>
        <v/>
      </c>
      <c r="R29" s="20" t="str">
        <f aca="false">IFERROR(INDEX($C$4:$C$1503,MATCH(TEXT($R$3,"YYYY-MM-DD")&amp;"|"&amp;$Q29,$O$4:$O$1503,0)),"")</f>
        <v/>
      </c>
      <c r="S29" s="20" t="str">
        <f aca="false">IFERROR(INDEX($D$4:$D$1503,MATCH(TEXT($R$3,"YYYY-MM-DD")&amp;"|"&amp;$Q29,$O$4:$O$1503,0)),"")</f>
        <v/>
      </c>
      <c r="T29" s="20" t="str">
        <f aca="false">IFERROR(INDEX($E$4:$E$1503,MATCH(TEXT($R$3,"YYYY-MM-DD")&amp;"|"&amp;$Q29,$O$4:$O$1503,0)),"")</f>
        <v/>
      </c>
      <c r="U29" s="20" t="str">
        <f aca="false">IFERROR(INDEX($F$4:$F$1503,MATCH(TEXT($R$3,"YYYY-MM-DD")&amp;"|"&amp;$Q29,$O$4:$O$1503,0)),"")</f>
        <v/>
      </c>
      <c r="V29" s="21" t="str">
        <f aca="false">IFERROR(INDEX($G$4:$G$1503,MATCH(TEXT($R$3,"YYYY-MM-DD")&amp;"|"&amp;$Q29,$O$4:$O$1503,0)),"")</f>
        <v/>
      </c>
      <c r="W29" s="20" t="str">
        <f aca="false">IFERROR(INDEX($H$4:$H$1503,MATCH(TEXT($R$3,"YYYY-MM-DD")&amp;"|"&amp;$Q29,$O$4:$O$1503,0)),"")</f>
        <v/>
      </c>
      <c r="X29" s="20" t="str">
        <f aca="false">IFERROR(INDEX($I$4:$I$1503,MATCH(TEXT($R$3,"YYYY-MM-DD")&amp;"|"&amp;$Q29,$O$4:$O$1503,0)),"")</f>
        <v/>
      </c>
      <c r="Y29" s="20" t="str">
        <f aca="false">IFERROR(INDEX($J$4:$J$1503,MATCH(TEXT($R$3,"YYYY-MM-DD")&amp;"|"&amp;$Q29,$O$4:$O$1503,0)),"")</f>
        <v/>
      </c>
      <c r="Z29" s="20" t="str">
        <f aca="false">IFERROR(INDEX($K$4:$K$1503,MATCH(TEXT($R$3,"YYYY-MM-DD")&amp;"|"&amp;$Q29,$O$4:$O$1503,0)),"")</f>
        <v/>
      </c>
      <c r="AA29" s="20" t="str">
        <f aca="false">IFERROR(INDEX($L$4:$L$1503,MATCH(TEXT($R$3,"YYYY-MM-DD")&amp;"|"&amp;$Q29,$O$4:$O$1503,0)),"")</f>
        <v/>
      </c>
      <c r="AB29" s="43" t="str">
        <f aca="false">IFERROR(INDEX($M$4:$M$1503,MATCH(TEXT($R$3,"YYYY-MM-DD")&amp;"|"&amp;$Q29,$O$4:$O$1503,0)),"")</f>
        <v/>
      </c>
    </row>
    <row r="30" customFormat="false" ht="15" hidden="false" customHeight="false" outlineLevel="0" collapsed="false">
      <c r="A30" s="48" t="n">
        <v>46244</v>
      </c>
      <c r="B30" s="46" t="s">
        <v>151</v>
      </c>
      <c r="C30" s="50" t="n">
        <v>9</v>
      </c>
      <c r="D30" s="50" t="n">
        <v>8</v>
      </c>
      <c r="E30" s="50" t="n">
        <v>9</v>
      </c>
      <c r="F30" s="50" t="n">
        <v>8</v>
      </c>
      <c r="G30" s="49" t="n">
        <v>597143</v>
      </c>
      <c r="H30" s="50" t="n">
        <v>2</v>
      </c>
      <c r="I30" s="50" t="n">
        <v>1</v>
      </c>
      <c r="J30" s="50" t="n">
        <v>5</v>
      </c>
      <c r="K30" s="50" t="n">
        <v>1</v>
      </c>
      <c r="L30" s="50" t="n">
        <v>0</v>
      </c>
      <c r="M30" s="46" t="s">
        <v>211</v>
      </c>
      <c r="N30" s="51" t="s">
        <v>212</v>
      </c>
      <c r="O30" s="62" t="str">
        <f aca="false">IF($B30="","",TEXT($A30,"YYYY-MM-DD")&amp;"|"&amp;$B30)</f>
        <v>2026-08-10|P-002</v>
      </c>
      <c r="P30" s="3"/>
      <c r="Q30" s="19" t="str">
        <f aca="false">IF('TOR Register'!$A29="","",'TOR Register'!$A29)</f>
        <v/>
      </c>
      <c r="R30" s="20" t="str">
        <f aca="false">IFERROR(INDEX($C$4:$C$1503,MATCH(TEXT($R$3,"YYYY-MM-DD")&amp;"|"&amp;$Q30,$O$4:$O$1503,0)),"")</f>
        <v/>
      </c>
      <c r="S30" s="20" t="str">
        <f aca="false">IFERROR(INDEX($D$4:$D$1503,MATCH(TEXT($R$3,"YYYY-MM-DD")&amp;"|"&amp;$Q30,$O$4:$O$1503,0)),"")</f>
        <v/>
      </c>
      <c r="T30" s="20" t="str">
        <f aca="false">IFERROR(INDEX($E$4:$E$1503,MATCH(TEXT($R$3,"YYYY-MM-DD")&amp;"|"&amp;$Q30,$O$4:$O$1503,0)),"")</f>
        <v/>
      </c>
      <c r="U30" s="20" t="str">
        <f aca="false">IFERROR(INDEX($F$4:$F$1503,MATCH(TEXT($R$3,"YYYY-MM-DD")&amp;"|"&amp;$Q30,$O$4:$O$1503,0)),"")</f>
        <v/>
      </c>
      <c r="V30" s="21" t="str">
        <f aca="false">IFERROR(INDEX($G$4:$G$1503,MATCH(TEXT($R$3,"YYYY-MM-DD")&amp;"|"&amp;$Q30,$O$4:$O$1503,0)),"")</f>
        <v/>
      </c>
      <c r="W30" s="20" t="str">
        <f aca="false">IFERROR(INDEX($H$4:$H$1503,MATCH(TEXT($R$3,"YYYY-MM-DD")&amp;"|"&amp;$Q30,$O$4:$O$1503,0)),"")</f>
        <v/>
      </c>
      <c r="X30" s="20" t="str">
        <f aca="false">IFERROR(INDEX($I$4:$I$1503,MATCH(TEXT($R$3,"YYYY-MM-DD")&amp;"|"&amp;$Q30,$O$4:$O$1503,0)),"")</f>
        <v/>
      </c>
      <c r="Y30" s="20" t="str">
        <f aca="false">IFERROR(INDEX($J$4:$J$1503,MATCH(TEXT($R$3,"YYYY-MM-DD")&amp;"|"&amp;$Q30,$O$4:$O$1503,0)),"")</f>
        <v/>
      </c>
      <c r="Z30" s="20" t="str">
        <f aca="false">IFERROR(INDEX($K$4:$K$1503,MATCH(TEXT($R$3,"YYYY-MM-DD")&amp;"|"&amp;$Q30,$O$4:$O$1503,0)),"")</f>
        <v/>
      </c>
      <c r="AA30" s="20" t="str">
        <f aca="false">IFERROR(INDEX($L$4:$L$1503,MATCH(TEXT($R$3,"YYYY-MM-DD")&amp;"|"&amp;$Q30,$O$4:$O$1503,0)),"")</f>
        <v/>
      </c>
      <c r="AB30" s="43" t="str">
        <f aca="false">IFERROR(INDEX($M$4:$M$1503,MATCH(TEXT($R$3,"YYYY-MM-DD")&amp;"|"&amp;$Q30,$O$4:$O$1503,0)),"")</f>
        <v/>
      </c>
    </row>
    <row r="31" customFormat="false" ht="15" hidden="false" customHeight="false" outlineLevel="0" collapsed="false">
      <c r="A31" s="54" t="n">
        <v>46244</v>
      </c>
      <c r="B31" s="52" t="s">
        <v>159</v>
      </c>
      <c r="C31" s="56" t="n">
        <v>7</v>
      </c>
      <c r="D31" s="56" t="n">
        <v>4</v>
      </c>
      <c r="E31" s="56" t="n">
        <v>9</v>
      </c>
      <c r="F31" s="56" t="n">
        <v>5</v>
      </c>
      <c r="G31" s="55" t="n">
        <v>311714</v>
      </c>
      <c r="H31" s="56" t="n">
        <v>4</v>
      </c>
      <c r="I31" s="56" t="n">
        <v>3</v>
      </c>
      <c r="J31" s="56" t="n">
        <v>9</v>
      </c>
      <c r="K31" s="56" t="n">
        <v>3</v>
      </c>
      <c r="L31" s="56" t="n">
        <v>3</v>
      </c>
      <c r="M31" s="52" t="s">
        <v>213</v>
      </c>
      <c r="N31" s="57" t="s">
        <v>214</v>
      </c>
      <c r="O31" s="62" t="str">
        <f aca="false">IF($B31="","",TEXT($A31,"YYYY-MM-DD")&amp;"|"&amp;$B31)</f>
        <v>2026-08-10|P-003</v>
      </c>
      <c r="P31" s="3"/>
      <c r="Q31" s="19" t="str">
        <f aca="false">IF('TOR Register'!$A30="","",'TOR Register'!$A30)</f>
        <v/>
      </c>
      <c r="R31" s="20" t="str">
        <f aca="false">IFERROR(INDEX($C$4:$C$1503,MATCH(TEXT($R$3,"YYYY-MM-DD")&amp;"|"&amp;$Q31,$O$4:$O$1503,0)),"")</f>
        <v/>
      </c>
      <c r="S31" s="20" t="str">
        <f aca="false">IFERROR(INDEX($D$4:$D$1503,MATCH(TEXT($R$3,"YYYY-MM-DD")&amp;"|"&amp;$Q31,$O$4:$O$1503,0)),"")</f>
        <v/>
      </c>
      <c r="T31" s="20" t="str">
        <f aca="false">IFERROR(INDEX($E$4:$E$1503,MATCH(TEXT($R$3,"YYYY-MM-DD")&amp;"|"&amp;$Q31,$O$4:$O$1503,0)),"")</f>
        <v/>
      </c>
      <c r="U31" s="20" t="str">
        <f aca="false">IFERROR(INDEX($F$4:$F$1503,MATCH(TEXT($R$3,"YYYY-MM-DD")&amp;"|"&amp;$Q31,$O$4:$O$1503,0)),"")</f>
        <v/>
      </c>
      <c r="V31" s="21" t="str">
        <f aca="false">IFERROR(INDEX($G$4:$G$1503,MATCH(TEXT($R$3,"YYYY-MM-DD")&amp;"|"&amp;$Q31,$O$4:$O$1503,0)),"")</f>
        <v/>
      </c>
      <c r="W31" s="20" t="str">
        <f aca="false">IFERROR(INDEX($H$4:$H$1503,MATCH(TEXT($R$3,"YYYY-MM-DD")&amp;"|"&amp;$Q31,$O$4:$O$1503,0)),"")</f>
        <v/>
      </c>
      <c r="X31" s="20" t="str">
        <f aca="false">IFERROR(INDEX($I$4:$I$1503,MATCH(TEXT($R$3,"YYYY-MM-DD")&amp;"|"&amp;$Q31,$O$4:$O$1503,0)),"")</f>
        <v/>
      </c>
      <c r="Y31" s="20" t="str">
        <f aca="false">IFERROR(INDEX($J$4:$J$1503,MATCH(TEXT($R$3,"YYYY-MM-DD")&amp;"|"&amp;$Q31,$O$4:$O$1503,0)),"")</f>
        <v/>
      </c>
      <c r="Z31" s="20" t="str">
        <f aca="false">IFERROR(INDEX($K$4:$K$1503,MATCH(TEXT($R$3,"YYYY-MM-DD")&amp;"|"&amp;$Q31,$O$4:$O$1503,0)),"")</f>
        <v/>
      </c>
      <c r="AA31" s="20" t="str">
        <f aca="false">IFERROR(INDEX($L$4:$L$1503,MATCH(TEXT($R$3,"YYYY-MM-DD")&amp;"|"&amp;$Q31,$O$4:$O$1503,0)),"")</f>
        <v/>
      </c>
      <c r="AB31" s="43" t="str">
        <f aca="false">IFERROR(INDEX($M$4:$M$1503,MATCH(TEXT($R$3,"YYYY-MM-DD")&amp;"|"&amp;$Q31,$O$4:$O$1503,0)),"")</f>
        <v/>
      </c>
    </row>
    <row r="32" customFormat="false" ht="15" hidden="false" customHeight="false" outlineLevel="0" collapsed="false">
      <c r="A32" s="48" t="n">
        <v>46244</v>
      </c>
      <c r="B32" s="46" t="s">
        <v>167</v>
      </c>
      <c r="C32" s="50" t="n">
        <v>7</v>
      </c>
      <c r="D32" s="50" t="n">
        <v>7</v>
      </c>
      <c r="E32" s="50" t="n">
        <v>7</v>
      </c>
      <c r="F32" s="50" t="n">
        <v>7</v>
      </c>
      <c r="G32" s="49" t="n">
        <v>361429</v>
      </c>
      <c r="H32" s="50" t="n">
        <v>1</v>
      </c>
      <c r="I32" s="50" t="n">
        <v>1</v>
      </c>
      <c r="J32" s="50" t="n">
        <v>2</v>
      </c>
      <c r="K32" s="50" t="n">
        <v>0</v>
      </c>
      <c r="L32" s="50" t="n">
        <v>0</v>
      </c>
      <c r="M32" s="46" t="s">
        <v>211</v>
      </c>
      <c r="N32" s="51" t="s">
        <v>215</v>
      </c>
      <c r="O32" s="62" t="str">
        <f aca="false">IF($B32="","",TEXT($A32,"YYYY-MM-DD")&amp;"|"&amp;$B32)</f>
        <v>2026-08-10|P-004</v>
      </c>
      <c r="P32" s="3"/>
      <c r="Q32" s="19" t="str">
        <f aca="false">IF('TOR Register'!$A31="","",'TOR Register'!$A31)</f>
        <v/>
      </c>
      <c r="R32" s="20" t="str">
        <f aca="false">IFERROR(INDEX($C$4:$C$1503,MATCH(TEXT($R$3,"YYYY-MM-DD")&amp;"|"&amp;$Q32,$O$4:$O$1503,0)),"")</f>
        <v/>
      </c>
      <c r="S32" s="20" t="str">
        <f aca="false">IFERROR(INDEX($D$4:$D$1503,MATCH(TEXT($R$3,"YYYY-MM-DD")&amp;"|"&amp;$Q32,$O$4:$O$1503,0)),"")</f>
        <v/>
      </c>
      <c r="T32" s="20" t="str">
        <f aca="false">IFERROR(INDEX($E$4:$E$1503,MATCH(TEXT($R$3,"YYYY-MM-DD")&amp;"|"&amp;$Q32,$O$4:$O$1503,0)),"")</f>
        <v/>
      </c>
      <c r="U32" s="20" t="str">
        <f aca="false">IFERROR(INDEX($F$4:$F$1503,MATCH(TEXT($R$3,"YYYY-MM-DD")&amp;"|"&amp;$Q32,$O$4:$O$1503,0)),"")</f>
        <v/>
      </c>
      <c r="V32" s="21" t="str">
        <f aca="false">IFERROR(INDEX($G$4:$G$1503,MATCH(TEXT($R$3,"YYYY-MM-DD")&amp;"|"&amp;$Q32,$O$4:$O$1503,0)),"")</f>
        <v/>
      </c>
      <c r="W32" s="20" t="str">
        <f aca="false">IFERROR(INDEX($H$4:$H$1503,MATCH(TEXT($R$3,"YYYY-MM-DD")&amp;"|"&amp;$Q32,$O$4:$O$1503,0)),"")</f>
        <v/>
      </c>
      <c r="X32" s="20" t="str">
        <f aca="false">IFERROR(INDEX($I$4:$I$1503,MATCH(TEXT($R$3,"YYYY-MM-DD")&amp;"|"&amp;$Q32,$O$4:$O$1503,0)),"")</f>
        <v/>
      </c>
      <c r="Y32" s="20" t="str">
        <f aca="false">IFERROR(INDEX($J$4:$J$1503,MATCH(TEXT($R$3,"YYYY-MM-DD")&amp;"|"&amp;$Q32,$O$4:$O$1503,0)),"")</f>
        <v/>
      </c>
      <c r="Z32" s="20" t="str">
        <f aca="false">IFERROR(INDEX($K$4:$K$1503,MATCH(TEXT($R$3,"YYYY-MM-DD")&amp;"|"&amp;$Q32,$O$4:$O$1503,0)),"")</f>
        <v/>
      </c>
      <c r="AA32" s="20" t="str">
        <f aca="false">IFERROR(INDEX($L$4:$L$1503,MATCH(TEXT($R$3,"YYYY-MM-DD")&amp;"|"&amp;$Q32,$O$4:$O$1503,0)),"")</f>
        <v/>
      </c>
      <c r="AB32" s="43" t="str">
        <f aca="false">IFERROR(INDEX($M$4:$M$1503,MATCH(TEXT($R$3,"YYYY-MM-DD")&amp;"|"&amp;$Q32,$O$4:$O$1503,0)),"")</f>
        <v/>
      </c>
    </row>
    <row r="33" customFormat="false" ht="15" hidden="false" customHeight="false" outlineLevel="0" collapsed="false">
      <c r="A33" s="54" t="n">
        <v>46244</v>
      </c>
      <c r="B33" s="52" t="s">
        <v>174</v>
      </c>
      <c r="C33" s="56" t="n">
        <v>6</v>
      </c>
      <c r="D33" s="56" t="n">
        <v>5</v>
      </c>
      <c r="E33" s="56" t="n">
        <v>8</v>
      </c>
      <c r="F33" s="56" t="n">
        <v>6</v>
      </c>
      <c r="G33" s="55" t="n">
        <v>192571</v>
      </c>
      <c r="H33" s="56" t="n">
        <v>2</v>
      </c>
      <c r="I33" s="56" t="n">
        <v>1</v>
      </c>
      <c r="J33" s="56" t="n">
        <v>4</v>
      </c>
      <c r="K33" s="56" t="n">
        <v>1</v>
      </c>
      <c r="L33" s="56" t="n">
        <v>0</v>
      </c>
      <c r="M33" s="52" t="s">
        <v>211</v>
      </c>
      <c r="N33" s="57" t="s">
        <v>216</v>
      </c>
      <c r="O33" s="62" t="str">
        <f aca="false">IF($B33="","",TEXT($A33,"YYYY-MM-DD")&amp;"|"&amp;$B33)</f>
        <v>2026-08-10|P-005</v>
      </c>
      <c r="P33" s="3"/>
      <c r="Q33" s="19" t="str">
        <f aca="false">IF('TOR Register'!$A32="","",'TOR Register'!$A32)</f>
        <v/>
      </c>
      <c r="R33" s="20" t="str">
        <f aca="false">IFERROR(INDEX($C$4:$C$1503,MATCH(TEXT($R$3,"YYYY-MM-DD")&amp;"|"&amp;$Q33,$O$4:$O$1503,0)),"")</f>
        <v/>
      </c>
      <c r="S33" s="20" t="str">
        <f aca="false">IFERROR(INDEX($D$4:$D$1503,MATCH(TEXT($R$3,"YYYY-MM-DD")&amp;"|"&amp;$Q33,$O$4:$O$1503,0)),"")</f>
        <v/>
      </c>
      <c r="T33" s="20" t="str">
        <f aca="false">IFERROR(INDEX($E$4:$E$1503,MATCH(TEXT($R$3,"YYYY-MM-DD")&amp;"|"&amp;$Q33,$O$4:$O$1503,0)),"")</f>
        <v/>
      </c>
      <c r="U33" s="20" t="str">
        <f aca="false">IFERROR(INDEX($F$4:$F$1503,MATCH(TEXT($R$3,"YYYY-MM-DD")&amp;"|"&amp;$Q33,$O$4:$O$1503,0)),"")</f>
        <v/>
      </c>
      <c r="V33" s="21" t="str">
        <f aca="false">IFERROR(INDEX($G$4:$G$1503,MATCH(TEXT($R$3,"YYYY-MM-DD")&amp;"|"&amp;$Q33,$O$4:$O$1503,0)),"")</f>
        <v/>
      </c>
      <c r="W33" s="20" t="str">
        <f aca="false">IFERROR(INDEX($H$4:$H$1503,MATCH(TEXT($R$3,"YYYY-MM-DD")&amp;"|"&amp;$Q33,$O$4:$O$1503,0)),"")</f>
        <v/>
      </c>
      <c r="X33" s="20" t="str">
        <f aca="false">IFERROR(INDEX($I$4:$I$1503,MATCH(TEXT($R$3,"YYYY-MM-DD")&amp;"|"&amp;$Q33,$O$4:$O$1503,0)),"")</f>
        <v/>
      </c>
      <c r="Y33" s="20" t="str">
        <f aca="false">IFERROR(INDEX($J$4:$J$1503,MATCH(TEXT($R$3,"YYYY-MM-DD")&amp;"|"&amp;$Q33,$O$4:$O$1503,0)),"")</f>
        <v/>
      </c>
      <c r="Z33" s="20" t="str">
        <f aca="false">IFERROR(INDEX($K$4:$K$1503,MATCH(TEXT($R$3,"YYYY-MM-DD")&amp;"|"&amp;$Q33,$O$4:$O$1503,0)),"")</f>
        <v/>
      </c>
      <c r="AA33" s="20" t="str">
        <f aca="false">IFERROR(INDEX($L$4:$L$1503,MATCH(TEXT($R$3,"YYYY-MM-DD")&amp;"|"&amp;$Q33,$O$4:$O$1503,0)),"")</f>
        <v/>
      </c>
      <c r="AB33" s="43" t="str">
        <f aca="false">IFERROR(INDEX($M$4:$M$1503,MATCH(TEXT($R$3,"YYYY-MM-DD")&amp;"|"&amp;$Q33,$O$4:$O$1503,0)),"")</f>
        <v/>
      </c>
    </row>
    <row r="34" customFormat="false" ht="15" hidden="false" customHeight="false" outlineLevel="0" collapsed="false">
      <c r="A34" s="48" t="n">
        <v>46245</v>
      </c>
      <c r="B34" s="46" t="s">
        <v>143</v>
      </c>
      <c r="C34" s="50" t="n">
        <v>8</v>
      </c>
      <c r="D34" s="50" t="n">
        <v>7</v>
      </c>
      <c r="E34" s="50" t="n">
        <v>10</v>
      </c>
      <c r="F34" s="50" t="n">
        <v>8</v>
      </c>
      <c r="G34" s="49" t="n">
        <v>372000</v>
      </c>
      <c r="H34" s="50" t="n">
        <v>3</v>
      </c>
      <c r="I34" s="50" t="n">
        <v>2</v>
      </c>
      <c r="J34" s="50" t="n">
        <v>4</v>
      </c>
      <c r="K34" s="50" t="n">
        <v>1</v>
      </c>
      <c r="L34" s="50" t="n">
        <v>2</v>
      </c>
      <c r="M34" s="46" t="s">
        <v>199</v>
      </c>
      <c r="N34" s="51" t="s">
        <v>200</v>
      </c>
      <c r="O34" s="62" t="str">
        <f aca="false">IF($B34="","",TEXT($A34,"YYYY-MM-DD")&amp;"|"&amp;$B34)</f>
        <v>2026-08-11|P-001</v>
      </c>
      <c r="P34" s="3"/>
      <c r="Q34" s="19" t="str">
        <f aca="false">IF('TOR Register'!$A33="","",'TOR Register'!$A33)</f>
        <v/>
      </c>
      <c r="R34" s="20" t="str">
        <f aca="false">IFERROR(INDEX($C$4:$C$1503,MATCH(TEXT($R$3,"YYYY-MM-DD")&amp;"|"&amp;$Q34,$O$4:$O$1503,0)),"")</f>
        <v/>
      </c>
      <c r="S34" s="20" t="str">
        <f aca="false">IFERROR(INDEX($D$4:$D$1503,MATCH(TEXT($R$3,"YYYY-MM-DD")&amp;"|"&amp;$Q34,$O$4:$O$1503,0)),"")</f>
        <v/>
      </c>
      <c r="T34" s="20" t="str">
        <f aca="false">IFERROR(INDEX($E$4:$E$1503,MATCH(TEXT($R$3,"YYYY-MM-DD")&amp;"|"&amp;$Q34,$O$4:$O$1503,0)),"")</f>
        <v/>
      </c>
      <c r="U34" s="20" t="str">
        <f aca="false">IFERROR(INDEX($F$4:$F$1503,MATCH(TEXT($R$3,"YYYY-MM-DD")&amp;"|"&amp;$Q34,$O$4:$O$1503,0)),"")</f>
        <v/>
      </c>
      <c r="V34" s="21" t="str">
        <f aca="false">IFERROR(INDEX($G$4:$G$1503,MATCH(TEXT($R$3,"YYYY-MM-DD")&amp;"|"&amp;$Q34,$O$4:$O$1503,0)),"")</f>
        <v/>
      </c>
      <c r="W34" s="20" t="str">
        <f aca="false">IFERROR(INDEX($H$4:$H$1503,MATCH(TEXT($R$3,"YYYY-MM-DD")&amp;"|"&amp;$Q34,$O$4:$O$1503,0)),"")</f>
        <v/>
      </c>
      <c r="X34" s="20" t="str">
        <f aca="false">IFERROR(INDEX($I$4:$I$1503,MATCH(TEXT($R$3,"YYYY-MM-DD")&amp;"|"&amp;$Q34,$O$4:$O$1503,0)),"")</f>
        <v/>
      </c>
      <c r="Y34" s="20" t="str">
        <f aca="false">IFERROR(INDEX($J$4:$J$1503,MATCH(TEXT($R$3,"YYYY-MM-DD")&amp;"|"&amp;$Q34,$O$4:$O$1503,0)),"")</f>
        <v/>
      </c>
      <c r="Z34" s="20" t="str">
        <f aca="false">IFERROR(INDEX($K$4:$K$1503,MATCH(TEXT($R$3,"YYYY-MM-DD")&amp;"|"&amp;$Q34,$O$4:$O$1503,0)),"")</f>
        <v/>
      </c>
      <c r="AA34" s="20" t="str">
        <f aca="false">IFERROR(INDEX($L$4:$L$1503,MATCH(TEXT($R$3,"YYYY-MM-DD")&amp;"|"&amp;$Q34,$O$4:$O$1503,0)),"")</f>
        <v/>
      </c>
      <c r="AB34" s="43" t="str">
        <f aca="false">IFERROR(INDEX($M$4:$M$1503,MATCH(TEXT($R$3,"YYYY-MM-DD")&amp;"|"&amp;$Q34,$O$4:$O$1503,0)),"")</f>
        <v/>
      </c>
    </row>
    <row r="35" customFormat="false" ht="15" hidden="false" customHeight="false" outlineLevel="0" collapsed="false">
      <c r="A35" s="54" t="n">
        <v>46245</v>
      </c>
      <c r="B35" s="52" t="s">
        <v>151</v>
      </c>
      <c r="C35" s="56" t="n">
        <v>9</v>
      </c>
      <c r="D35" s="56" t="n">
        <v>8</v>
      </c>
      <c r="E35" s="56" t="n">
        <v>9</v>
      </c>
      <c r="F35" s="56" t="n">
        <v>8</v>
      </c>
      <c r="G35" s="55" t="n">
        <v>603333</v>
      </c>
      <c r="H35" s="56" t="n">
        <v>2</v>
      </c>
      <c r="I35" s="56" t="n">
        <v>1</v>
      </c>
      <c r="J35" s="56" t="n">
        <v>5</v>
      </c>
      <c r="K35" s="56" t="n">
        <v>1</v>
      </c>
      <c r="L35" s="56" t="n">
        <v>0</v>
      </c>
      <c r="M35" s="52" t="s">
        <v>211</v>
      </c>
      <c r="N35" s="57" t="s">
        <v>212</v>
      </c>
      <c r="O35" s="62" t="str">
        <f aca="false">IF($B35="","",TEXT($A35,"YYYY-MM-DD")&amp;"|"&amp;$B35)</f>
        <v>2026-08-11|P-002</v>
      </c>
      <c r="P35" s="3"/>
      <c r="Q35" s="19" t="str">
        <f aca="false">IF('TOR Register'!$A34="","",'TOR Register'!$A34)</f>
        <v/>
      </c>
      <c r="R35" s="20" t="str">
        <f aca="false">IFERROR(INDEX($C$4:$C$1503,MATCH(TEXT($R$3,"YYYY-MM-DD")&amp;"|"&amp;$Q35,$O$4:$O$1503,0)),"")</f>
        <v/>
      </c>
      <c r="S35" s="20" t="str">
        <f aca="false">IFERROR(INDEX($D$4:$D$1503,MATCH(TEXT($R$3,"YYYY-MM-DD")&amp;"|"&amp;$Q35,$O$4:$O$1503,0)),"")</f>
        <v/>
      </c>
      <c r="T35" s="20" t="str">
        <f aca="false">IFERROR(INDEX($E$4:$E$1503,MATCH(TEXT($R$3,"YYYY-MM-DD")&amp;"|"&amp;$Q35,$O$4:$O$1503,0)),"")</f>
        <v/>
      </c>
      <c r="U35" s="20" t="str">
        <f aca="false">IFERROR(INDEX($F$4:$F$1503,MATCH(TEXT($R$3,"YYYY-MM-DD")&amp;"|"&amp;$Q35,$O$4:$O$1503,0)),"")</f>
        <v/>
      </c>
      <c r="V35" s="21" t="str">
        <f aca="false">IFERROR(INDEX($G$4:$G$1503,MATCH(TEXT($R$3,"YYYY-MM-DD")&amp;"|"&amp;$Q35,$O$4:$O$1503,0)),"")</f>
        <v/>
      </c>
      <c r="W35" s="20" t="str">
        <f aca="false">IFERROR(INDEX($H$4:$H$1503,MATCH(TEXT($R$3,"YYYY-MM-DD")&amp;"|"&amp;$Q35,$O$4:$O$1503,0)),"")</f>
        <v/>
      </c>
      <c r="X35" s="20" t="str">
        <f aca="false">IFERROR(INDEX($I$4:$I$1503,MATCH(TEXT($R$3,"YYYY-MM-DD")&amp;"|"&amp;$Q35,$O$4:$O$1503,0)),"")</f>
        <v/>
      </c>
      <c r="Y35" s="20" t="str">
        <f aca="false">IFERROR(INDEX($J$4:$J$1503,MATCH(TEXT($R$3,"YYYY-MM-DD")&amp;"|"&amp;$Q35,$O$4:$O$1503,0)),"")</f>
        <v/>
      </c>
      <c r="Z35" s="20" t="str">
        <f aca="false">IFERROR(INDEX($K$4:$K$1503,MATCH(TEXT($R$3,"YYYY-MM-DD")&amp;"|"&amp;$Q35,$O$4:$O$1503,0)),"")</f>
        <v/>
      </c>
      <c r="AA35" s="20" t="str">
        <f aca="false">IFERROR(INDEX($L$4:$L$1503,MATCH(TEXT($R$3,"YYYY-MM-DD")&amp;"|"&amp;$Q35,$O$4:$O$1503,0)),"")</f>
        <v/>
      </c>
      <c r="AB35" s="43" t="str">
        <f aca="false">IFERROR(INDEX($M$4:$M$1503,MATCH(TEXT($R$3,"YYYY-MM-DD")&amp;"|"&amp;$Q35,$O$4:$O$1503,0)),"")</f>
        <v/>
      </c>
    </row>
    <row r="36" customFormat="false" ht="15" hidden="false" customHeight="false" outlineLevel="0" collapsed="false">
      <c r="A36" s="48" t="n">
        <v>46245</v>
      </c>
      <c r="B36" s="46" t="s">
        <v>159</v>
      </c>
      <c r="C36" s="50" t="n">
        <v>7</v>
      </c>
      <c r="D36" s="50" t="n">
        <v>4</v>
      </c>
      <c r="E36" s="50" t="n">
        <v>9</v>
      </c>
      <c r="F36" s="50" t="n">
        <v>5</v>
      </c>
      <c r="G36" s="49" t="n">
        <v>314333</v>
      </c>
      <c r="H36" s="50" t="n">
        <v>4</v>
      </c>
      <c r="I36" s="50" t="n">
        <v>3</v>
      </c>
      <c r="J36" s="50" t="n">
        <v>9</v>
      </c>
      <c r="K36" s="50" t="n">
        <v>3</v>
      </c>
      <c r="L36" s="50" t="n">
        <v>3</v>
      </c>
      <c r="M36" s="46" t="s">
        <v>213</v>
      </c>
      <c r="N36" s="51" t="s">
        <v>214</v>
      </c>
      <c r="O36" s="62" t="str">
        <f aca="false">IF($B36="","",TEXT($A36,"YYYY-MM-DD")&amp;"|"&amp;$B36)</f>
        <v>2026-08-11|P-003</v>
      </c>
      <c r="P36" s="3"/>
      <c r="Q36" s="19" t="str">
        <f aca="false">IF('TOR Register'!$A35="","",'TOR Register'!$A35)</f>
        <v/>
      </c>
      <c r="R36" s="20" t="str">
        <f aca="false">IFERROR(INDEX($C$4:$C$1503,MATCH(TEXT($R$3,"YYYY-MM-DD")&amp;"|"&amp;$Q36,$O$4:$O$1503,0)),"")</f>
        <v/>
      </c>
      <c r="S36" s="20" t="str">
        <f aca="false">IFERROR(INDEX($D$4:$D$1503,MATCH(TEXT($R$3,"YYYY-MM-DD")&amp;"|"&amp;$Q36,$O$4:$O$1503,0)),"")</f>
        <v/>
      </c>
      <c r="T36" s="20" t="str">
        <f aca="false">IFERROR(INDEX($E$4:$E$1503,MATCH(TEXT($R$3,"YYYY-MM-DD")&amp;"|"&amp;$Q36,$O$4:$O$1503,0)),"")</f>
        <v/>
      </c>
      <c r="U36" s="20" t="str">
        <f aca="false">IFERROR(INDEX($F$4:$F$1503,MATCH(TEXT($R$3,"YYYY-MM-DD")&amp;"|"&amp;$Q36,$O$4:$O$1503,0)),"")</f>
        <v/>
      </c>
      <c r="V36" s="21" t="str">
        <f aca="false">IFERROR(INDEX($G$4:$G$1503,MATCH(TEXT($R$3,"YYYY-MM-DD")&amp;"|"&amp;$Q36,$O$4:$O$1503,0)),"")</f>
        <v/>
      </c>
      <c r="W36" s="20" t="str">
        <f aca="false">IFERROR(INDEX($H$4:$H$1503,MATCH(TEXT($R$3,"YYYY-MM-DD")&amp;"|"&amp;$Q36,$O$4:$O$1503,0)),"")</f>
        <v/>
      </c>
      <c r="X36" s="20" t="str">
        <f aca="false">IFERROR(INDEX($I$4:$I$1503,MATCH(TEXT($R$3,"YYYY-MM-DD")&amp;"|"&amp;$Q36,$O$4:$O$1503,0)),"")</f>
        <v/>
      </c>
      <c r="Y36" s="20" t="str">
        <f aca="false">IFERROR(INDEX($J$4:$J$1503,MATCH(TEXT($R$3,"YYYY-MM-DD")&amp;"|"&amp;$Q36,$O$4:$O$1503,0)),"")</f>
        <v/>
      </c>
      <c r="Z36" s="20" t="str">
        <f aca="false">IFERROR(INDEX($K$4:$K$1503,MATCH(TEXT($R$3,"YYYY-MM-DD")&amp;"|"&amp;$Q36,$O$4:$O$1503,0)),"")</f>
        <v/>
      </c>
      <c r="AA36" s="20" t="str">
        <f aca="false">IFERROR(INDEX($L$4:$L$1503,MATCH(TEXT($R$3,"YYYY-MM-DD")&amp;"|"&amp;$Q36,$O$4:$O$1503,0)),"")</f>
        <v/>
      </c>
      <c r="AB36" s="43" t="str">
        <f aca="false">IFERROR(INDEX($M$4:$M$1503,MATCH(TEXT($R$3,"YYYY-MM-DD")&amp;"|"&amp;$Q36,$O$4:$O$1503,0)),"")</f>
        <v/>
      </c>
    </row>
    <row r="37" customFormat="false" ht="15" hidden="false" customHeight="false" outlineLevel="0" collapsed="false">
      <c r="A37" s="54" t="n">
        <v>46245</v>
      </c>
      <c r="B37" s="52" t="s">
        <v>167</v>
      </c>
      <c r="C37" s="56" t="n">
        <v>7</v>
      </c>
      <c r="D37" s="56" t="n">
        <v>7</v>
      </c>
      <c r="E37" s="56" t="n">
        <v>7</v>
      </c>
      <c r="F37" s="56" t="n">
        <v>7</v>
      </c>
      <c r="G37" s="55" t="n">
        <v>365000</v>
      </c>
      <c r="H37" s="56" t="n">
        <v>1</v>
      </c>
      <c r="I37" s="56" t="n">
        <v>1</v>
      </c>
      <c r="J37" s="56" t="n">
        <v>2</v>
      </c>
      <c r="K37" s="56" t="n">
        <v>0</v>
      </c>
      <c r="L37" s="56" t="n">
        <v>0</v>
      </c>
      <c r="M37" s="52" t="s">
        <v>211</v>
      </c>
      <c r="N37" s="57" t="s">
        <v>215</v>
      </c>
      <c r="O37" s="62" t="str">
        <f aca="false">IF($B37="","",TEXT($A37,"YYYY-MM-DD")&amp;"|"&amp;$B37)</f>
        <v>2026-08-11|P-004</v>
      </c>
      <c r="P37" s="3"/>
      <c r="Q37" s="19" t="str">
        <f aca="false">IF('TOR Register'!$A36="","",'TOR Register'!$A36)</f>
        <v/>
      </c>
      <c r="R37" s="20" t="str">
        <f aca="false">IFERROR(INDEX($C$4:$C$1503,MATCH(TEXT($R$3,"YYYY-MM-DD")&amp;"|"&amp;$Q37,$O$4:$O$1503,0)),"")</f>
        <v/>
      </c>
      <c r="S37" s="20" t="str">
        <f aca="false">IFERROR(INDEX($D$4:$D$1503,MATCH(TEXT($R$3,"YYYY-MM-DD")&amp;"|"&amp;$Q37,$O$4:$O$1503,0)),"")</f>
        <v/>
      </c>
      <c r="T37" s="20" t="str">
        <f aca="false">IFERROR(INDEX($E$4:$E$1503,MATCH(TEXT($R$3,"YYYY-MM-DD")&amp;"|"&amp;$Q37,$O$4:$O$1503,0)),"")</f>
        <v/>
      </c>
      <c r="U37" s="20" t="str">
        <f aca="false">IFERROR(INDEX($F$4:$F$1503,MATCH(TEXT($R$3,"YYYY-MM-DD")&amp;"|"&amp;$Q37,$O$4:$O$1503,0)),"")</f>
        <v/>
      </c>
      <c r="V37" s="21" t="str">
        <f aca="false">IFERROR(INDEX($G$4:$G$1503,MATCH(TEXT($R$3,"YYYY-MM-DD")&amp;"|"&amp;$Q37,$O$4:$O$1503,0)),"")</f>
        <v/>
      </c>
      <c r="W37" s="20" t="str">
        <f aca="false">IFERROR(INDEX($H$4:$H$1503,MATCH(TEXT($R$3,"YYYY-MM-DD")&amp;"|"&amp;$Q37,$O$4:$O$1503,0)),"")</f>
        <v/>
      </c>
      <c r="X37" s="20" t="str">
        <f aca="false">IFERROR(INDEX($I$4:$I$1503,MATCH(TEXT($R$3,"YYYY-MM-DD")&amp;"|"&amp;$Q37,$O$4:$O$1503,0)),"")</f>
        <v/>
      </c>
      <c r="Y37" s="20" t="str">
        <f aca="false">IFERROR(INDEX($J$4:$J$1503,MATCH(TEXT($R$3,"YYYY-MM-DD")&amp;"|"&amp;$Q37,$O$4:$O$1503,0)),"")</f>
        <v/>
      </c>
      <c r="Z37" s="20" t="str">
        <f aca="false">IFERROR(INDEX($K$4:$K$1503,MATCH(TEXT($R$3,"YYYY-MM-DD")&amp;"|"&amp;$Q37,$O$4:$O$1503,0)),"")</f>
        <v/>
      </c>
      <c r="AA37" s="20" t="str">
        <f aca="false">IFERROR(INDEX($L$4:$L$1503,MATCH(TEXT($R$3,"YYYY-MM-DD")&amp;"|"&amp;$Q37,$O$4:$O$1503,0)),"")</f>
        <v/>
      </c>
      <c r="AB37" s="43" t="str">
        <f aca="false">IFERROR(INDEX($M$4:$M$1503,MATCH(TEXT($R$3,"YYYY-MM-DD")&amp;"|"&amp;$Q37,$O$4:$O$1503,0)),"")</f>
        <v/>
      </c>
    </row>
    <row r="38" customFormat="false" ht="15" hidden="false" customHeight="false" outlineLevel="0" collapsed="false">
      <c r="A38" s="48" t="n">
        <v>46245</v>
      </c>
      <c r="B38" s="46" t="s">
        <v>174</v>
      </c>
      <c r="C38" s="50" t="n">
        <v>6</v>
      </c>
      <c r="D38" s="50" t="n">
        <v>5</v>
      </c>
      <c r="E38" s="50" t="n">
        <v>8</v>
      </c>
      <c r="F38" s="50" t="n">
        <v>6</v>
      </c>
      <c r="G38" s="49" t="n">
        <v>194667</v>
      </c>
      <c r="H38" s="50" t="n">
        <v>2</v>
      </c>
      <c r="I38" s="50" t="n">
        <v>1</v>
      </c>
      <c r="J38" s="50" t="n">
        <v>4</v>
      </c>
      <c r="K38" s="50" t="n">
        <v>1</v>
      </c>
      <c r="L38" s="50" t="n">
        <v>0</v>
      </c>
      <c r="M38" s="46" t="s">
        <v>211</v>
      </c>
      <c r="N38" s="51" t="s">
        <v>216</v>
      </c>
      <c r="O38" s="62" t="str">
        <f aca="false">IF($B38="","",TEXT($A38,"YYYY-MM-DD")&amp;"|"&amp;$B38)</f>
        <v>2026-08-11|P-005</v>
      </c>
      <c r="P38" s="3"/>
      <c r="Q38" s="19" t="str">
        <f aca="false">IF('TOR Register'!$A37="","",'TOR Register'!$A37)</f>
        <v/>
      </c>
      <c r="R38" s="20" t="str">
        <f aca="false">IFERROR(INDEX($C$4:$C$1503,MATCH(TEXT($R$3,"YYYY-MM-DD")&amp;"|"&amp;$Q38,$O$4:$O$1503,0)),"")</f>
        <v/>
      </c>
      <c r="S38" s="20" t="str">
        <f aca="false">IFERROR(INDEX($D$4:$D$1503,MATCH(TEXT($R$3,"YYYY-MM-DD")&amp;"|"&amp;$Q38,$O$4:$O$1503,0)),"")</f>
        <v/>
      </c>
      <c r="T38" s="20" t="str">
        <f aca="false">IFERROR(INDEX($E$4:$E$1503,MATCH(TEXT($R$3,"YYYY-MM-DD")&amp;"|"&amp;$Q38,$O$4:$O$1503,0)),"")</f>
        <v/>
      </c>
      <c r="U38" s="20" t="str">
        <f aca="false">IFERROR(INDEX($F$4:$F$1503,MATCH(TEXT($R$3,"YYYY-MM-DD")&amp;"|"&amp;$Q38,$O$4:$O$1503,0)),"")</f>
        <v/>
      </c>
      <c r="V38" s="21" t="str">
        <f aca="false">IFERROR(INDEX($G$4:$G$1503,MATCH(TEXT($R$3,"YYYY-MM-DD")&amp;"|"&amp;$Q38,$O$4:$O$1503,0)),"")</f>
        <v/>
      </c>
      <c r="W38" s="20" t="str">
        <f aca="false">IFERROR(INDEX($H$4:$H$1503,MATCH(TEXT($R$3,"YYYY-MM-DD")&amp;"|"&amp;$Q38,$O$4:$O$1503,0)),"")</f>
        <v/>
      </c>
      <c r="X38" s="20" t="str">
        <f aca="false">IFERROR(INDEX($I$4:$I$1503,MATCH(TEXT($R$3,"YYYY-MM-DD")&amp;"|"&amp;$Q38,$O$4:$O$1503,0)),"")</f>
        <v/>
      </c>
      <c r="Y38" s="20" t="str">
        <f aca="false">IFERROR(INDEX($J$4:$J$1503,MATCH(TEXT($R$3,"YYYY-MM-DD")&amp;"|"&amp;$Q38,$O$4:$O$1503,0)),"")</f>
        <v/>
      </c>
      <c r="Z38" s="20" t="str">
        <f aca="false">IFERROR(INDEX($K$4:$K$1503,MATCH(TEXT($R$3,"YYYY-MM-DD")&amp;"|"&amp;$Q38,$O$4:$O$1503,0)),"")</f>
        <v/>
      </c>
      <c r="AA38" s="20" t="str">
        <f aca="false">IFERROR(INDEX($L$4:$L$1503,MATCH(TEXT($R$3,"YYYY-MM-DD")&amp;"|"&amp;$Q38,$O$4:$O$1503,0)),"")</f>
        <v/>
      </c>
      <c r="AB38" s="43" t="str">
        <f aca="false">IFERROR(INDEX($M$4:$M$1503,MATCH(TEXT($R$3,"YYYY-MM-DD")&amp;"|"&amp;$Q38,$O$4:$O$1503,0)),"")</f>
        <v/>
      </c>
    </row>
    <row r="39" customFormat="false" ht="15" hidden="false" customHeight="false" outlineLevel="0" collapsed="false">
      <c r="A39" s="54" t="n">
        <v>46246</v>
      </c>
      <c r="B39" s="52" t="s">
        <v>143</v>
      </c>
      <c r="C39" s="56" t="n">
        <v>8</v>
      </c>
      <c r="D39" s="56" t="n">
        <v>7</v>
      </c>
      <c r="E39" s="56" t="n">
        <v>10</v>
      </c>
      <c r="F39" s="56" t="n">
        <v>8</v>
      </c>
      <c r="G39" s="55" t="n">
        <v>374857</v>
      </c>
      <c r="H39" s="56" t="n">
        <v>3</v>
      </c>
      <c r="I39" s="56" t="n">
        <v>2</v>
      </c>
      <c r="J39" s="56" t="n">
        <v>4</v>
      </c>
      <c r="K39" s="56" t="n">
        <v>1</v>
      </c>
      <c r="L39" s="56" t="n">
        <v>2</v>
      </c>
      <c r="M39" s="52" t="s">
        <v>199</v>
      </c>
      <c r="N39" s="57" t="s">
        <v>200</v>
      </c>
      <c r="O39" s="62" t="str">
        <f aca="false">IF($B39="","",TEXT($A39,"YYYY-MM-DD")&amp;"|"&amp;$B39)</f>
        <v>2026-08-12|P-001</v>
      </c>
      <c r="P39" s="3"/>
      <c r="Q39" s="19" t="str">
        <f aca="false">IF('TOR Register'!$A38="","",'TOR Register'!$A38)</f>
        <v/>
      </c>
      <c r="R39" s="20" t="str">
        <f aca="false">IFERROR(INDEX($C$4:$C$1503,MATCH(TEXT($R$3,"YYYY-MM-DD")&amp;"|"&amp;$Q39,$O$4:$O$1503,0)),"")</f>
        <v/>
      </c>
      <c r="S39" s="20" t="str">
        <f aca="false">IFERROR(INDEX($D$4:$D$1503,MATCH(TEXT($R$3,"YYYY-MM-DD")&amp;"|"&amp;$Q39,$O$4:$O$1503,0)),"")</f>
        <v/>
      </c>
      <c r="T39" s="20" t="str">
        <f aca="false">IFERROR(INDEX($E$4:$E$1503,MATCH(TEXT($R$3,"YYYY-MM-DD")&amp;"|"&amp;$Q39,$O$4:$O$1503,0)),"")</f>
        <v/>
      </c>
      <c r="U39" s="20" t="str">
        <f aca="false">IFERROR(INDEX($F$4:$F$1503,MATCH(TEXT($R$3,"YYYY-MM-DD")&amp;"|"&amp;$Q39,$O$4:$O$1503,0)),"")</f>
        <v/>
      </c>
      <c r="V39" s="21" t="str">
        <f aca="false">IFERROR(INDEX($G$4:$G$1503,MATCH(TEXT($R$3,"YYYY-MM-DD")&amp;"|"&amp;$Q39,$O$4:$O$1503,0)),"")</f>
        <v/>
      </c>
      <c r="W39" s="20" t="str">
        <f aca="false">IFERROR(INDEX($H$4:$H$1503,MATCH(TEXT($R$3,"YYYY-MM-DD")&amp;"|"&amp;$Q39,$O$4:$O$1503,0)),"")</f>
        <v/>
      </c>
      <c r="X39" s="20" t="str">
        <f aca="false">IFERROR(INDEX($I$4:$I$1503,MATCH(TEXT($R$3,"YYYY-MM-DD")&amp;"|"&amp;$Q39,$O$4:$O$1503,0)),"")</f>
        <v/>
      </c>
      <c r="Y39" s="20" t="str">
        <f aca="false">IFERROR(INDEX($J$4:$J$1503,MATCH(TEXT($R$3,"YYYY-MM-DD")&amp;"|"&amp;$Q39,$O$4:$O$1503,0)),"")</f>
        <v/>
      </c>
      <c r="Z39" s="20" t="str">
        <f aca="false">IFERROR(INDEX($K$4:$K$1503,MATCH(TEXT($R$3,"YYYY-MM-DD")&amp;"|"&amp;$Q39,$O$4:$O$1503,0)),"")</f>
        <v/>
      </c>
      <c r="AA39" s="20" t="str">
        <f aca="false">IFERROR(INDEX($L$4:$L$1503,MATCH(TEXT($R$3,"YYYY-MM-DD")&amp;"|"&amp;$Q39,$O$4:$O$1503,0)),"")</f>
        <v/>
      </c>
      <c r="AB39" s="43" t="str">
        <f aca="false">IFERROR(INDEX($M$4:$M$1503,MATCH(TEXT($R$3,"YYYY-MM-DD")&amp;"|"&amp;$Q39,$O$4:$O$1503,0)),"")</f>
        <v/>
      </c>
    </row>
    <row r="40" customFormat="false" ht="15" hidden="false" customHeight="false" outlineLevel="0" collapsed="false">
      <c r="A40" s="48" t="n">
        <v>46246</v>
      </c>
      <c r="B40" s="46" t="s">
        <v>151</v>
      </c>
      <c r="C40" s="50" t="n">
        <v>9</v>
      </c>
      <c r="D40" s="50" t="n">
        <v>8</v>
      </c>
      <c r="E40" s="50" t="n">
        <v>9</v>
      </c>
      <c r="F40" s="50" t="n">
        <v>8</v>
      </c>
      <c r="G40" s="49" t="n">
        <v>609524</v>
      </c>
      <c r="H40" s="50" t="n">
        <v>2</v>
      </c>
      <c r="I40" s="50" t="n">
        <v>1</v>
      </c>
      <c r="J40" s="50" t="n">
        <v>5</v>
      </c>
      <c r="K40" s="50" t="n">
        <v>1</v>
      </c>
      <c r="L40" s="50" t="n">
        <v>0</v>
      </c>
      <c r="M40" s="46" t="s">
        <v>211</v>
      </c>
      <c r="N40" s="51" t="s">
        <v>212</v>
      </c>
      <c r="O40" s="62" t="str">
        <f aca="false">IF($B40="","",TEXT($A40,"YYYY-MM-DD")&amp;"|"&amp;$B40)</f>
        <v>2026-08-12|P-002</v>
      </c>
      <c r="P40" s="3"/>
      <c r="Q40" s="19" t="str">
        <f aca="false">IF('TOR Register'!$A39="","",'TOR Register'!$A39)</f>
        <v/>
      </c>
      <c r="R40" s="20" t="str">
        <f aca="false">IFERROR(INDEX($C$4:$C$1503,MATCH(TEXT($R$3,"YYYY-MM-DD")&amp;"|"&amp;$Q40,$O$4:$O$1503,0)),"")</f>
        <v/>
      </c>
      <c r="S40" s="20" t="str">
        <f aca="false">IFERROR(INDEX($D$4:$D$1503,MATCH(TEXT($R$3,"YYYY-MM-DD")&amp;"|"&amp;$Q40,$O$4:$O$1503,0)),"")</f>
        <v/>
      </c>
      <c r="T40" s="20" t="str">
        <f aca="false">IFERROR(INDEX($E$4:$E$1503,MATCH(TEXT($R$3,"YYYY-MM-DD")&amp;"|"&amp;$Q40,$O$4:$O$1503,0)),"")</f>
        <v/>
      </c>
      <c r="U40" s="20" t="str">
        <f aca="false">IFERROR(INDEX($F$4:$F$1503,MATCH(TEXT($R$3,"YYYY-MM-DD")&amp;"|"&amp;$Q40,$O$4:$O$1503,0)),"")</f>
        <v/>
      </c>
      <c r="V40" s="21" t="str">
        <f aca="false">IFERROR(INDEX($G$4:$G$1503,MATCH(TEXT($R$3,"YYYY-MM-DD")&amp;"|"&amp;$Q40,$O$4:$O$1503,0)),"")</f>
        <v/>
      </c>
      <c r="W40" s="20" t="str">
        <f aca="false">IFERROR(INDEX($H$4:$H$1503,MATCH(TEXT($R$3,"YYYY-MM-DD")&amp;"|"&amp;$Q40,$O$4:$O$1503,0)),"")</f>
        <v/>
      </c>
      <c r="X40" s="20" t="str">
        <f aca="false">IFERROR(INDEX($I$4:$I$1503,MATCH(TEXT($R$3,"YYYY-MM-DD")&amp;"|"&amp;$Q40,$O$4:$O$1503,0)),"")</f>
        <v/>
      </c>
      <c r="Y40" s="20" t="str">
        <f aca="false">IFERROR(INDEX($J$4:$J$1503,MATCH(TEXT($R$3,"YYYY-MM-DD")&amp;"|"&amp;$Q40,$O$4:$O$1503,0)),"")</f>
        <v/>
      </c>
      <c r="Z40" s="20" t="str">
        <f aca="false">IFERROR(INDEX($K$4:$K$1503,MATCH(TEXT($R$3,"YYYY-MM-DD")&amp;"|"&amp;$Q40,$O$4:$O$1503,0)),"")</f>
        <v/>
      </c>
      <c r="AA40" s="20" t="str">
        <f aca="false">IFERROR(INDEX($L$4:$L$1503,MATCH(TEXT($R$3,"YYYY-MM-DD")&amp;"|"&amp;$Q40,$O$4:$O$1503,0)),"")</f>
        <v/>
      </c>
      <c r="AB40" s="43" t="str">
        <f aca="false">IFERROR(INDEX($M$4:$M$1503,MATCH(TEXT($R$3,"YYYY-MM-DD")&amp;"|"&amp;$Q40,$O$4:$O$1503,0)),"")</f>
        <v/>
      </c>
    </row>
    <row r="41" customFormat="false" ht="15" hidden="false" customHeight="false" outlineLevel="0" collapsed="false">
      <c r="A41" s="54" t="n">
        <v>46246</v>
      </c>
      <c r="B41" s="52" t="s">
        <v>159</v>
      </c>
      <c r="C41" s="56" t="n">
        <v>7</v>
      </c>
      <c r="D41" s="56" t="n">
        <v>4</v>
      </c>
      <c r="E41" s="56" t="n">
        <v>9</v>
      </c>
      <c r="F41" s="56" t="n">
        <v>5</v>
      </c>
      <c r="G41" s="55" t="n">
        <v>316952</v>
      </c>
      <c r="H41" s="56" t="n">
        <v>4</v>
      </c>
      <c r="I41" s="56" t="n">
        <v>3</v>
      </c>
      <c r="J41" s="56" t="n">
        <v>9</v>
      </c>
      <c r="K41" s="56" t="n">
        <v>3</v>
      </c>
      <c r="L41" s="56" t="n">
        <v>3</v>
      </c>
      <c r="M41" s="52" t="s">
        <v>213</v>
      </c>
      <c r="N41" s="57" t="s">
        <v>214</v>
      </c>
      <c r="O41" s="62" t="str">
        <f aca="false">IF($B41="","",TEXT($A41,"YYYY-MM-DD")&amp;"|"&amp;$B41)</f>
        <v>2026-08-12|P-003</v>
      </c>
      <c r="P41" s="3"/>
      <c r="Q41" s="19" t="str">
        <f aca="false">IF('TOR Register'!$A40="","",'TOR Register'!$A40)</f>
        <v/>
      </c>
      <c r="R41" s="20" t="str">
        <f aca="false">IFERROR(INDEX($C$4:$C$1503,MATCH(TEXT($R$3,"YYYY-MM-DD")&amp;"|"&amp;$Q41,$O$4:$O$1503,0)),"")</f>
        <v/>
      </c>
      <c r="S41" s="20" t="str">
        <f aca="false">IFERROR(INDEX($D$4:$D$1503,MATCH(TEXT($R$3,"YYYY-MM-DD")&amp;"|"&amp;$Q41,$O$4:$O$1503,0)),"")</f>
        <v/>
      </c>
      <c r="T41" s="20" t="str">
        <f aca="false">IFERROR(INDEX($E$4:$E$1503,MATCH(TEXT($R$3,"YYYY-MM-DD")&amp;"|"&amp;$Q41,$O$4:$O$1503,0)),"")</f>
        <v/>
      </c>
      <c r="U41" s="20" t="str">
        <f aca="false">IFERROR(INDEX($F$4:$F$1503,MATCH(TEXT($R$3,"YYYY-MM-DD")&amp;"|"&amp;$Q41,$O$4:$O$1503,0)),"")</f>
        <v/>
      </c>
      <c r="V41" s="21" t="str">
        <f aca="false">IFERROR(INDEX($G$4:$G$1503,MATCH(TEXT($R$3,"YYYY-MM-DD")&amp;"|"&amp;$Q41,$O$4:$O$1503,0)),"")</f>
        <v/>
      </c>
      <c r="W41" s="20" t="str">
        <f aca="false">IFERROR(INDEX($H$4:$H$1503,MATCH(TEXT($R$3,"YYYY-MM-DD")&amp;"|"&amp;$Q41,$O$4:$O$1503,0)),"")</f>
        <v/>
      </c>
      <c r="X41" s="20" t="str">
        <f aca="false">IFERROR(INDEX($I$4:$I$1503,MATCH(TEXT($R$3,"YYYY-MM-DD")&amp;"|"&amp;$Q41,$O$4:$O$1503,0)),"")</f>
        <v/>
      </c>
      <c r="Y41" s="20" t="str">
        <f aca="false">IFERROR(INDEX($J$4:$J$1503,MATCH(TEXT($R$3,"YYYY-MM-DD")&amp;"|"&amp;$Q41,$O$4:$O$1503,0)),"")</f>
        <v/>
      </c>
      <c r="Z41" s="20" t="str">
        <f aca="false">IFERROR(INDEX($K$4:$K$1503,MATCH(TEXT($R$3,"YYYY-MM-DD")&amp;"|"&amp;$Q41,$O$4:$O$1503,0)),"")</f>
        <v/>
      </c>
      <c r="AA41" s="20" t="str">
        <f aca="false">IFERROR(INDEX($L$4:$L$1503,MATCH(TEXT($R$3,"YYYY-MM-DD")&amp;"|"&amp;$Q41,$O$4:$O$1503,0)),"")</f>
        <v/>
      </c>
      <c r="AB41" s="43" t="str">
        <f aca="false">IFERROR(INDEX($M$4:$M$1503,MATCH(TEXT($R$3,"YYYY-MM-DD")&amp;"|"&amp;$Q41,$O$4:$O$1503,0)),"")</f>
        <v/>
      </c>
    </row>
    <row r="42" customFormat="false" ht="15" hidden="false" customHeight="false" outlineLevel="0" collapsed="false">
      <c r="A42" s="48" t="n">
        <v>46246</v>
      </c>
      <c r="B42" s="46" t="s">
        <v>167</v>
      </c>
      <c r="C42" s="50" t="n">
        <v>7</v>
      </c>
      <c r="D42" s="50" t="n">
        <v>7</v>
      </c>
      <c r="E42" s="50" t="n">
        <v>7</v>
      </c>
      <c r="F42" s="50" t="n">
        <v>7</v>
      </c>
      <c r="G42" s="49" t="n">
        <v>368571</v>
      </c>
      <c r="H42" s="50" t="n">
        <v>1</v>
      </c>
      <c r="I42" s="50" t="n">
        <v>1</v>
      </c>
      <c r="J42" s="50" t="n">
        <v>2</v>
      </c>
      <c r="K42" s="50" t="n">
        <v>0</v>
      </c>
      <c r="L42" s="50" t="n">
        <v>0</v>
      </c>
      <c r="M42" s="46" t="s">
        <v>211</v>
      </c>
      <c r="N42" s="51" t="s">
        <v>215</v>
      </c>
      <c r="O42" s="62" t="str">
        <f aca="false">IF($B42="","",TEXT($A42,"YYYY-MM-DD")&amp;"|"&amp;$B42)</f>
        <v>2026-08-12|P-004</v>
      </c>
      <c r="P42" s="3"/>
      <c r="Q42" s="19" t="str">
        <f aca="false">IF('TOR Register'!$A41="","",'TOR Register'!$A41)</f>
        <v/>
      </c>
      <c r="R42" s="20" t="str">
        <f aca="false">IFERROR(INDEX($C$4:$C$1503,MATCH(TEXT($R$3,"YYYY-MM-DD")&amp;"|"&amp;$Q42,$O$4:$O$1503,0)),"")</f>
        <v/>
      </c>
      <c r="S42" s="20" t="str">
        <f aca="false">IFERROR(INDEX($D$4:$D$1503,MATCH(TEXT($R$3,"YYYY-MM-DD")&amp;"|"&amp;$Q42,$O$4:$O$1503,0)),"")</f>
        <v/>
      </c>
      <c r="T42" s="20" t="str">
        <f aca="false">IFERROR(INDEX($E$4:$E$1503,MATCH(TEXT($R$3,"YYYY-MM-DD")&amp;"|"&amp;$Q42,$O$4:$O$1503,0)),"")</f>
        <v/>
      </c>
      <c r="U42" s="20" t="str">
        <f aca="false">IFERROR(INDEX($F$4:$F$1503,MATCH(TEXT($R$3,"YYYY-MM-DD")&amp;"|"&amp;$Q42,$O$4:$O$1503,0)),"")</f>
        <v/>
      </c>
      <c r="V42" s="21" t="str">
        <f aca="false">IFERROR(INDEX($G$4:$G$1503,MATCH(TEXT($R$3,"YYYY-MM-DD")&amp;"|"&amp;$Q42,$O$4:$O$1503,0)),"")</f>
        <v/>
      </c>
      <c r="W42" s="20" t="str">
        <f aca="false">IFERROR(INDEX($H$4:$H$1503,MATCH(TEXT($R$3,"YYYY-MM-DD")&amp;"|"&amp;$Q42,$O$4:$O$1503,0)),"")</f>
        <v/>
      </c>
      <c r="X42" s="20" t="str">
        <f aca="false">IFERROR(INDEX($I$4:$I$1503,MATCH(TEXT($R$3,"YYYY-MM-DD")&amp;"|"&amp;$Q42,$O$4:$O$1503,0)),"")</f>
        <v/>
      </c>
      <c r="Y42" s="20" t="str">
        <f aca="false">IFERROR(INDEX($J$4:$J$1503,MATCH(TEXT($R$3,"YYYY-MM-DD")&amp;"|"&amp;$Q42,$O$4:$O$1503,0)),"")</f>
        <v/>
      </c>
      <c r="Z42" s="20" t="str">
        <f aca="false">IFERROR(INDEX($K$4:$K$1503,MATCH(TEXT($R$3,"YYYY-MM-DD")&amp;"|"&amp;$Q42,$O$4:$O$1503,0)),"")</f>
        <v/>
      </c>
      <c r="AA42" s="20" t="str">
        <f aca="false">IFERROR(INDEX($L$4:$L$1503,MATCH(TEXT($R$3,"YYYY-MM-DD")&amp;"|"&amp;$Q42,$O$4:$O$1503,0)),"")</f>
        <v/>
      </c>
      <c r="AB42" s="43" t="str">
        <f aca="false">IFERROR(INDEX($M$4:$M$1503,MATCH(TEXT($R$3,"YYYY-MM-DD")&amp;"|"&amp;$Q42,$O$4:$O$1503,0)),"")</f>
        <v/>
      </c>
    </row>
    <row r="43" customFormat="false" ht="15" hidden="false" customHeight="false" outlineLevel="0" collapsed="false">
      <c r="A43" s="54" t="n">
        <v>46246</v>
      </c>
      <c r="B43" s="52" t="s">
        <v>174</v>
      </c>
      <c r="C43" s="56" t="n">
        <v>6</v>
      </c>
      <c r="D43" s="56" t="n">
        <v>5</v>
      </c>
      <c r="E43" s="56" t="n">
        <v>8</v>
      </c>
      <c r="F43" s="56" t="n">
        <v>6</v>
      </c>
      <c r="G43" s="55" t="n">
        <v>196762</v>
      </c>
      <c r="H43" s="56" t="n">
        <v>2</v>
      </c>
      <c r="I43" s="56" t="n">
        <v>1</v>
      </c>
      <c r="J43" s="56" t="n">
        <v>4</v>
      </c>
      <c r="K43" s="56" t="n">
        <v>1</v>
      </c>
      <c r="L43" s="56" t="n">
        <v>0</v>
      </c>
      <c r="M43" s="52" t="s">
        <v>211</v>
      </c>
      <c r="N43" s="57" t="s">
        <v>216</v>
      </c>
      <c r="O43" s="62" t="str">
        <f aca="false">IF($B43="","",TEXT($A43,"YYYY-MM-DD")&amp;"|"&amp;$B43)</f>
        <v>2026-08-12|P-005</v>
      </c>
      <c r="P43" s="3"/>
      <c r="Q43" s="19" t="str">
        <f aca="false">IF('TOR Register'!$A42="","",'TOR Register'!$A42)</f>
        <v/>
      </c>
      <c r="R43" s="20" t="str">
        <f aca="false">IFERROR(INDEX($C$4:$C$1503,MATCH(TEXT($R$3,"YYYY-MM-DD")&amp;"|"&amp;$Q43,$O$4:$O$1503,0)),"")</f>
        <v/>
      </c>
      <c r="S43" s="20" t="str">
        <f aca="false">IFERROR(INDEX($D$4:$D$1503,MATCH(TEXT($R$3,"YYYY-MM-DD")&amp;"|"&amp;$Q43,$O$4:$O$1503,0)),"")</f>
        <v/>
      </c>
      <c r="T43" s="20" t="str">
        <f aca="false">IFERROR(INDEX($E$4:$E$1503,MATCH(TEXT($R$3,"YYYY-MM-DD")&amp;"|"&amp;$Q43,$O$4:$O$1503,0)),"")</f>
        <v/>
      </c>
      <c r="U43" s="20" t="str">
        <f aca="false">IFERROR(INDEX($F$4:$F$1503,MATCH(TEXT($R$3,"YYYY-MM-DD")&amp;"|"&amp;$Q43,$O$4:$O$1503,0)),"")</f>
        <v/>
      </c>
      <c r="V43" s="21" t="str">
        <f aca="false">IFERROR(INDEX($G$4:$G$1503,MATCH(TEXT($R$3,"YYYY-MM-DD")&amp;"|"&amp;$Q43,$O$4:$O$1503,0)),"")</f>
        <v/>
      </c>
      <c r="W43" s="20" t="str">
        <f aca="false">IFERROR(INDEX($H$4:$H$1503,MATCH(TEXT($R$3,"YYYY-MM-DD")&amp;"|"&amp;$Q43,$O$4:$O$1503,0)),"")</f>
        <v/>
      </c>
      <c r="X43" s="20" t="str">
        <f aca="false">IFERROR(INDEX($I$4:$I$1503,MATCH(TEXT($R$3,"YYYY-MM-DD")&amp;"|"&amp;$Q43,$O$4:$O$1503,0)),"")</f>
        <v/>
      </c>
      <c r="Y43" s="20" t="str">
        <f aca="false">IFERROR(INDEX($J$4:$J$1503,MATCH(TEXT($R$3,"YYYY-MM-DD")&amp;"|"&amp;$Q43,$O$4:$O$1503,0)),"")</f>
        <v/>
      </c>
      <c r="Z43" s="20" t="str">
        <f aca="false">IFERROR(INDEX($K$4:$K$1503,MATCH(TEXT($R$3,"YYYY-MM-DD")&amp;"|"&amp;$Q43,$O$4:$O$1503,0)),"")</f>
        <v/>
      </c>
      <c r="AA43" s="20" t="str">
        <f aca="false">IFERROR(INDEX($L$4:$L$1503,MATCH(TEXT($R$3,"YYYY-MM-DD")&amp;"|"&amp;$Q43,$O$4:$O$1503,0)),"")</f>
        <v/>
      </c>
      <c r="AB43" s="43" t="str">
        <f aca="false">IFERROR(INDEX($M$4:$M$1503,MATCH(TEXT($R$3,"YYYY-MM-DD")&amp;"|"&amp;$Q43,$O$4:$O$1503,0)),"")</f>
        <v/>
      </c>
    </row>
    <row r="44" customFormat="false" ht="15" hidden="false" customHeight="false" outlineLevel="0" collapsed="false">
      <c r="A44" s="48" t="n">
        <v>46247</v>
      </c>
      <c r="B44" s="46" t="s">
        <v>143</v>
      </c>
      <c r="C44" s="50" t="n">
        <v>8</v>
      </c>
      <c r="D44" s="50" t="n">
        <v>7</v>
      </c>
      <c r="E44" s="50" t="n">
        <v>10</v>
      </c>
      <c r="F44" s="50" t="n">
        <v>8</v>
      </c>
      <c r="G44" s="49" t="n">
        <v>377714</v>
      </c>
      <c r="H44" s="50" t="n">
        <v>3</v>
      </c>
      <c r="I44" s="50" t="n">
        <v>2</v>
      </c>
      <c r="J44" s="50" t="n">
        <v>4</v>
      </c>
      <c r="K44" s="50" t="n">
        <v>1</v>
      </c>
      <c r="L44" s="50" t="n">
        <v>2</v>
      </c>
      <c r="M44" s="46" t="s">
        <v>199</v>
      </c>
      <c r="N44" s="51" t="s">
        <v>200</v>
      </c>
      <c r="O44" s="62" t="str">
        <f aca="false">IF($B44="","",TEXT($A44,"YYYY-MM-DD")&amp;"|"&amp;$B44)</f>
        <v>2026-08-13|P-001</v>
      </c>
      <c r="P44" s="3"/>
      <c r="Q44" s="19" t="str">
        <f aca="false">IF('TOR Register'!$A43="","",'TOR Register'!$A43)</f>
        <v/>
      </c>
      <c r="R44" s="20" t="str">
        <f aca="false">IFERROR(INDEX($C$4:$C$1503,MATCH(TEXT($R$3,"YYYY-MM-DD")&amp;"|"&amp;$Q44,$O$4:$O$1503,0)),"")</f>
        <v/>
      </c>
      <c r="S44" s="20" t="str">
        <f aca="false">IFERROR(INDEX($D$4:$D$1503,MATCH(TEXT($R$3,"YYYY-MM-DD")&amp;"|"&amp;$Q44,$O$4:$O$1503,0)),"")</f>
        <v/>
      </c>
      <c r="T44" s="20" t="str">
        <f aca="false">IFERROR(INDEX($E$4:$E$1503,MATCH(TEXT($R$3,"YYYY-MM-DD")&amp;"|"&amp;$Q44,$O$4:$O$1503,0)),"")</f>
        <v/>
      </c>
      <c r="U44" s="20" t="str">
        <f aca="false">IFERROR(INDEX($F$4:$F$1503,MATCH(TEXT($R$3,"YYYY-MM-DD")&amp;"|"&amp;$Q44,$O$4:$O$1503,0)),"")</f>
        <v/>
      </c>
      <c r="V44" s="21" t="str">
        <f aca="false">IFERROR(INDEX($G$4:$G$1503,MATCH(TEXT($R$3,"YYYY-MM-DD")&amp;"|"&amp;$Q44,$O$4:$O$1503,0)),"")</f>
        <v/>
      </c>
      <c r="W44" s="20" t="str">
        <f aca="false">IFERROR(INDEX($H$4:$H$1503,MATCH(TEXT($R$3,"YYYY-MM-DD")&amp;"|"&amp;$Q44,$O$4:$O$1503,0)),"")</f>
        <v/>
      </c>
      <c r="X44" s="20" t="str">
        <f aca="false">IFERROR(INDEX($I$4:$I$1503,MATCH(TEXT($R$3,"YYYY-MM-DD")&amp;"|"&amp;$Q44,$O$4:$O$1503,0)),"")</f>
        <v/>
      </c>
      <c r="Y44" s="20" t="str">
        <f aca="false">IFERROR(INDEX($J$4:$J$1503,MATCH(TEXT($R$3,"YYYY-MM-DD")&amp;"|"&amp;$Q44,$O$4:$O$1503,0)),"")</f>
        <v/>
      </c>
      <c r="Z44" s="20" t="str">
        <f aca="false">IFERROR(INDEX($K$4:$K$1503,MATCH(TEXT($R$3,"YYYY-MM-DD")&amp;"|"&amp;$Q44,$O$4:$O$1503,0)),"")</f>
        <v/>
      </c>
      <c r="AA44" s="20" t="str">
        <f aca="false">IFERROR(INDEX($L$4:$L$1503,MATCH(TEXT($R$3,"YYYY-MM-DD")&amp;"|"&amp;$Q44,$O$4:$O$1503,0)),"")</f>
        <v/>
      </c>
      <c r="AB44" s="43" t="str">
        <f aca="false">IFERROR(INDEX($M$4:$M$1503,MATCH(TEXT($R$3,"YYYY-MM-DD")&amp;"|"&amp;$Q44,$O$4:$O$1503,0)),"")</f>
        <v/>
      </c>
    </row>
    <row r="45" customFormat="false" ht="15" hidden="false" customHeight="false" outlineLevel="0" collapsed="false">
      <c r="A45" s="54" t="n">
        <v>46247</v>
      </c>
      <c r="B45" s="52" t="s">
        <v>151</v>
      </c>
      <c r="C45" s="56" t="n">
        <v>9</v>
      </c>
      <c r="D45" s="56" t="n">
        <v>8</v>
      </c>
      <c r="E45" s="56" t="n">
        <v>9</v>
      </c>
      <c r="F45" s="56" t="n">
        <v>8</v>
      </c>
      <c r="G45" s="55" t="n">
        <v>615714</v>
      </c>
      <c r="H45" s="56" t="n">
        <v>2</v>
      </c>
      <c r="I45" s="56" t="n">
        <v>1</v>
      </c>
      <c r="J45" s="56" t="n">
        <v>5</v>
      </c>
      <c r="K45" s="56" t="n">
        <v>1</v>
      </c>
      <c r="L45" s="56" t="n">
        <v>0</v>
      </c>
      <c r="M45" s="52" t="s">
        <v>211</v>
      </c>
      <c r="N45" s="57" t="s">
        <v>212</v>
      </c>
      <c r="O45" s="62" t="str">
        <f aca="false">IF($B45="","",TEXT($A45,"YYYY-MM-DD")&amp;"|"&amp;$B45)</f>
        <v>2026-08-13|P-002</v>
      </c>
      <c r="P45" s="3"/>
      <c r="Q45" s="3"/>
      <c r="R45" s="3"/>
      <c r="S45" s="3"/>
      <c r="T45" s="3"/>
      <c r="U45" s="3"/>
      <c r="V45" s="3"/>
      <c r="W45" s="3"/>
      <c r="X45" s="3"/>
      <c r="Y45" s="3"/>
      <c r="Z45" s="3"/>
      <c r="AA45" s="3"/>
      <c r="AB45" s="3"/>
    </row>
    <row r="46" customFormat="false" ht="15" hidden="false" customHeight="false" outlineLevel="0" collapsed="false">
      <c r="A46" s="48" t="n">
        <v>46247</v>
      </c>
      <c r="B46" s="46" t="s">
        <v>159</v>
      </c>
      <c r="C46" s="50" t="n">
        <v>7</v>
      </c>
      <c r="D46" s="50" t="n">
        <v>4</v>
      </c>
      <c r="E46" s="50" t="n">
        <v>9</v>
      </c>
      <c r="F46" s="50" t="n">
        <v>5</v>
      </c>
      <c r="G46" s="49" t="n">
        <v>319571</v>
      </c>
      <c r="H46" s="50" t="n">
        <v>4</v>
      </c>
      <c r="I46" s="50" t="n">
        <v>3</v>
      </c>
      <c r="J46" s="50" t="n">
        <v>9</v>
      </c>
      <c r="K46" s="50" t="n">
        <v>3</v>
      </c>
      <c r="L46" s="50" t="n">
        <v>3</v>
      </c>
      <c r="M46" s="46" t="s">
        <v>213</v>
      </c>
      <c r="N46" s="51" t="s">
        <v>214</v>
      </c>
      <c r="O46" s="62" t="str">
        <f aca="false">IF($B46="","",TEXT($A46,"YYYY-MM-DD")&amp;"|"&amp;$B46)</f>
        <v>2026-08-13|P-003</v>
      </c>
      <c r="P46" s="3"/>
      <c r="Q46" s="3"/>
      <c r="R46" s="3"/>
      <c r="S46" s="3"/>
      <c r="T46" s="3"/>
      <c r="U46" s="3"/>
      <c r="V46" s="3"/>
      <c r="W46" s="3"/>
      <c r="X46" s="3"/>
      <c r="Y46" s="3"/>
      <c r="Z46" s="3"/>
      <c r="AA46" s="3"/>
      <c r="AB46" s="3"/>
    </row>
    <row r="47" customFormat="false" ht="15" hidden="false" customHeight="false" outlineLevel="0" collapsed="false">
      <c r="A47" s="54" t="n">
        <v>46247</v>
      </c>
      <c r="B47" s="52" t="s">
        <v>167</v>
      </c>
      <c r="C47" s="56" t="n">
        <v>7</v>
      </c>
      <c r="D47" s="56" t="n">
        <v>7</v>
      </c>
      <c r="E47" s="56" t="n">
        <v>7</v>
      </c>
      <c r="F47" s="56" t="n">
        <v>7</v>
      </c>
      <c r="G47" s="55" t="n">
        <v>372143</v>
      </c>
      <c r="H47" s="56" t="n">
        <v>1</v>
      </c>
      <c r="I47" s="56" t="n">
        <v>1</v>
      </c>
      <c r="J47" s="56" t="n">
        <v>2</v>
      </c>
      <c r="K47" s="56" t="n">
        <v>0</v>
      </c>
      <c r="L47" s="56" t="n">
        <v>0</v>
      </c>
      <c r="M47" s="52" t="s">
        <v>211</v>
      </c>
      <c r="N47" s="57" t="s">
        <v>215</v>
      </c>
      <c r="O47" s="62" t="str">
        <f aca="false">IF($B47="","",TEXT($A47,"YYYY-MM-DD")&amp;"|"&amp;$B47)</f>
        <v>2026-08-13|P-004</v>
      </c>
      <c r="P47" s="3"/>
      <c r="Q47" s="3"/>
      <c r="R47" s="3"/>
      <c r="S47" s="3"/>
      <c r="T47" s="3"/>
      <c r="U47" s="3"/>
      <c r="V47" s="3"/>
      <c r="W47" s="3"/>
      <c r="X47" s="3"/>
      <c r="Y47" s="3"/>
      <c r="Z47" s="3"/>
      <c r="AA47" s="3"/>
      <c r="AB47" s="3"/>
    </row>
    <row r="48" customFormat="false" ht="15" hidden="false" customHeight="false" outlineLevel="0" collapsed="false">
      <c r="A48" s="48" t="n">
        <v>46247</v>
      </c>
      <c r="B48" s="46" t="s">
        <v>174</v>
      </c>
      <c r="C48" s="50" t="n">
        <v>6</v>
      </c>
      <c r="D48" s="50" t="n">
        <v>5</v>
      </c>
      <c r="E48" s="50" t="n">
        <v>8</v>
      </c>
      <c r="F48" s="50" t="n">
        <v>6</v>
      </c>
      <c r="G48" s="49" t="n">
        <v>198857</v>
      </c>
      <c r="H48" s="50" t="n">
        <v>2</v>
      </c>
      <c r="I48" s="50" t="n">
        <v>1</v>
      </c>
      <c r="J48" s="50" t="n">
        <v>4</v>
      </c>
      <c r="K48" s="50" t="n">
        <v>1</v>
      </c>
      <c r="L48" s="50" t="n">
        <v>0</v>
      </c>
      <c r="M48" s="46" t="s">
        <v>211</v>
      </c>
      <c r="N48" s="51" t="s">
        <v>216</v>
      </c>
      <c r="O48" s="62" t="str">
        <f aca="false">IF($B48="","",TEXT($A48,"YYYY-MM-DD")&amp;"|"&amp;$B48)</f>
        <v>2026-08-13|P-005</v>
      </c>
      <c r="P48" s="3"/>
      <c r="Q48" s="3"/>
      <c r="R48" s="3"/>
      <c r="S48" s="3"/>
      <c r="T48" s="3"/>
      <c r="U48" s="3"/>
      <c r="V48" s="3"/>
      <c r="W48" s="3"/>
      <c r="X48" s="3"/>
      <c r="Y48" s="3"/>
      <c r="Z48" s="3"/>
      <c r="AA48" s="3"/>
      <c r="AB48" s="3"/>
    </row>
    <row r="49" customFormat="false" ht="15" hidden="false" customHeight="false" outlineLevel="0" collapsed="false">
      <c r="A49" s="54" t="n">
        <v>46248</v>
      </c>
      <c r="B49" s="52" t="s">
        <v>143</v>
      </c>
      <c r="C49" s="56" t="n">
        <v>8</v>
      </c>
      <c r="D49" s="56" t="n">
        <v>7</v>
      </c>
      <c r="E49" s="56" t="n">
        <v>10</v>
      </c>
      <c r="F49" s="56" t="n">
        <v>8</v>
      </c>
      <c r="G49" s="55" t="n">
        <v>380571</v>
      </c>
      <c r="H49" s="56" t="n">
        <v>3</v>
      </c>
      <c r="I49" s="56" t="n">
        <v>2</v>
      </c>
      <c r="J49" s="56" t="n">
        <v>4</v>
      </c>
      <c r="K49" s="56" t="n">
        <v>1</v>
      </c>
      <c r="L49" s="56" t="n">
        <v>2</v>
      </c>
      <c r="M49" s="52" t="s">
        <v>199</v>
      </c>
      <c r="N49" s="57" t="s">
        <v>200</v>
      </c>
      <c r="O49" s="62" t="str">
        <f aca="false">IF($B49="","",TEXT($A49,"YYYY-MM-DD")&amp;"|"&amp;$B49)</f>
        <v>2026-08-14|P-001</v>
      </c>
      <c r="P49" s="3"/>
      <c r="Q49" s="3"/>
      <c r="R49" s="3"/>
      <c r="S49" s="3"/>
      <c r="T49" s="3"/>
      <c r="U49" s="3"/>
      <c r="V49" s="3"/>
      <c r="W49" s="3"/>
      <c r="X49" s="3"/>
      <c r="Y49" s="3"/>
      <c r="Z49" s="3"/>
      <c r="AA49" s="3"/>
      <c r="AB49" s="3"/>
    </row>
    <row r="50" customFormat="false" ht="15" hidden="false" customHeight="false" outlineLevel="0" collapsed="false">
      <c r="A50" s="48" t="n">
        <v>46248</v>
      </c>
      <c r="B50" s="46" t="s">
        <v>151</v>
      </c>
      <c r="C50" s="50" t="n">
        <v>9</v>
      </c>
      <c r="D50" s="50" t="n">
        <v>8</v>
      </c>
      <c r="E50" s="50" t="n">
        <v>9</v>
      </c>
      <c r="F50" s="50" t="n">
        <v>8</v>
      </c>
      <c r="G50" s="49" t="n">
        <v>621905</v>
      </c>
      <c r="H50" s="50" t="n">
        <v>2</v>
      </c>
      <c r="I50" s="50" t="n">
        <v>1</v>
      </c>
      <c r="J50" s="50" t="n">
        <v>5</v>
      </c>
      <c r="K50" s="50" t="n">
        <v>1</v>
      </c>
      <c r="L50" s="50" t="n">
        <v>0</v>
      </c>
      <c r="M50" s="46" t="s">
        <v>211</v>
      </c>
      <c r="N50" s="51" t="s">
        <v>212</v>
      </c>
      <c r="O50" s="62" t="str">
        <f aca="false">IF($B50="","",TEXT($A50,"YYYY-MM-DD")&amp;"|"&amp;$B50)</f>
        <v>2026-08-14|P-002</v>
      </c>
      <c r="P50" s="3"/>
      <c r="Q50" s="3"/>
      <c r="R50" s="3"/>
      <c r="S50" s="3"/>
      <c r="T50" s="3"/>
      <c r="U50" s="3"/>
      <c r="V50" s="3"/>
      <c r="W50" s="3"/>
      <c r="X50" s="3"/>
      <c r="Y50" s="3"/>
      <c r="Z50" s="3"/>
      <c r="AA50" s="3"/>
      <c r="AB50" s="3"/>
    </row>
    <row r="51" customFormat="false" ht="15" hidden="false" customHeight="false" outlineLevel="0" collapsed="false">
      <c r="A51" s="54" t="n">
        <v>46248</v>
      </c>
      <c r="B51" s="52" t="s">
        <v>159</v>
      </c>
      <c r="C51" s="56" t="n">
        <v>7</v>
      </c>
      <c r="D51" s="56" t="n">
        <v>4</v>
      </c>
      <c r="E51" s="56" t="n">
        <v>9</v>
      </c>
      <c r="F51" s="56" t="n">
        <v>5</v>
      </c>
      <c r="G51" s="55" t="n">
        <v>322190</v>
      </c>
      <c r="H51" s="56" t="n">
        <v>4</v>
      </c>
      <c r="I51" s="56" t="n">
        <v>3</v>
      </c>
      <c r="J51" s="56" t="n">
        <v>9</v>
      </c>
      <c r="K51" s="56" t="n">
        <v>3</v>
      </c>
      <c r="L51" s="56" t="n">
        <v>3</v>
      </c>
      <c r="M51" s="52" t="s">
        <v>213</v>
      </c>
      <c r="N51" s="57" t="s">
        <v>214</v>
      </c>
      <c r="O51" s="62" t="str">
        <f aca="false">IF($B51="","",TEXT($A51,"YYYY-MM-DD")&amp;"|"&amp;$B51)</f>
        <v>2026-08-14|P-003</v>
      </c>
      <c r="P51" s="3"/>
      <c r="Q51" s="3"/>
      <c r="R51" s="3"/>
      <c r="S51" s="3"/>
      <c r="T51" s="3"/>
      <c r="U51" s="3"/>
      <c r="V51" s="3"/>
      <c r="W51" s="3"/>
      <c r="X51" s="3"/>
      <c r="Y51" s="3"/>
      <c r="Z51" s="3"/>
      <c r="AA51" s="3"/>
      <c r="AB51" s="3"/>
    </row>
    <row r="52" customFormat="false" ht="15" hidden="false" customHeight="false" outlineLevel="0" collapsed="false">
      <c r="A52" s="48" t="n">
        <v>46248</v>
      </c>
      <c r="B52" s="46" t="s">
        <v>167</v>
      </c>
      <c r="C52" s="50" t="n">
        <v>7</v>
      </c>
      <c r="D52" s="50" t="n">
        <v>7</v>
      </c>
      <c r="E52" s="50" t="n">
        <v>7</v>
      </c>
      <c r="F52" s="50" t="n">
        <v>7</v>
      </c>
      <c r="G52" s="49" t="n">
        <v>375714</v>
      </c>
      <c r="H52" s="50" t="n">
        <v>1</v>
      </c>
      <c r="I52" s="50" t="n">
        <v>1</v>
      </c>
      <c r="J52" s="50" t="n">
        <v>2</v>
      </c>
      <c r="K52" s="50" t="n">
        <v>0</v>
      </c>
      <c r="L52" s="50" t="n">
        <v>0</v>
      </c>
      <c r="M52" s="46" t="s">
        <v>211</v>
      </c>
      <c r="N52" s="51" t="s">
        <v>215</v>
      </c>
      <c r="O52" s="62" t="str">
        <f aca="false">IF($B52="","",TEXT($A52,"YYYY-MM-DD")&amp;"|"&amp;$B52)</f>
        <v>2026-08-14|P-004</v>
      </c>
      <c r="P52" s="3"/>
      <c r="Q52" s="3"/>
      <c r="R52" s="3"/>
      <c r="S52" s="3"/>
      <c r="T52" s="3"/>
      <c r="U52" s="3"/>
      <c r="V52" s="3"/>
      <c r="W52" s="3"/>
      <c r="X52" s="3"/>
      <c r="Y52" s="3"/>
      <c r="Z52" s="3"/>
      <c r="AA52" s="3"/>
      <c r="AB52" s="3"/>
    </row>
    <row r="53" customFormat="false" ht="15" hidden="false" customHeight="false" outlineLevel="0" collapsed="false">
      <c r="A53" s="54" t="n">
        <v>46248</v>
      </c>
      <c r="B53" s="52" t="s">
        <v>174</v>
      </c>
      <c r="C53" s="56" t="n">
        <v>6</v>
      </c>
      <c r="D53" s="56" t="n">
        <v>5</v>
      </c>
      <c r="E53" s="56" t="n">
        <v>8</v>
      </c>
      <c r="F53" s="56" t="n">
        <v>6</v>
      </c>
      <c r="G53" s="55" t="n">
        <v>200952</v>
      </c>
      <c r="H53" s="56" t="n">
        <v>2</v>
      </c>
      <c r="I53" s="56" t="n">
        <v>1</v>
      </c>
      <c r="J53" s="56" t="n">
        <v>4</v>
      </c>
      <c r="K53" s="56" t="n">
        <v>1</v>
      </c>
      <c r="L53" s="56" t="n">
        <v>0</v>
      </c>
      <c r="M53" s="52" t="s">
        <v>211</v>
      </c>
      <c r="N53" s="57" t="s">
        <v>216</v>
      </c>
      <c r="O53" s="62" t="str">
        <f aca="false">IF($B53="","",TEXT($A53,"YYYY-MM-DD")&amp;"|"&amp;$B53)</f>
        <v>2026-08-14|P-005</v>
      </c>
      <c r="P53" s="3"/>
      <c r="Q53" s="3"/>
      <c r="R53" s="3"/>
      <c r="S53" s="3"/>
      <c r="T53" s="3"/>
      <c r="U53" s="3"/>
      <c r="V53" s="3"/>
      <c r="W53" s="3"/>
      <c r="X53" s="3"/>
      <c r="Y53" s="3"/>
      <c r="Z53" s="3"/>
      <c r="AA53" s="3"/>
      <c r="AB53" s="3"/>
    </row>
    <row r="54" customFormat="false" ht="15" hidden="false" customHeight="false" outlineLevel="0" collapsed="false">
      <c r="A54" s="48" t="n">
        <v>46251</v>
      </c>
      <c r="B54" s="46" t="s">
        <v>143</v>
      </c>
      <c r="C54" s="50" t="n">
        <v>9</v>
      </c>
      <c r="D54" s="50" t="n">
        <v>7</v>
      </c>
      <c r="E54" s="50" t="n">
        <v>10</v>
      </c>
      <c r="F54" s="50" t="n">
        <v>9</v>
      </c>
      <c r="G54" s="49" t="n">
        <v>383429</v>
      </c>
      <c r="H54" s="50" t="n">
        <v>3</v>
      </c>
      <c r="I54" s="50" t="n">
        <v>2</v>
      </c>
      <c r="J54" s="50" t="n">
        <v>3</v>
      </c>
      <c r="K54" s="50" t="n">
        <v>1</v>
      </c>
      <c r="L54" s="50" t="n">
        <v>2</v>
      </c>
      <c r="M54" s="46" t="s">
        <v>199</v>
      </c>
      <c r="N54" s="51" t="s">
        <v>200</v>
      </c>
      <c r="O54" s="62" t="str">
        <f aca="false">IF($B54="","",TEXT($A54,"YYYY-MM-DD")&amp;"|"&amp;$B54)</f>
        <v>2026-08-17|P-001</v>
      </c>
      <c r="P54" s="3"/>
      <c r="Q54" s="3"/>
      <c r="R54" s="3"/>
      <c r="S54" s="3"/>
      <c r="T54" s="3"/>
      <c r="U54" s="3"/>
      <c r="V54" s="3"/>
      <c r="W54" s="3"/>
      <c r="X54" s="3"/>
      <c r="Y54" s="3"/>
      <c r="Z54" s="3"/>
      <c r="AA54" s="3"/>
      <c r="AB54" s="3"/>
    </row>
    <row r="55" customFormat="false" ht="15" hidden="false" customHeight="false" outlineLevel="0" collapsed="false">
      <c r="A55" s="54" t="n">
        <v>46251</v>
      </c>
      <c r="B55" s="52" t="s">
        <v>151</v>
      </c>
      <c r="C55" s="56" t="n">
        <v>9</v>
      </c>
      <c r="D55" s="56" t="n">
        <v>8</v>
      </c>
      <c r="E55" s="56" t="n">
        <v>9</v>
      </c>
      <c r="F55" s="56" t="n">
        <v>8</v>
      </c>
      <c r="G55" s="55" t="n">
        <v>628095</v>
      </c>
      <c r="H55" s="56" t="n">
        <v>3</v>
      </c>
      <c r="I55" s="56" t="n">
        <v>2</v>
      </c>
      <c r="J55" s="56" t="n">
        <v>5</v>
      </c>
      <c r="K55" s="56" t="n">
        <v>0</v>
      </c>
      <c r="L55" s="56" t="n">
        <v>0</v>
      </c>
      <c r="M55" s="52" t="s">
        <v>211</v>
      </c>
      <c r="N55" s="57" t="s">
        <v>212</v>
      </c>
      <c r="O55" s="62" t="str">
        <f aca="false">IF($B55="","",TEXT($A55,"YYYY-MM-DD")&amp;"|"&amp;$B55)</f>
        <v>2026-08-17|P-002</v>
      </c>
      <c r="P55" s="3"/>
      <c r="Q55" s="3"/>
      <c r="R55" s="3"/>
      <c r="S55" s="3"/>
      <c r="T55" s="3"/>
      <c r="U55" s="3"/>
      <c r="V55" s="3"/>
      <c r="W55" s="3"/>
      <c r="X55" s="3"/>
      <c r="Y55" s="3"/>
      <c r="Z55" s="3"/>
      <c r="AA55" s="3"/>
      <c r="AB55" s="3"/>
    </row>
    <row r="56" customFormat="false" ht="15" hidden="false" customHeight="false" outlineLevel="0" collapsed="false">
      <c r="A56" s="48" t="n">
        <v>46251</v>
      </c>
      <c r="B56" s="46" t="s">
        <v>159</v>
      </c>
      <c r="C56" s="50" t="n">
        <v>8</v>
      </c>
      <c r="D56" s="50" t="n">
        <v>5</v>
      </c>
      <c r="E56" s="50" t="n">
        <v>9</v>
      </c>
      <c r="F56" s="50" t="n">
        <v>6</v>
      </c>
      <c r="G56" s="49" t="n">
        <v>324810</v>
      </c>
      <c r="H56" s="50" t="n">
        <v>5</v>
      </c>
      <c r="I56" s="50" t="n">
        <v>4</v>
      </c>
      <c r="J56" s="50" t="n">
        <v>9</v>
      </c>
      <c r="K56" s="50" t="n">
        <v>3</v>
      </c>
      <c r="L56" s="50" t="n">
        <v>4</v>
      </c>
      <c r="M56" s="46" t="s">
        <v>213</v>
      </c>
      <c r="N56" s="51" t="s">
        <v>214</v>
      </c>
      <c r="O56" s="62" t="str">
        <f aca="false">IF($B56="","",TEXT($A56,"YYYY-MM-DD")&amp;"|"&amp;$B56)</f>
        <v>2026-08-17|P-003</v>
      </c>
      <c r="P56" s="3"/>
      <c r="Q56" s="3"/>
      <c r="R56" s="3"/>
      <c r="S56" s="3"/>
      <c r="T56" s="3"/>
      <c r="U56" s="3"/>
      <c r="V56" s="3"/>
      <c r="W56" s="3"/>
      <c r="X56" s="3"/>
      <c r="Y56" s="3"/>
      <c r="Z56" s="3"/>
      <c r="AA56" s="3"/>
      <c r="AB56" s="3"/>
    </row>
    <row r="57" customFormat="false" ht="15" hidden="false" customHeight="false" outlineLevel="0" collapsed="false">
      <c r="A57" s="54" t="n">
        <v>46251</v>
      </c>
      <c r="B57" s="52" t="s">
        <v>167</v>
      </c>
      <c r="C57" s="56" t="n">
        <v>7</v>
      </c>
      <c r="D57" s="56" t="n">
        <v>7</v>
      </c>
      <c r="E57" s="56" t="n">
        <v>7</v>
      </c>
      <c r="F57" s="56" t="n">
        <v>7</v>
      </c>
      <c r="G57" s="55" t="n">
        <v>379286</v>
      </c>
      <c r="H57" s="56" t="n">
        <v>1</v>
      </c>
      <c r="I57" s="56" t="n">
        <v>1</v>
      </c>
      <c r="J57" s="56" t="n">
        <v>2</v>
      </c>
      <c r="K57" s="56" t="n">
        <v>0</v>
      </c>
      <c r="L57" s="56" t="n">
        <v>0</v>
      </c>
      <c r="M57" s="52" t="s">
        <v>211</v>
      </c>
      <c r="N57" s="57" t="s">
        <v>215</v>
      </c>
      <c r="O57" s="62" t="str">
        <f aca="false">IF($B57="","",TEXT($A57,"YYYY-MM-DD")&amp;"|"&amp;$B57)</f>
        <v>2026-08-17|P-004</v>
      </c>
      <c r="P57" s="3"/>
      <c r="Q57" s="3"/>
      <c r="R57" s="3"/>
      <c r="S57" s="3"/>
      <c r="T57" s="3"/>
      <c r="U57" s="3"/>
      <c r="V57" s="3"/>
      <c r="W57" s="3"/>
      <c r="X57" s="3"/>
      <c r="Y57" s="3"/>
      <c r="Z57" s="3"/>
      <c r="AA57" s="3"/>
      <c r="AB57" s="3"/>
    </row>
    <row r="58" customFormat="false" ht="15" hidden="false" customHeight="false" outlineLevel="0" collapsed="false">
      <c r="A58" s="48" t="n">
        <v>46251</v>
      </c>
      <c r="B58" s="46" t="s">
        <v>174</v>
      </c>
      <c r="C58" s="50" t="n">
        <v>7</v>
      </c>
      <c r="D58" s="50" t="n">
        <v>6</v>
      </c>
      <c r="E58" s="50" t="n">
        <v>8</v>
      </c>
      <c r="F58" s="50" t="n">
        <v>7</v>
      </c>
      <c r="G58" s="49" t="n">
        <v>203048</v>
      </c>
      <c r="H58" s="50" t="n">
        <v>2</v>
      </c>
      <c r="I58" s="50" t="n">
        <v>1</v>
      </c>
      <c r="J58" s="50" t="n">
        <v>3</v>
      </c>
      <c r="K58" s="50" t="n">
        <v>0</v>
      </c>
      <c r="L58" s="50" t="n">
        <v>1</v>
      </c>
      <c r="M58" s="46" t="s">
        <v>211</v>
      </c>
      <c r="N58" s="51" t="s">
        <v>216</v>
      </c>
      <c r="O58" s="62" t="str">
        <f aca="false">IF($B58="","",TEXT($A58,"YYYY-MM-DD")&amp;"|"&amp;$B58)</f>
        <v>2026-08-17|P-005</v>
      </c>
      <c r="P58" s="3"/>
      <c r="Q58" s="3"/>
      <c r="R58" s="3"/>
      <c r="S58" s="3"/>
      <c r="T58" s="3"/>
      <c r="U58" s="3"/>
      <c r="V58" s="3"/>
      <c r="W58" s="3"/>
      <c r="X58" s="3"/>
      <c r="Y58" s="3"/>
      <c r="Z58" s="3"/>
      <c r="AA58" s="3"/>
      <c r="AB58" s="3"/>
    </row>
    <row r="59" customFormat="false" ht="15" hidden="false" customHeight="false" outlineLevel="0" collapsed="false">
      <c r="A59" s="54" t="n">
        <v>46252</v>
      </c>
      <c r="B59" s="52" t="s">
        <v>143</v>
      </c>
      <c r="C59" s="56" t="n">
        <v>9</v>
      </c>
      <c r="D59" s="56" t="n">
        <v>7</v>
      </c>
      <c r="E59" s="56" t="n">
        <v>10</v>
      </c>
      <c r="F59" s="56" t="n">
        <v>9</v>
      </c>
      <c r="G59" s="55" t="n">
        <v>386286</v>
      </c>
      <c r="H59" s="56" t="n">
        <v>3</v>
      </c>
      <c r="I59" s="56" t="n">
        <v>2</v>
      </c>
      <c r="J59" s="56" t="n">
        <v>3</v>
      </c>
      <c r="K59" s="56" t="n">
        <v>1</v>
      </c>
      <c r="L59" s="56" t="n">
        <v>2</v>
      </c>
      <c r="M59" s="52" t="s">
        <v>199</v>
      </c>
      <c r="N59" s="57" t="s">
        <v>200</v>
      </c>
      <c r="O59" s="62" t="str">
        <f aca="false">IF($B59="","",TEXT($A59,"YYYY-MM-DD")&amp;"|"&amp;$B59)</f>
        <v>2026-08-18|P-001</v>
      </c>
      <c r="P59" s="3"/>
      <c r="Q59" s="3"/>
      <c r="R59" s="3"/>
      <c r="S59" s="3"/>
      <c r="T59" s="3"/>
      <c r="U59" s="3"/>
      <c r="V59" s="3"/>
      <c r="W59" s="3"/>
      <c r="X59" s="3"/>
      <c r="Y59" s="3"/>
      <c r="Z59" s="3"/>
      <c r="AA59" s="3"/>
      <c r="AB59" s="3"/>
    </row>
    <row r="60" customFormat="false" ht="15" hidden="false" customHeight="false" outlineLevel="0" collapsed="false">
      <c r="A60" s="48" t="n">
        <v>46252</v>
      </c>
      <c r="B60" s="46" t="s">
        <v>151</v>
      </c>
      <c r="C60" s="50" t="n">
        <v>9</v>
      </c>
      <c r="D60" s="50" t="n">
        <v>8</v>
      </c>
      <c r="E60" s="50" t="n">
        <v>9</v>
      </c>
      <c r="F60" s="50" t="n">
        <v>8</v>
      </c>
      <c r="G60" s="49" t="n">
        <v>634286</v>
      </c>
      <c r="H60" s="50" t="n">
        <v>3</v>
      </c>
      <c r="I60" s="50" t="n">
        <v>2</v>
      </c>
      <c r="J60" s="50" t="n">
        <v>5</v>
      </c>
      <c r="K60" s="50" t="n">
        <v>0</v>
      </c>
      <c r="L60" s="50" t="n">
        <v>0</v>
      </c>
      <c r="M60" s="46" t="s">
        <v>211</v>
      </c>
      <c r="N60" s="51" t="s">
        <v>212</v>
      </c>
      <c r="O60" s="62" t="str">
        <f aca="false">IF($B60="","",TEXT($A60,"YYYY-MM-DD")&amp;"|"&amp;$B60)</f>
        <v>2026-08-18|P-002</v>
      </c>
      <c r="P60" s="3"/>
      <c r="Q60" s="3"/>
      <c r="R60" s="3"/>
      <c r="S60" s="3"/>
      <c r="T60" s="3"/>
      <c r="U60" s="3"/>
      <c r="V60" s="3"/>
      <c r="W60" s="3"/>
      <c r="X60" s="3"/>
      <c r="Y60" s="3"/>
      <c r="Z60" s="3"/>
      <c r="AA60" s="3"/>
      <c r="AB60" s="3"/>
    </row>
    <row r="61" customFormat="false" ht="15" hidden="false" customHeight="false" outlineLevel="0" collapsed="false">
      <c r="A61" s="54" t="n">
        <v>46252</v>
      </c>
      <c r="B61" s="52" t="s">
        <v>159</v>
      </c>
      <c r="C61" s="56" t="n">
        <v>8</v>
      </c>
      <c r="D61" s="56" t="n">
        <v>5</v>
      </c>
      <c r="E61" s="56" t="n">
        <v>9</v>
      </c>
      <c r="F61" s="56" t="n">
        <v>6</v>
      </c>
      <c r="G61" s="55" t="n">
        <v>327429</v>
      </c>
      <c r="H61" s="56" t="n">
        <v>5</v>
      </c>
      <c r="I61" s="56" t="n">
        <v>4</v>
      </c>
      <c r="J61" s="56" t="n">
        <v>9</v>
      </c>
      <c r="K61" s="56" t="n">
        <v>3</v>
      </c>
      <c r="L61" s="56" t="n">
        <v>4</v>
      </c>
      <c r="M61" s="52" t="s">
        <v>213</v>
      </c>
      <c r="N61" s="57" t="s">
        <v>214</v>
      </c>
      <c r="O61" s="62" t="str">
        <f aca="false">IF($B61="","",TEXT($A61,"YYYY-MM-DD")&amp;"|"&amp;$B61)</f>
        <v>2026-08-18|P-003</v>
      </c>
      <c r="P61" s="3"/>
      <c r="Q61" s="3"/>
      <c r="R61" s="3"/>
      <c r="S61" s="3"/>
      <c r="T61" s="3"/>
      <c r="U61" s="3"/>
      <c r="V61" s="3"/>
      <c r="W61" s="3"/>
      <c r="X61" s="3"/>
      <c r="Y61" s="3"/>
      <c r="Z61" s="3"/>
      <c r="AA61" s="3"/>
      <c r="AB61" s="3"/>
    </row>
    <row r="62" customFormat="false" ht="15" hidden="false" customHeight="false" outlineLevel="0" collapsed="false">
      <c r="A62" s="48" t="n">
        <v>46252</v>
      </c>
      <c r="B62" s="46" t="s">
        <v>167</v>
      </c>
      <c r="C62" s="50" t="n">
        <v>7</v>
      </c>
      <c r="D62" s="50" t="n">
        <v>7</v>
      </c>
      <c r="E62" s="50" t="n">
        <v>7</v>
      </c>
      <c r="F62" s="50" t="n">
        <v>7</v>
      </c>
      <c r="G62" s="49" t="n">
        <v>382857</v>
      </c>
      <c r="H62" s="50" t="n">
        <v>1</v>
      </c>
      <c r="I62" s="50" t="n">
        <v>1</v>
      </c>
      <c r="J62" s="50" t="n">
        <v>2</v>
      </c>
      <c r="K62" s="50" t="n">
        <v>0</v>
      </c>
      <c r="L62" s="50" t="n">
        <v>0</v>
      </c>
      <c r="M62" s="46" t="s">
        <v>211</v>
      </c>
      <c r="N62" s="51" t="s">
        <v>215</v>
      </c>
      <c r="O62" s="62" t="str">
        <f aca="false">IF($B62="","",TEXT($A62,"YYYY-MM-DD")&amp;"|"&amp;$B62)</f>
        <v>2026-08-18|P-004</v>
      </c>
      <c r="P62" s="3"/>
      <c r="Q62" s="3"/>
      <c r="R62" s="3"/>
      <c r="S62" s="3"/>
      <c r="T62" s="3"/>
      <c r="U62" s="3"/>
      <c r="V62" s="3"/>
      <c r="W62" s="3"/>
      <c r="X62" s="3"/>
      <c r="Y62" s="3"/>
      <c r="Z62" s="3"/>
      <c r="AA62" s="3"/>
      <c r="AB62" s="3"/>
    </row>
    <row r="63" customFormat="false" ht="15" hidden="false" customHeight="false" outlineLevel="0" collapsed="false">
      <c r="A63" s="54" t="n">
        <v>46252</v>
      </c>
      <c r="B63" s="52" t="s">
        <v>174</v>
      </c>
      <c r="C63" s="56" t="n">
        <v>7</v>
      </c>
      <c r="D63" s="56" t="n">
        <v>6</v>
      </c>
      <c r="E63" s="56" t="n">
        <v>8</v>
      </c>
      <c r="F63" s="56" t="n">
        <v>7</v>
      </c>
      <c r="G63" s="55" t="n">
        <v>205143</v>
      </c>
      <c r="H63" s="56" t="n">
        <v>2</v>
      </c>
      <c r="I63" s="56" t="n">
        <v>1</v>
      </c>
      <c r="J63" s="56" t="n">
        <v>3</v>
      </c>
      <c r="K63" s="56" t="n">
        <v>0</v>
      </c>
      <c r="L63" s="56" t="n">
        <v>1</v>
      </c>
      <c r="M63" s="52" t="s">
        <v>211</v>
      </c>
      <c r="N63" s="57" t="s">
        <v>216</v>
      </c>
      <c r="O63" s="62" t="str">
        <f aca="false">IF($B63="","",TEXT($A63,"YYYY-MM-DD")&amp;"|"&amp;$B63)</f>
        <v>2026-08-18|P-005</v>
      </c>
      <c r="P63" s="3"/>
      <c r="Q63" s="3"/>
      <c r="R63" s="3"/>
      <c r="S63" s="3"/>
      <c r="T63" s="3"/>
      <c r="U63" s="3"/>
      <c r="V63" s="3"/>
      <c r="W63" s="3"/>
      <c r="X63" s="3"/>
      <c r="Y63" s="3"/>
      <c r="Z63" s="3"/>
      <c r="AA63" s="3"/>
      <c r="AB63" s="3"/>
    </row>
    <row r="64" customFormat="false" ht="15" hidden="false" customHeight="false" outlineLevel="0" collapsed="false">
      <c r="A64" s="48" t="n">
        <v>46253</v>
      </c>
      <c r="B64" s="46" t="s">
        <v>143</v>
      </c>
      <c r="C64" s="50" t="n">
        <v>9</v>
      </c>
      <c r="D64" s="50" t="n">
        <v>7</v>
      </c>
      <c r="E64" s="50" t="n">
        <v>10</v>
      </c>
      <c r="F64" s="50" t="n">
        <v>9</v>
      </c>
      <c r="G64" s="49" t="n">
        <v>389143</v>
      </c>
      <c r="H64" s="50" t="n">
        <v>3</v>
      </c>
      <c r="I64" s="50" t="n">
        <v>2</v>
      </c>
      <c r="J64" s="50" t="n">
        <v>3</v>
      </c>
      <c r="K64" s="50" t="n">
        <v>1</v>
      </c>
      <c r="L64" s="50" t="n">
        <v>2</v>
      </c>
      <c r="M64" s="46" t="s">
        <v>199</v>
      </c>
      <c r="N64" s="51" t="s">
        <v>200</v>
      </c>
      <c r="O64" s="62" t="str">
        <f aca="false">IF($B64="","",TEXT($A64,"YYYY-MM-DD")&amp;"|"&amp;$B64)</f>
        <v>2026-08-19|P-001</v>
      </c>
      <c r="P64" s="3"/>
      <c r="Q64" s="3"/>
      <c r="R64" s="3"/>
      <c r="S64" s="3"/>
      <c r="T64" s="3"/>
      <c r="U64" s="3"/>
      <c r="V64" s="3"/>
      <c r="W64" s="3"/>
      <c r="X64" s="3"/>
      <c r="Y64" s="3"/>
      <c r="Z64" s="3"/>
      <c r="AA64" s="3"/>
      <c r="AB64" s="3"/>
    </row>
    <row r="65" customFormat="false" ht="15" hidden="false" customHeight="false" outlineLevel="0" collapsed="false">
      <c r="A65" s="54" t="n">
        <v>46253</v>
      </c>
      <c r="B65" s="52" t="s">
        <v>151</v>
      </c>
      <c r="C65" s="56" t="n">
        <v>9</v>
      </c>
      <c r="D65" s="56" t="n">
        <v>8</v>
      </c>
      <c r="E65" s="56" t="n">
        <v>9</v>
      </c>
      <c r="F65" s="56" t="n">
        <v>8</v>
      </c>
      <c r="G65" s="55" t="n">
        <v>640476</v>
      </c>
      <c r="H65" s="56" t="n">
        <v>3</v>
      </c>
      <c r="I65" s="56" t="n">
        <v>2</v>
      </c>
      <c r="J65" s="56" t="n">
        <v>5</v>
      </c>
      <c r="K65" s="56" t="n">
        <v>0</v>
      </c>
      <c r="L65" s="56" t="n">
        <v>0</v>
      </c>
      <c r="M65" s="52" t="s">
        <v>211</v>
      </c>
      <c r="N65" s="57" t="s">
        <v>212</v>
      </c>
      <c r="O65" s="62" t="str">
        <f aca="false">IF($B65="","",TEXT($A65,"YYYY-MM-DD")&amp;"|"&amp;$B65)</f>
        <v>2026-08-19|P-002</v>
      </c>
      <c r="P65" s="3"/>
      <c r="Q65" s="3"/>
      <c r="R65" s="3"/>
      <c r="S65" s="3"/>
      <c r="T65" s="3"/>
      <c r="U65" s="3"/>
      <c r="V65" s="3"/>
      <c r="W65" s="3"/>
      <c r="X65" s="3"/>
      <c r="Y65" s="3"/>
      <c r="Z65" s="3"/>
      <c r="AA65" s="3"/>
      <c r="AB65" s="3"/>
    </row>
    <row r="66" customFormat="false" ht="15" hidden="false" customHeight="false" outlineLevel="0" collapsed="false">
      <c r="A66" s="48" t="n">
        <v>46253</v>
      </c>
      <c r="B66" s="46" t="s">
        <v>159</v>
      </c>
      <c r="C66" s="50" t="n">
        <v>8</v>
      </c>
      <c r="D66" s="50" t="n">
        <v>5</v>
      </c>
      <c r="E66" s="50" t="n">
        <v>9</v>
      </c>
      <c r="F66" s="50" t="n">
        <v>6</v>
      </c>
      <c r="G66" s="49" t="n">
        <v>330048</v>
      </c>
      <c r="H66" s="50" t="n">
        <v>5</v>
      </c>
      <c r="I66" s="50" t="n">
        <v>4</v>
      </c>
      <c r="J66" s="50" t="n">
        <v>9</v>
      </c>
      <c r="K66" s="50" t="n">
        <v>3</v>
      </c>
      <c r="L66" s="50" t="n">
        <v>4</v>
      </c>
      <c r="M66" s="46" t="s">
        <v>213</v>
      </c>
      <c r="N66" s="51" t="s">
        <v>214</v>
      </c>
      <c r="O66" s="62" t="str">
        <f aca="false">IF($B66="","",TEXT($A66,"YYYY-MM-DD")&amp;"|"&amp;$B66)</f>
        <v>2026-08-19|P-003</v>
      </c>
      <c r="P66" s="3"/>
      <c r="Q66" s="3"/>
      <c r="R66" s="3"/>
      <c r="S66" s="3"/>
      <c r="T66" s="3"/>
      <c r="U66" s="3"/>
      <c r="V66" s="3"/>
      <c r="W66" s="3"/>
      <c r="X66" s="3"/>
      <c r="Y66" s="3"/>
      <c r="Z66" s="3"/>
      <c r="AA66" s="3"/>
      <c r="AB66" s="3"/>
    </row>
    <row r="67" customFormat="false" ht="15" hidden="false" customHeight="false" outlineLevel="0" collapsed="false">
      <c r="A67" s="54" t="n">
        <v>46253</v>
      </c>
      <c r="B67" s="52" t="s">
        <v>167</v>
      </c>
      <c r="C67" s="56" t="n">
        <v>7</v>
      </c>
      <c r="D67" s="56" t="n">
        <v>7</v>
      </c>
      <c r="E67" s="56" t="n">
        <v>7</v>
      </c>
      <c r="F67" s="56" t="n">
        <v>7</v>
      </c>
      <c r="G67" s="55" t="n">
        <v>386429</v>
      </c>
      <c r="H67" s="56" t="n">
        <v>1</v>
      </c>
      <c r="I67" s="56" t="n">
        <v>1</v>
      </c>
      <c r="J67" s="56" t="n">
        <v>2</v>
      </c>
      <c r="K67" s="56" t="n">
        <v>0</v>
      </c>
      <c r="L67" s="56" t="n">
        <v>0</v>
      </c>
      <c r="M67" s="52" t="s">
        <v>211</v>
      </c>
      <c r="N67" s="57" t="s">
        <v>215</v>
      </c>
      <c r="O67" s="62" t="str">
        <f aca="false">IF($B67="","",TEXT($A67,"YYYY-MM-DD")&amp;"|"&amp;$B67)</f>
        <v>2026-08-19|P-004</v>
      </c>
      <c r="P67" s="3"/>
      <c r="Q67" s="3"/>
      <c r="R67" s="3"/>
      <c r="S67" s="3"/>
      <c r="T67" s="3"/>
      <c r="U67" s="3"/>
      <c r="V67" s="3"/>
      <c r="W67" s="3"/>
      <c r="X67" s="3"/>
      <c r="Y67" s="3"/>
      <c r="Z67" s="3"/>
      <c r="AA67" s="3"/>
      <c r="AB67" s="3"/>
    </row>
    <row r="68" customFormat="false" ht="15" hidden="false" customHeight="false" outlineLevel="0" collapsed="false">
      <c r="A68" s="48" t="n">
        <v>46253</v>
      </c>
      <c r="B68" s="46" t="s">
        <v>174</v>
      </c>
      <c r="C68" s="50" t="n">
        <v>7</v>
      </c>
      <c r="D68" s="50" t="n">
        <v>6</v>
      </c>
      <c r="E68" s="50" t="n">
        <v>8</v>
      </c>
      <c r="F68" s="50" t="n">
        <v>7</v>
      </c>
      <c r="G68" s="49" t="n">
        <v>207238</v>
      </c>
      <c r="H68" s="50" t="n">
        <v>2</v>
      </c>
      <c r="I68" s="50" t="n">
        <v>1</v>
      </c>
      <c r="J68" s="50" t="n">
        <v>3</v>
      </c>
      <c r="K68" s="50" t="n">
        <v>0</v>
      </c>
      <c r="L68" s="50" t="n">
        <v>1</v>
      </c>
      <c r="M68" s="46" t="s">
        <v>211</v>
      </c>
      <c r="N68" s="51" t="s">
        <v>216</v>
      </c>
      <c r="O68" s="62" t="str">
        <f aca="false">IF($B68="","",TEXT($A68,"YYYY-MM-DD")&amp;"|"&amp;$B68)</f>
        <v>2026-08-19|P-005</v>
      </c>
      <c r="P68" s="3"/>
      <c r="Q68" s="3"/>
      <c r="R68" s="3"/>
      <c r="S68" s="3"/>
      <c r="T68" s="3"/>
      <c r="U68" s="3"/>
      <c r="V68" s="3"/>
      <c r="W68" s="3"/>
      <c r="X68" s="3"/>
      <c r="Y68" s="3"/>
      <c r="Z68" s="3"/>
      <c r="AA68" s="3"/>
      <c r="AB68" s="3"/>
    </row>
    <row r="69" customFormat="false" ht="15" hidden="false" customHeight="false" outlineLevel="0" collapsed="false">
      <c r="A69" s="54" t="n">
        <v>46254</v>
      </c>
      <c r="B69" s="52" t="s">
        <v>143</v>
      </c>
      <c r="C69" s="56" t="n">
        <v>9</v>
      </c>
      <c r="D69" s="56" t="n">
        <v>7</v>
      </c>
      <c r="E69" s="56" t="n">
        <v>10</v>
      </c>
      <c r="F69" s="56" t="n">
        <v>9</v>
      </c>
      <c r="G69" s="55" t="n">
        <v>392000</v>
      </c>
      <c r="H69" s="56" t="n">
        <v>3</v>
      </c>
      <c r="I69" s="56" t="n">
        <v>2</v>
      </c>
      <c r="J69" s="56" t="n">
        <v>3</v>
      </c>
      <c r="K69" s="56" t="n">
        <v>1</v>
      </c>
      <c r="L69" s="56" t="n">
        <v>2</v>
      </c>
      <c r="M69" s="52" t="s">
        <v>199</v>
      </c>
      <c r="N69" s="57" t="s">
        <v>200</v>
      </c>
      <c r="O69" s="62" t="str">
        <f aca="false">IF($B69="","",TEXT($A69,"YYYY-MM-DD")&amp;"|"&amp;$B69)</f>
        <v>2026-08-20|P-001</v>
      </c>
      <c r="P69" s="3"/>
      <c r="Q69" s="3"/>
      <c r="R69" s="3"/>
      <c r="S69" s="3"/>
      <c r="T69" s="3"/>
      <c r="U69" s="3"/>
      <c r="V69" s="3"/>
      <c r="W69" s="3"/>
      <c r="X69" s="3"/>
      <c r="Y69" s="3"/>
      <c r="Z69" s="3"/>
      <c r="AA69" s="3"/>
      <c r="AB69" s="3"/>
    </row>
    <row r="70" customFormat="false" ht="15" hidden="false" customHeight="false" outlineLevel="0" collapsed="false">
      <c r="A70" s="48" t="n">
        <v>46254</v>
      </c>
      <c r="B70" s="46" t="s">
        <v>151</v>
      </c>
      <c r="C70" s="50" t="n">
        <v>9</v>
      </c>
      <c r="D70" s="50" t="n">
        <v>8</v>
      </c>
      <c r="E70" s="50" t="n">
        <v>9</v>
      </c>
      <c r="F70" s="50" t="n">
        <v>8</v>
      </c>
      <c r="G70" s="49" t="n">
        <v>646667</v>
      </c>
      <c r="H70" s="50" t="n">
        <v>3</v>
      </c>
      <c r="I70" s="50" t="n">
        <v>2</v>
      </c>
      <c r="J70" s="50" t="n">
        <v>5</v>
      </c>
      <c r="K70" s="50" t="n">
        <v>0</v>
      </c>
      <c r="L70" s="50" t="n">
        <v>0</v>
      </c>
      <c r="M70" s="46" t="s">
        <v>211</v>
      </c>
      <c r="N70" s="51" t="s">
        <v>212</v>
      </c>
      <c r="O70" s="62" t="str">
        <f aca="false">IF($B70="","",TEXT($A70,"YYYY-MM-DD")&amp;"|"&amp;$B70)</f>
        <v>2026-08-20|P-002</v>
      </c>
      <c r="P70" s="3"/>
      <c r="Q70" s="3"/>
      <c r="R70" s="3"/>
      <c r="S70" s="3"/>
      <c r="T70" s="3"/>
      <c r="U70" s="3"/>
      <c r="V70" s="3"/>
      <c r="W70" s="3"/>
      <c r="X70" s="3"/>
      <c r="Y70" s="3"/>
      <c r="Z70" s="3"/>
      <c r="AA70" s="3"/>
      <c r="AB70" s="3"/>
    </row>
    <row r="71" customFormat="false" ht="15" hidden="false" customHeight="false" outlineLevel="0" collapsed="false">
      <c r="A71" s="54" t="n">
        <v>46254</v>
      </c>
      <c r="B71" s="52" t="s">
        <v>159</v>
      </c>
      <c r="C71" s="56" t="n">
        <v>8</v>
      </c>
      <c r="D71" s="56" t="n">
        <v>5</v>
      </c>
      <c r="E71" s="56" t="n">
        <v>9</v>
      </c>
      <c r="F71" s="56" t="n">
        <v>6</v>
      </c>
      <c r="G71" s="55" t="n">
        <v>332667</v>
      </c>
      <c r="H71" s="56" t="n">
        <v>5</v>
      </c>
      <c r="I71" s="56" t="n">
        <v>4</v>
      </c>
      <c r="J71" s="56" t="n">
        <v>9</v>
      </c>
      <c r="K71" s="56" t="n">
        <v>3</v>
      </c>
      <c r="L71" s="56" t="n">
        <v>4</v>
      </c>
      <c r="M71" s="52" t="s">
        <v>213</v>
      </c>
      <c r="N71" s="57" t="s">
        <v>214</v>
      </c>
      <c r="O71" s="62" t="str">
        <f aca="false">IF($B71="","",TEXT($A71,"YYYY-MM-DD")&amp;"|"&amp;$B71)</f>
        <v>2026-08-20|P-003</v>
      </c>
      <c r="P71" s="3"/>
      <c r="Q71" s="3"/>
      <c r="R71" s="3"/>
      <c r="S71" s="3"/>
      <c r="T71" s="3"/>
      <c r="U71" s="3"/>
      <c r="V71" s="3"/>
      <c r="W71" s="3"/>
      <c r="X71" s="3"/>
      <c r="Y71" s="3"/>
      <c r="Z71" s="3"/>
      <c r="AA71" s="3"/>
      <c r="AB71" s="3"/>
    </row>
    <row r="72" customFormat="false" ht="15" hidden="false" customHeight="false" outlineLevel="0" collapsed="false">
      <c r="A72" s="48" t="n">
        <v>46254</v>
      </c>
      <c r="B72" s="46" t="s">
        <v>167</v>
      </c>
      <c r="C72" s="50" t="n">
        <v>7</v>
      </c>
      <c r="D72" s="50" t="n">
        <v>7</v>
      </c>
      <c r="E72" s="50" t="n">
        <v>7</v>
      </c>
      <c r="F72" s="50" t="n">
        <v>7</v>
      </c>
      <c r="G72" s="49" t="n">
        <v>390000</v>
      </c>
      <c r="H72" s="50" t="n">
        <v>1</v>
      </c>
      <c r="I72" s="50" t="n">
        <v>1</v>
      </c>
      <c r="J72" s="50" t="n">
        <v>2</v>
      </c>
      <c r="K72" s="50" t="n">
        <v>0</v>
      </c>
      <c r="L72" s="50" t="n">
        <v>0</v>
      </c>
      <c r="M72" s="46" t="s">
        <v>211</v>
      </c>
      <c r="N72" s="51" t="s">
        <v>215</v>
      </c>
      <c r="O72" s="62" t="str">
        <f aca="false">IF($B72="","",TEXT($A72,"YYYY-MM-DD")&amp;"|"&amp;$B72)</f>
        <v>2026-08-20|P-004</v>
      </c>
      <c r="P72" s="3"/>
      <c r="Q72" s="3"/>
      <c r="R72" s="3"/>
      <c r="S72" s="3"/>
      <c r="T72" s="3"/>
      <c r="U72" s="3"/>
      <c r="V72" s="3"/>
      <c r="W72" s="3"/>
      <c r="X72" s="3"/>
      <c r="Y72" s="3"/>
      <c r="Z72" s="3"/>
      <c r="AA72" s="3"/>
      <c r="AB72" s="3"/>
    </row>
    <row r="73" customFormat="false" ht="15" hidden="false" customHeight="false" outlineLevel="0" collapsed="false">
      <c r="A73" s="54" t="n">
        <v>46254</v>
      </c>
      <c r="B73" s="52" t="s">
        <v>174</v>
      </c>
      <c r="C73" s="56" t="n">
        <v>7</v>
      </c>
      <c r="D73" s="56" t="n">
        <v>6</v>
      </c>
      <c r="E73" s="56" t="n">
        <v>8</v>
      </c>
      <c r="F73" s="56" t="n">
        <v>7</v>
      </c>
      <c r="G73" s="55" t="n">
        <v>209333</v>
      </c>
      <c r="H73" s="56" t="n">
        <v>2</v>
      </c>
      <c r="I73" s="56" t="n">
        <v>1</v>
      </c>
      <c r="J73" s="56" t="n">
        <v>3</v>
      </c>
      <c r="K73" s="56" t="n">
        <v>0</v>
      </c>
      <c r="L73" s="56" t="n">
        <v>1</v>
      </c>
      <c r="M73" s="52" t="s">
        <v>211</v>
      </c>
      <c r="N73" s="57" t="s">
        <v>216</v>
      </c>
      <c r="O73" s="62" t="str">
        <f aca="false">IF($B73="","",TEXT($A73,"YYYY-MM-DD")&amp;"|"&amp;$B73)</f>
        <v>2026-08-20|P-005</v>
      </c>
      <c r="P73" s="3"/>
      <c r="Q73" s="3"/>
      <c r="R73" s="3"/>
      <c r="S73" s="3"/>
      <c r="T73" s="3"/>
      <c r="U73" s="3"/>
      <c r="V73" s="3"/>
      <c r="W73" s="3"/>
      <c r="X73" s="3"/>
      <c r="Y73" s="3"/>
      <c r="Z73" s="3"/>
      <c r="AA73" s="3"/>
      <c r="AB73" s="3"/>
    </row>
    <row r="74" customFormat="false" ht="15" hidden="false" customHeight="false" outlineLevel="0" collapsed="false">
      <c r="A74" s="48" t="n">
        <v>46255</v>
      </c>
      <c r="B74" s="46" t="s">
        <v>143</v>
      </c>
      <c r="C74" s="50" t="n">
        <v>9</v>
      </c>
      <c r="D74" s="50" t="n">
        <v>7</v>
      </c>
      <c r="E74" s="50" t="n">
        <v>10</v>
      </c>
      <c r="F74" s="50" t="n">
        <v>9</v>
      </c>
      <c r="G74" s="49" t="n">
        <v>394857</v>
      </c>
      <c r="H74" s="50" t="n">
        <v>3</v>
      </c>
      <c r="I74" s="50" t="n">
        <v>2</v>
      </c>
      <c r="J74" s="50" t="n">
        <v>3</v>
      </c>
      <c r="K74" s="50" t="n">
        <v>1</v>
      </c>
      <c r="L74" s="50" t="n">
        <v>2</v>
      </c>
      <c r="M74" s="46" t="s">
        <v>199</v>
      </c>
      <c r="N74" s="51" t="s">
        <v>200</v>
      </c>
      <c r="O74" s="62" t="str">
        <f aca="false">IF($B74="","",TEXT($A74,"YYYY-MM-DD")&amp;"|"&amp;$B74)</f>
        <v>2026-08-21|P-001</v>
      </c>
      <c r="P74" s="3"/>
      <c r="Q74" s="3"/>
      <c r="R74" s="3"/>
      <c r="S74" s="3"/>
      <c r="T74" s="3"/>
      <c r="U74" s="3"/>
      <c r="V74" s="3"/>
      <c r="W74" s="3"/>
      <c r="X74" s="3"/>
      <c r="Y74" s="3"/>
      <c r="Z74" s="3"/>
      <c r="AA74" s="3"/>
      <c r="AB74" s="3"/>
    </row>
    <row r="75" customFormat="false" ht="15" hidden="false" customHeight="false" outlineLevel="0" collapsed="false">
      <c r="A75" s="54" t="n">
        <v>46255</v>
      </c>
      <c r="B75" s="52" t="s">
        <v>151</v>
      </c>
      <c r="C75" s="56" t="n">
        <v>9</v>
      </c>
      <c r="D75" s="56" t="n">
        <v>8</v>
      </c>
      <c r="E75" s="56" t="n">
        <v>9</v>
      </c>
      <c r="F75" s="56" t="n">
        <v>8</v>
      </c>
      <c r="G75" s="55" t="n">
        <v>652857</v>
      </c>
      <c r="H75" s="56" t="n">
        <v>3</v>
      </c>
      <c r="I75" s="56" t="n">
        <v>2</v>
      </c>
      <c r="J75" s="56" t="n">
        <v>5</v>
      </c>
      <c r="K75" s="56" t="n">
        <v>0</v>
      </c>
      <c r="L75" s="56" t="n">
        <v>0</v>
      </c>
      <c r="M75" s="52" t="s">
        <v>211</v>
      </c>
      <c r="N75" s="57" t="s">
        <v>212</v>
      </c>
      <c r="O75" s="62" t="str">
        <f aca="false">IF($B75="","",TEXT($A75,"YYYY-MM-DD")&amp;"|"&amp;$B75)</f>
        <v>2026-08-21|P-002</v>
      </c>
      <c r="P75" s="3"/>
      <c r="Q75" s="3"/>
      <c r="R75" s="3"/>
      <c r="S75" s="3"/>
      <c r="T75" s="3"/>
      <c r="U75" s="3"/>
      <c r="V75" s="3"/>
      <c r="W75" s="3"/>
      <c r="X75" s="3"/>
      <c r="Y75" s="3"/>
      <c r="Z75" s="3"/>
      <c r="AA75" s="3"/>
      <c r="AB75" s="3"/>
    </row>
    <row r="76" customFormat="false" ht="15" hidden="false" customHeight="false" outlineLevel="0" collapsed="false">
      <c r="A76" s="48" t="n">
        <v>46255</v>
      </c>
      <c r="B76" s="46" t="s">
        <v>159</v>
      </c>
      <c r="C76" s="50" t="n">
        <v>8</v>
      </c>
      <c r="D76" s="50" t="n">
        <v>5</v>
      </c>
      <c r="E76" s="50" t="n">
        <v>9</v>
      </c>
      <c r="F76" s="50" t="n">
        <v>6</v>
      </c>
      <c r="G76" s="49" t="n">
        <v>335286</v>
      </c>
      <c r="H76" s="50" t="n">
        <v>5</v>
      </c>
      <c r="I76" s="50" t="n">
        <v>4</v>
      </c>
      <c r="J76" s="50" t="n">
        <v>9</v>
      </c>
      <c r="K76" s="50" t="n">
        <v>3</v>
      </c>
      <c r="L76" s="50" t="n">
        <v>4</v>
      </c>
      <c r="M76" s="46" t="s">
        <v>213</v>
      </c>
      <c r="N76" s="51" t="s">
        <v>214</v>
      </c>
      <c r="O76" s="62" t="str">
        <f aca="false">IF($B76="","",TEXT($A76,"YYYY-MM-DD")&amp;"|"&amp;$B76)</f>
        <v>2026-08-21|P-003</v>
      </c>
      <c r="P76" s="3"/>
      <c r="Q76" s="3"/>
      <c r="R76" s="3"/>
      <c r="S76" s="3"/>
      <c r="T76" s="3"/>
      <c r="U76" s="3"/>
      <c r="V76" s="3"/>
      <c r="W76" s="3"/>
      <c r="X76" s="3"/>
      <c r="Y76" s="3"/>
      <c r="Z76" s="3"/>
      <c r="AA76" s="3"/>
      <c r="AB76" s="3"/>
    </row>
    <row r="77" customFormat="false" ht="15" hidden="false" customHeight="false" outlineLevel="0" collapsed="false">
      <c r="A77" s="54" t="n">
        <v>46255</v>
      </c>
      <c r="B77" s="52" t="s">
        <v>167</v>
      </c>
      <c r="C77" s="56" t="n">
        <v>7</v>
      </c>
      <c r="D77" s="56" t="n">
        <v>7</v>
      </c>
      <c r="E77" s="56" t="n">
        <v>7</v>
      </c>
      <c r="F77" s="56" t="n">
        <v>7</v>
      </c>
      <c r="G77" s="55" t="n">
        <v>393571</v>
      </c>
      <c r="H77" s="56" t="n">
        <v>1</v>
      </c>
      <c r="I77" s="56" t="n">
        <v>1</v>
      </c>
      <c r="J77" s="56" t="n">
        <v>2</v>
      </c>
      <c r="K77" s="56" t="n">
        <v>0</v>
      </c>
      <c r="L77" s="56" t="n">
        <v>0</v>
      </c>
      <c r="M77" s="52" t="s">
        <v>211</v>
      </c>
      <c r="N77" s="57" t="s">
        <v>215</v>
      </c>
      <c r="O77" s="62" t="str">
        <f aca="false">IF($B77="","",TEXT($A77,"YYYY-MM-DD")&amp;"|"&amp;$B77)</f>
        <v>2026-08-21|P-004</v>
      </c>
      <c r="P77" s="3"/>
      <c r="Q77" s="3"/>
      <c r="R77" s="3"/>
      <c r="S77" s="3"/>
      <c r="T77" s="3"/>
      <c r="U77" s="3"/>
      <c r="V77" s="3"/>
      <c r="W77" s="3"/>
      <c r="X77" s="3"/>
      <c r="Y77" s="3"/>
      <c r="Z77" s="3"/>
      <c r="AA77" s="3"/>
      <c r="AB77" s="3"/>
    </row>
    <row r="78" customFormat="false" ht="15" hidden="false" customHeight="false" outlineLevel="0" collapsed="false">
      <c r="A78" s="48" t="n">
        <v>46255</v>
      </c>
      <c r="B78" s="46" t="s">
        <v>174</v>
      </c>
      <c r="C78" s="50" t="n">
        <v>7</v>
      </c>
      <c r="D78" s="50" t="n">
        <v>6</v>
      </c>
      <c r="E78" s="50" t="n">
        <v>8</v>
      </c>
      <c r="F78" s="50" t="n">
        <v>7</v>
      </c>
      <c r="G78" s="49" t="n">
        <v>211429</v>
      </c>
      <c r="H78" s="50" t="n">
        <v>2</v>
      </c>
      <c r="I78" s="50" t="n">
        <v>1</v>
      </c>
      <c r="J78" s="50" t="n">
        <v>3</v>
      </c>
      <c r="K78" s="50" t="n">
        <v>0</v>
      </c>
      <c r="L78" s="50" t="n">
        <v>1</v>
      </c>
      <c r="M78" s="46" t="s">
        <v>211</v>
      </c>
      <c r="N78" s="51" t="s">
        <v>216</v>
      </c>
      <c r="O78" s="62" t="str">
        <f aca="false">IF($B78="","",TEXT($A78,"YYYY-MM-DD")&amp;"|"&amp;$B78)</f>
        <v>2026-08-21|P-005</v>
      </c>
      <c r="P78" s="3"/>
      <c r="Q78" s="3"/>
      <c r="R78" s="3"/>
      <c r="S78" s="3"/>
      <c r="T78" s="3"/>
      <c r="U78" s="3"/>
      <c r="V78" s="3"/>
      <c r="W78" s="3"/>
      <c r="X78" s="3"/>
      <c r="Y78" s="3"/>
      <c r="Z78" s="3"/>
      <c r="AA78" s="3"/>
      <c r="AB78" s="3"/>
    </row>
    <row r="79" customFormat="false" ht="15" hidden="false" customHeight="false" outlineLevel="0" collapsed="false">
      <c r="A79" s="54" t="n">
        <v>46258</v>
      </c>
      <c r="B79" s="52" t="s">
        <v>143</v>
      </c>
      <c r="C79" s="56" t="n">
        <v>9</v>
      </c>
      <c r="D79" s="56" t="n">
        <v>7</v>
      </c>
      <c r="E79" s="56" t="n">
        <v>11</v>
      </c>
      <c r="F79" s="56" t="n">
        <v>9</v>
      </c>
      <c r="G79" s="55" t="n">
        <v>397714</v>
      </c>
      <c r="H79" s="56" t="n">
        <v>3</v>
      </c>
      <c r="I79" s="56" t="n">
        <v>2</v>
      </c>
      <c r="J79" s="56" t="n">
        <v>3</v>
      </c>
      <c r="K79" s="56" t="n">
        <v>1</v>
      </c>
      <c r="L79" s="56" t="n">
        <v>2</v>
      </c>
      <c r="M79" s="52" t="s">
        <v>199</v>
      </c>
      <c r="N79" s="57" t="s">
        <v>200</v>
      </c>
      <c r="O79" s="62" t="str">
        <f aca="false">IF($B79="","",TEXT($A79,"YYYY-MM-DD")&amp;"|"&amp;$B79)</f>
        <v>2026-08-24|P-001</v>
      </c>
      <c r="P79" s="3"/>
      <c r="Q79" s="3"/>
      <c r="R79" s="3"/>
      <c r="S79" s="3"/>
      <c r="T79" s="3"/>
      <c r="U79" s="3"/>
      <c r="V79" s="3"/>
      <c r="W79" s="3"/>
      <c r="X79" s="3"/>
      <c r="Y79" s="3"/>
      <c r="Z79" s="3"/>
      <c r="AA79" s="3"/>
      <c r="AB79" s="3"/>
    </row>
    <row r="80" customFormat="false" ht="15" hidden="false" customHeight="false" outlineLevel="0" collapsed="false">
      <c r="A80" s="48" t="n">
        <v>46258</v>
      </c>
      <c r="B80" s="46" t="s">
        <v>151</v>
      </c>
      <c r="C80" s="50" t="n">
        <v>10</v>
      </c>
      <c r="D80" s="50" t="n">
        <v>9</v>
      </c>
      <c r="E80" s="50" t="n">
        <v>10</v>
      </c>
      <c r="F80" s="50" t="n">
        <v>9</v>
      </c>
      <c r="G80" s="49" t="n">
        <v>659048</v>
      </c>
      <c r="H80" s="50" t="n">
        <v>3</v>
      </c>
      <c r="I80" s="50" t="n">
        <v>2</v>
      </c>
      <c r="J80" s="50" t="n">
        <v>5</v>
      </c>
      <c r="K80" s="50" t="n">
        <v>0</v>
      </c>
      <c r="L80" s="50" t="n">
        <v>0</v>
      </c>
      <c r="M80" s="46" t="s">
        <v>211</v>
      </c>
      <c r="N80" s="51" t="s">
        <v>212</v>
      </c>
      <c r="O80" s="62" t="str">
        <f aca="false">IF($B80="","",TEXT($A80,"YYYY-MM-DD")&amp;"|"&amp;$B80)</f>
        <v>2026-08-24|P-002</v>
      </c>
      <c r="P80" s="3"/>
      <c r="Q80" s="3"/>
      <c r="R80" s="3"/>
      <c r="S80" s="3"/>
      <c r="T80" s="3"/>
      <c r="U80" s="3"/>
      <c r="V80" s="3"/>
      <c r="W80" s="3"/>
      <c r="X80" s="3"/>
      <c r="Y80" s="3"/>
      <c r="Z80" s="3"/>
      <c r="AA80" s="3"/>
      <c r="AB80" s="3"/>
    </row>
    <row r="81" customFormat="false" ht="15" hidden="false" customHeight="false" outlineLevel="0" collapsed="false">
      <c r="A81" s="54" t="n">
        <v>46258</v>
      </c>
      <c r="B81" s="52" t="s">
        <v>159</v>
      </c>
      <c r="C81" s="56" t="n">
        <v>8</v>
      </c>
      <c r="D81" s="56" t="n">
        <v>5</v>
      </c>
      <c r="E81" s="56" t="n">
        <v>10</v>
      </c>
      <c r="F81" s="56" t="n">
        <v>6</v>
      </c>
      <c r="G81" s="55" t="n">
        <v>337905</v>
      </c>
      <c r="H81" s="56" t="n">
        <v>5</v>
      </c>
      <c r="I81" s="56" t="n">
        <v>4</v>
      </c>
      <c r="J81" s="56" t="n">
        <v>9</v>
      </c>
      <c r="K81" s="56" t="n">
        <v>3</v>
      </c>
      <c r="L81" s="56" t="n">
        <v>4</v>
      </c>
      <c r="M81" s="52" t="s">
        <v>213</v>
      </c>
      <c r="N81" s="57" t="s">
        <v>214</v>
      </c>
      <c r="O81" s="62" t="str">
        <f aca="false">IF($B81="","",TEXT($A81,"YYYY-MM-DD")&amp;"|"&amp;$B81)</f>
        <v>2026-08-24|P-003</v>
      </c>
      <c r="P81" s="3"/>
      <c r="Q81" s="3"/>
      <c r="R81" s="3"/>
      <c r="S81" s="3"/>
      <c r="T81" s="3"/>
      <c r="U81" s="3"/>
      <c r="V81" s="3"/>
      <c r="W81" s="3"/>
      <c r="X81" s="3"/>
      <c r="Y81" s="3"/>
      <c r="Z81" s="3"/>
      <c r="AA81" s="3"/>
      <c r="AB81" s="3"/>
    </row>
    <row r="82" customFormat="false" ht="15" hidden="false" customHeight="false" outlineLevel="0" collapsed="false">
      <c r="A82" s="48" t="n">
        <v>46258</v>
      </c>
      <c r="B82" s="46" t="s">
        <v>167</v>
      </c>
      <c r="C82" s="50" t="n">
        <v>8</v>
      </c>
      <c r="D82" s="50" t="n">
        <v>8</v>
      </c>
      <c r="E82" s="50" t="n">
        <v>8</v>
      </c>
      <c r="F82" s="50" t="n">
        <v>8</v>
      </c>
      <c r="G82" s="49" t="n">
        <v>397143</v>
      </c>
      <c r="H82" s="50" t="n">
        <v>1</v>
      </c>
      <c r="I82" s="50" t="n">
        <v>1</v>
      </c>
      <c r="J82" s="50" t="n">
        <v>2</v>
      </c>
      <c r="K82" s="50" t="n">
        <v>0</v>
      </c>
      <c r="L82" s="50" t="n">
        <v>0</v>
      </c>
      <c r="M82" s="46" t="s">
        <v>211</v>
      </c>
      <c r="N82" s="51" t="s">
        <v>215</v>
      </c>
      <c r="O82" s="62" t="str">
        <f aca="false">IF($B82="","",TEXT($A82,"YYYY-MM-DD")&amp;"|"&amp;$B82)</f>
        <v>2026-08-24|P-004</v>
      </c>
      <c r="P82" s="3"/>
      <c r="Q82" s="3"/>
      <c r="R82" s="3"/>
      <c r="S82" s="3"/>
      <c r="T82" s="3"/>
      <c r="U82" s="3"/>
      <c r="V82" s="3"/>
      <c r="W82" s="3"/>
      <c r="X82" s="3"/>
      <c r="Y82" s="3"/>
      <c r="Z82" s="3"/>
      <c r="AA82" s="3"/>
      <c r="AB82" s="3"/>
    </row>
    <row r="83" customFormat="false" ht="15" hidden="false" customHeight="false" outlineLevel="0" collapsed="false">
      <c r="A83" s="54" t="n">
        <v>46258</v>
      </c>
      <c r="B83" s="52" t="s">
        <v>174</v>
      </c>
      <c r="C83" s="56" t="n">
        <v>7</v>
      </c>
      <c r="D83" s="56" t="n">
        <v>6</v>
      </c>
      <c r="E83" s="56" t="n">
        <v>9</v>
      </c>
      <c r="F83" s="56" t="n">
        <v>7</v>
      </c>
      <c r="G83" s="55" t="n">
        <v>213524</v>
      </c>
      <c r="H83" s="56" t="n">
        <v>2</v>
      </c>
      <c r="I83" s="56" t="n">
        <v>1</v>
      </c>
      <c r="J83" s="56" t="n">
        <v>3</v>
      </c>
      <c r="K83" s="56" t="n">
        <v>0</v>
      </c>
      <c r="L83" s="56" t="n">
        <v>1</v>
      </c>
      <c r="M83" s="52" t="s">
        <v>211</v>
      </c>
      <c r="N83" s="57" t="s">
        <v>216</v>
      </c>
      <c r="O83" s="62" t="str">
        <f aca="false">IF($B83="","",TEXT($A83,"YYYY-MM-DD")&amp;"|"&amp;$B83)</f>
        <v>2026-08-24|P-005</v>
      </c>
      <c r="P83" s="3"/>
      <c r="Q83" s="3"/>
      <c r="R83" s="3"/>
      <c r="S83" s="3"/>
      <c r="T83" s="3"/>
      <c r="U83" s="3"/>
      <c r="V83" s="3"/>
      <c r="W83" s="3"/>
      <c r="X83" s="3"/>
      <c r="Y83" s="3"/>
      <c r="Z83" s="3"/>
      <c r="AA83" s="3"/>
      <c r="AB83" s="3"/>
    </row>
    <row r="84" customFormat="false" ht="15" hidden="false" customHeight="false" outlineLevel="0" collapsed="false">
      <c r="A84" s="48" t="n">
        <v>46259</v>
      </c>
      <c r="B84" s="46" t="s">
        <v>143</v>
      </c>
      <c r="C84" s="50" t="n">
        <v>9</v>
      </c>
      <c r="D84" s="50" t="n">
        <v>7</v>
      </c>
      <c r="E84" s="50" t="n">
        <v>11</v>
      </c>
      <c r="F84" s="50" t="n">
        <v>9</v>
      </c>
      <c r="G84" s="49" t="n">
        <v>400571</v>
      </c>
      <c r="H84" s="50" t="n">
        <v>3</v>
      </c>
      <c r="I84" s="50" t="n">
        <v>2</v>
      </c>
      <c r="J84" s="50" t="n">
        <v>3</v>
      </c>
      <c r="K84" s="50" t="n">
        <v>1</v>
      </c>
      <c r="L84" s="50" t="n">
        <v>2</v>
      </c>
      <c r="M84" s="46" t="s">
        <v>199</v>
      </c>
      <c r="N84" s="51" t="s">
        <v>200</v>
      </c>
      <c r="O84" s="62" t="str">
        <f aca="false">IF($B84="","",TEXT($A84,"YYYY-MM-DD")&amp;"|"&amp;$B84)</f>
        <v>2026-08-25|P-001</v>
      </c>
      <c r="P84" s="3"/>
      <c r="Q84" s="3"/>
      <c r="R84" s="3"/>
      <c r="S84" s="3"/>
      <c r="T84" s="3"/>
      <c r="U84" s="3"/>
      <c r="V84" s="3"/>
      <c r="W84" s="3"/>
      <c r="X84" s="3"/>
      <c r="Y84" s="3"/>
      <c r="Z84" s="3"/>
      <c r="AA84" s="3"/>
      <c r="AB84" s="3"/>
    </row>
    <row r="85" customFormat="false" ht="15" hidden="false" customHeight="false" outlineLevel="0" collapsed="false">
      <c r="A85" s="54" t="n">
        <v>46259</v>
      </c>
      <c r="B85" s="52" t="s">
        <v>151</v>
      </c>
      <c r="C85" s="56" t="n">
        <v>10</v>
      </c>
      <c r="D85" s="56" t="n">
        <v>9</v>
      </c>
      <c r="E85" s="56" t="n">
        <v>10</v>
      </c>
      <c r="F85" s="56" t="n">
        <v>9</v>
      </c>
      <c r="G85" s="55" t="n">
        <v>665238</v>
      </c>
      <c r="H85" s="56" t="n">
        <v>3</v>
      </c>
      <c r="I85" s="56" t="n">
        <v>2</v>
      </c>
      <c r="J85" s="56" t="n">
        <v>5</v>
      </c>
      <c r="K85" s="56" t="n">
        <v>0</v>
      </c>
      <c r="L85" s="56" t="n">
        <v>0</v>
      </c>
      <c r="M85" s="52" t="s">
        <v>211</v>
      </c>
      <c r="N85" s="57" t="s">
        <v>212</v>
      </c>
      <c r="O85" s="62" t="str">
        <f aca="false">IF($B85="","",TEXT($A85,"YYYY-MM-DD")&amp;"|"&amp;$B85)</f>
        <v>2026-08-25|P-002</v>
      </c>
      <c r="P85" s="3"/>
      <c r="Q85" s="3"/>
      <c r="R85" s="3"/>
      <c r="S85" s="3"/>
      <c r="T85" s="3"/>
      <c r="U85" s="3"/>
      <c r="V85" s="3"/>
      <c r="W85" s="3"/>
      <c r="X85" s="3"/>
      <c r="Y85" s="3"/>
      <c r="Z85" s="3"/>
      <c r="AA85" s="3"/>
      <c r="AB85" s="3"/>
    </row>
    <row r="86" customFormat="false" ht="15" hidden="false" customHeight="false" outlineLevel="0" collapsed="false">
      <c r="A86" s="48" t="n">
        <v>46259</v>
      </c>
      <c r="B86" s="46" t="s">
        <v>159</v>
      </c>
      <c r="C86" s="50" t="n">
        <v>8</v>
      </c>
      <c r="D86" s="50" t="n">
        <v>5</v>
      </c>
      <c r="E86" s="50" t="n">
        <v>10</v>
      </c>
      <c r="F86" s="50" t="n">
        <v>6</v>
      </c>
      <c r="G86" s="49" t="n">
        <v>340524</v>
      </c>
      <c r="H86" s="50" t="n">
        <v>5</v>
      </c>
      <c r="I86" s="50" t="n">
        <v>4</v>
      </c>
      <c r="J86" s="50" t="n">
        <v>9</v>
      </c>
      <c r="K86" s="50" t="n">
        <v>3</v>
      </c>
      <c r="L86" s="50" t="n">
        <v>4</v>
      </c>
      <c r="M86" s="46" t="s">
        <v>213</v>
      </c>
      <c r="N86" s="51" t="s">
        <v>214</v>
      </c>
      <c r="O86" s="62" t="str">
        <f aca="false">IF($B86="","",TEXT($A86,"YYYY-MM-DD")&amp;"|"&amp;$B86)</f>
        <v>2026-08-25|P-003</v>
      </c>
      <c r="P86" s="3"/>
      <c r="Q86" s="3"/>
      <c r="R86" s="3"/>
      <c r="S86" s="3"/>
      <c r="T86" s="3"/>
      <c r="U86" s="3"/>
      <c r="V86" s="3"/>
      <c r="W86" s="3"/>
      <c r="X86" s="3"/>
      <c r="Y86" s="3"/>
      <c r="Z86" s="3"/>
      <c r="AA86" s="3"/>
      <c r="AB86" s="3"/>
    </row>
    <row r="87" customFormat="false" ht="15" hidden="false" customHeight="false" outlineLevel="0" collapsed="false">
      <c r="A87" s="54" t="n">
        <v>46259</v>
      </c>
      <c r="B87" s="52" t="s">
        <v>167</v>
      </c>
      <c r="C87" s="56" t="n">
        <v>8</v>
      </c>
      <c r="D87" s="56" t="n">
        <v>8</v>
      </c>
      <c r="E87" s="56" t="n">
        <v>8</v>
      </c>
      <c r="F87" s="56" t="n">
        <v>8</v>
      </c>
      <c r="G87" s="55" t="n">
        <v>400714</v>
      </c>
      <c r="H87" s="56" t="n">
        <v>1</v>
      </c>
      <c r="I87" s="56" t="n">
        <v>1</v>
      </c>
      <c r="J87" s="56" t="n">
        <v>2</v>
      </c>
      <c r="K87" s="56" t="n">
        <v>0</v>
      </c>
      <c r="L87" s="56" t="n">
        <v>0</v>
      </c>
      <c r="M87" s="52" t="s">
        <v>211</v>
      </c>
      <c r="N87" s="57" t="s">
        <v>215</v>
      </c>
      <c r="O87" s="62" t="str">
        <f aca="false">IF($B87="","",TEXT($A87,"YYYY-MM-DD")&amp;"|"&amp;$B87)</f>
        <v>2026-08-25|P-004</v>
      </c>
      <c r="P87" s="3"/>
      <c r="Q87" s="3"/>
      <c r="R87" s="3"/>
      <c r="S87" s="3"/>
      <c r="T87" s="3"/>
      <c r="U87" s="3"/>
      <c r="V87" s="3"/>
      <c r="W87" s="3"/>
      <c r="X87" s="3"/>
      <c r="Y87" s="3"/>
      <c r="Z87" s="3"/>
      <c r="AA87" s="3"/>
      <c r="AB87" s="3"/>
    </row>
    <row r="88" customFormat="false" ht="15" hidden="false" customHeight="false" outlineLevel="0" collapsed="false">
      <c r="A88" s="48" t="n">
        <v>46259</v>
      </c>
      <c r="B88" s="46" t="s">
        <v>174</v>
      </c>
      <c r="C88" s="50" t="n">
        <v>7</v>
      </c>
      <c r="D88" s="50" t="n">
        <v>6</v>
      </c>
      <c r="E88" s="50" t="n">
        <v>9</v>
      </c>
      <c r="F88" s="50" t="n">
        <v>7</v>
      </c>
      <c r="G88" s="49" t="n">
        <v>215619</v>
      </c>
      <c r="H88" s="50" t="n">
        <v>2</v>
      </c>
      <c r="I88" s="50" t="n">
        <v>1</v>
      </c>
      <c r="J88" s="50" t="n">
        <v>3</v>
      </c>
      <c r="K88" s="50" t="n">
        <v>0</v>
      </c>
      <c r="L88" s="50" t="n">
        <v>1</v>
      </c>
      <c r="M88" s="46" t="s">
        <v>211</v>
      </c>
      <c r="N88" s="51" t="s">
        <v>216</v>
      </c>
      <c r="O88" s="62" t="str">
        <f aca="false">IF($B88="","",TEXT($A88,"YYYY-MM-DD")&amp;"|"&amp;$B88)</f>
        <v>2026-08-25|P-005</v>
      </c>
      <c r="P88" s="3"/>
      <c r="Q88" s="3"/>
      <c r="R88" s="3"/>
      <c r="S88" s="3"/>
      <c r="T88" s="3"/>
      <c r="U88" s="3"/>
      <c r="V88" s="3"/>
      <c r="W88" s="3"/>
      <c r="X88" s="3"/>
      <c r="Y88" s="3"/>
      <c r="Z88" s="3"/>
      <c r="AA88" s="3"/>
      <c r="AB88" s="3"/>
    </row>
    <row r="89" customFormat="false" ht="15" hidden="false" customHeight="false" outlineLevel="0" collapsed="false">
      <c r="A89" s="54" t="n">
        <v>46260</v>
      </c>
      <c r="B89" s="52" t="s">
        <v>143</v>
      </c>
      <c r="C89" s="56" t="n">
        <v>9</v>
      </c>
      <c r="D89" s="56" t="n">
        <v>7</v>
      </c>
      <c r="E89" s="56" t="n">
        <v>11</v>
      </c>
      <c r="F89" s="56" t="n">
        <v>9</v>
      </c>
      <c r="G89" s="55" t="n">
        <v>403429</v>
      </c>
      <c r="H89" s="56" t="n">
        <v>3</v>
      </c>
      <c r="I89" s="56" t="n">
        <v>2</v>
      </c>
      <c r="J89" s="56" t="n">
        <v>3</v>
      </c>
      <c r="K89" s="56" t="n">
        <v>1</v>
      </c>
      <c r="L89" s="56" t="n">
        <v>2</v>
      </c>
      <c r="M89" s="52" t="s">
        <v>199</v>
      </c>
      <c r="N89" s="57" t="s">
        <v>200</v>
      </c>
      <c r="O89" s="62" t="str">
        <f aca="false">IF($B89="","",TEXT($A89,"YYYY-MM-DD")&amp;"|"&amp;$B89)</f>
        <v>2026-08-26|P-001</v>
      </c>
      <c r="P89" s="3"/>
      <c r="Q89" s="3"/>
      <c r="R89" s="3"/>
      <c r="S89" s="3"/>
      <c r="T89" s="3"/>
      <c r="U89" s="3"/>
      <c r="V89" s="3"/>
      <c r="W89" s="3"/>
      <c r="X89" s="3"/>
      <c r="Y89" s="3"/>
      <c r="Z89" s="3"/>
      <c r="AA89" s="3"/>
      <c r="AB89" s="3"/>
    </row>
    <row r="90" customFormat="false" ht="15" hidden="false" customHeight="false" outlineLevel="0" collapsed="false">
      <c r="A90" s="48" t="n">
        <v>46260</v>
      </c>
      <c r="B90" s="46" t="s">
        <v>151</v>
      </c>
      <c r="C90" s="50" t="n">
        <v>10</v>
      </c>
      <c r="D90" s="50" t="n">
        <v>9</v>
      </c>
      <c r="E90" s="50" t="n">
        <v>10</v>
      </c>
      <c r="F90" s="50" t="n">
        <v>9</v>
      </c>
      <c r="G90" s="49" t="n">
        <v>671429</v>
      </c>
      <c r="H90" s="50" t="n">
        <v>3</v>
      </c>
      <c r="I90" s="50" t="n">
        <v>2</v>
      </c>
      <c r="J90" s="50" t="n">
        <v>5</v>
      </c>
      <c r="K90" s="50" t="n">
        <v>0</v>
      </c>
      <c r="L90" s="50" t="n">
        <v>0</v>
      </c>
      <c r="M90" s="46" t="s">
        <v>211</v>
      </c>
      <c r="N90" s="51" t="s">
        <v>212</v>
      </c>
      <c r="O90" s="62" t="str">
        <f aca="false">IF($B90="","",TEXT($A90,"YYYY-MM-DD")&amp;"|"&amp;$B90)</f>
        <v>2026-08-26|P-002</v>
      </c>
      <c r="P90" s="3"/>
      <c r="Q90" s="3"/>
      <c r="R90" s="3"/>
      <c r="S90" s="3"/>
      <c r="T90" s="3"/>
      <c r="U90" s="3"/>
      <c r="V90" s="3"/>
      <c r="W90" s="3"/>
      <c r="X90" s="3"/>
      <c r="Y90" s="3"/>
      <c r="Z90" s="3"/>
      <c r="AA90" s="3"/>
      <c r="AB90" s="3"/>
    </row>
    <row r="91" customFormat="false" ht="15" hidden="false" customHeight="false" outlineLevel="0" collapsed="false">
      <c r="A91" s="54" t="n">
        <v>46260</v>
      </c>
      <c r="B91" s="52" t="s">
        <v>159</v>
      </c>
      <c r="C91" s="56" t="n">
        <v>8</v>
      </c>
      <c r="D91" s="56" t="n">
        <v>5</v>
      </c>
      <c r="E91" s="56" t="n">
        <v>10</v>
      </c>
      <c r="F91" s="56" t="n">
        <v>6</v>
      </c>
      <c r="G91" s="55" t="n">
        <v>343143</v>
      </c>
      <c r="H91" s="56" t="n">
        <v>5</v>
      </c>
      <c r="I91" s="56" t="n">
        <v>4</v>
      </c>
      <c r="J91" s="56" t="n">
        <v>9</v>
      </c>
      <c r="K91" s="56" t="n">
        <v>3</v>
      </c>
      <c r="L91" s="56" t="n">
        <v>4</v>
      </c>
      <c r="M91" s="52" t="s">
        <v>213</v>
      </c>
      <c r="N91" s="57" t="s">
        <v>214</v>
      </c>
      <c r="O91" s="62" t="str">
        <f aca="false">IF($B91="","",TEXT($A91,"YYYY-MM-DD")&amp;"|"&amp;$B91)</f>
        <v>2026-08-26|P-003</v>
      </c>
      <c r="P91" s="3"/>
      <c r="Q91" s="3"/>
      <c r="R91" s="3"/>
      <c r="S91" s="3"/>
      <c r="T91" s="3"/>
      <c r="U91" s="3"/>
      <c r="V91" s="3"/>
      <c r="W91" s="3"/>
      <c r="X91" s="3"/>
      <c r="Y91" s="3"/>
      <c r="Z91" s="3"/>
      <c r="AA91" s="3"/>
      <c r="AB91" s="3"/>
    </row>
    <row r="92" customFormat="false" ht="15" hidden="false" customHeight="false" outlineLevel="0" collapsed="false">
      <c r="A92" s="48" t="n">
        <v>46260</v>
      </c>
      <c r="B92" s="46" t="s">
        <v>167</v>
      </c>
      <c r="C92" s="50" t="n">
        <v>8</v>
      </c>
      <c r="D92" s="50" t="n">
        <v>8</v>
      </c>
      <c r="E92" s="50" t="n">
        <v>8</v>
      </c>
      <c r="F92" s="50" t="n">
        <v>8</v>
      </c>
      <c r="G92" s="49" t="n">
        <v>404286</v>
      </c>
      <c r="H92" s="50" t="n">
        <v>1</v>
      </c>
      <c r="I92" s="50" t="n">
        <v>1</v>
      </c>
      <c r="J92" s="50" t="n">
        <v>2</v>
      </c>
      <c r="K92" s="50" t="n">
        <v>0</v>
      </c>
      <c r="L92" s="50" t="n">
        <v>0</v>
      </c>
      <c r="M92" s="46" t="s">
        <v>211</v>
      </c>
      <c r="N92" s="51" t="s">
        <v>215</v>
      </c>
      <c r="O92" s="62" t="str">
        <f aca="false">IF($B92="","",TEXT($A92,"YYYY-MM-DD")&amp;"|"&amp;$B92)</f>
        <v>2026-08-26|P-004</v>
      </c>
      <c r="P92" s="3"/>
      <c r="Q92" s="3"/>
      <c r="R92" s="3"/>
      <c r="S92" s="3"/>
      <c r="T92" s="3"/>
      <c r="U92" s="3"/>
      <c r="V92" s="3"/>
      <c r="W92" s="3"/>
      <c r="X92" s="3"/>
      <c r="Y92" s="3"/>
      <c r="Z92" s="3"/>
      <c r="AA92" s="3"/>
      <c r="AB92" s="3"/>
    </row>
    <row r="93" customFormat="false" ht="15" hidden="false" customHeight="false" outlineLevel="0" collapsed="false">
      <c r="A93" s="54" t="n">
        <v>46260</v>
      </c>
      <c r="B93" s="52" t="s">
        <v>174</v>
      </c>
      <c r="C93" s="56" t="n">
        <v>7</v>
      </c>
      <c r="D93" s="56" t="n">
        <v>6</v>
      </c>
      <c r="E93" s="56" t="n">
        <v>9</v>
      </c>
      <c r="F93" s="56" t="n">
        <v>7</v>
      </c>
      <c r="G93" s="55" t="n">
        <v>217714</v>
      </c>
      <c r="H93" s="56" t="n">
        <v>2</v>
      </c>
      <c r="I93" s="56" t="n">
        <v>1</v>
      </c>
      <c r="J93" s="56" t="n">
        <v>3</v>
      </c>
      <c r="K93" s="56" t="n">
        <v>0</v>
      </c>
      <c r="L93" s="56" t="n">
        <v>1</v>
      </c>
      <c r="M93" s="52" t="s">
        <v>211</v>
      </c>
      <c r="N93" s="57" t="s">
        <v>216</v>
      </c>
      <c r="O93" s="62" t="str">
        <f aca="false">IF($B93="","",TEXT($A93,"YYYY-MM-DD")&amp;"|"&amp;$B93)</f>
        <v>2026-08-26|P-005</v>
      </c>
      <c r="P93" s="3"/>
      <c r="Q93" s="3"/>
      <c r="R93" s="3"/>
      <c r="S93" s="3"/>
      <c r="T93" s="3"/>
      <c r="U93" s="3"/>
      <c r="V93" s="3"/>
      <c r="W93" s="3"/>
      <c r="X93" s="3"/>
      <c r="Y93" s="3"/>
      <c r="Z93" s="3"/>
      <c r="AA93" s="3"/>
      <c r="AB93" s="3"/>
    </row>
    <row r="94" customFormat="false" ht="15" hidden="false" customHeight="false" outlineLevel="0" collapsed="false">
      <c r="A94" s="48" t="n">
        <v>46261</v>
      </c>
      <c r="B94" s="46" t="s">
        <v>143</v>
      </c>
      <c r="C94" s="50" t="n">
        <v>9</v>
      </c>
      <c r="D94" s="50" t="n">
        <v>7</v>
      </c>
      <c r="E94" s="50" t="n">
        <v>11</v>
      </c>
      <c r="F94" s="50" t="n">
        <v>9</v>
      </c>
      <c r="G94" s="49" t="n">
        <v>406286</v>
      </c>
      <c r="H94" s="50" t="n">
        <v>3</v>
      </c>
      <c r="I94" s="50" t="n">
        <v>2</v>
      </c>
      <c r="J94" s="50" t="n">
        <v>3</v>
      </c>
      <c r="K94" s="50" t="n">
        <v>1</v>
      </c>
      <c r="L94" s="50" t="n">
        <v>2</v>
      </c>
      <c r="M94" s="46" t="s">
        <v>199</v>
      </c>
      <c r="N94" s="51" t="s">
        <v>200</v>
      </c>
      <c r="O94" s="62" t="str">
        <f aca="false">IF($B94="","",TEXT($A94,"YYYY-MM-DD")&amp;"|"&amp;$B94)</f>
        <v>2026-08-27|P-001</v>
      </c>
      <c r="P94" s="3"/>
      <c r="Q94" s="3"/>
      <c r="R94" s="3"/>
      <c r="S94" s="3"/>
      <c r="T94" s="3"/>
      <c r="U94" s="3"/>
      <c r="V94" s="3"/>
      <c r="W94" s="3"/>
      <c r="X94" s="3"/>
      <c r="Y94" s="3"/>
      <c r="Z94" s="3"/>
      <c r="AA94" s="3"/>
      <c r="AB94" s="3"/>
    </row>
    <row r="95" customFormat="false" ht="15" hidden="false" customHeight="false" outlineLevel="0" collapsed="false">
      <c r="A95" s="54" t="n">
        <v>46261</v>
      </c>
      <c r="B95" s="52" t="s">
        <v>151</v>
      </c>
      <c r="C95" s="56" t="n">
        <v>10</v>
      </c>
      <c r="D95" s="56" t="n">
        <v>9</v>
      </c>
      <c r="E95" s="56" t="n">
        <v>10</v>
      </c>
      <c r="F95" s="56" t="n">
        <v>9</v>
      </c>
      <c r="G95" s="55" t="n">
        <v>677619</v>
      </c>
      <c r="H95" s="56" t="n">
        <v>3</v>
      </c>
      <c r="I95" s="56" t="n">
        <v>2</v>
      </c>
      <c r="J95" s="56" t="n">
        <v>5</v>
      </c>
      <c r="K95" s="56" t="n">
        <v>0</v>
      </c>
      <c r="L95" s="56" t="n">
        <v>0</v>
      </c>
      <c r="M95" s="52" t="s">
        <v>211</v>
      </c>
      <c r="N95" s="57" t="s">
        <v>212</v>
      </c>
      <c r="O95" s="62" t="str">
        <f aca="false">IF($B95="","",TEXT($A95,"YYYY-MM-DD")&amp;"|"&amp;$B95)</f>
        <v>2026-08-27|P-002</v>
      </c>
      <c r="P95" s="3"/>
      <c r="Q95" s="3"/>
      <c r="R95" s="3"/>
      <c r="S95" s="3"/>
      <c r="T95" s="3"/>
      <c r="U95" s="3"/>
      <c r="V95" s="3"/>
      <c r="W95" s="3"/>
      <c r="X95" s="3"/>
      <c r="Y95" s="3"/>
      <c r="Z95" s="3"/>
      <c r="AA95" s="3"/>
      <c r="AB95" s="3"/>
    </row>
    <row r="96" customFormat="false" ht="15" hidden="false" customHeight="false" outlineLevel="0" collapsed="false">
      <c r="A96" s="48" t="n">
        <v>46261</v>
      </c>
      <c r="B96" s="46" t="s">
        <v>159</v>
      </c>
      <c r="C96" s="50" t="n">
        <v>8</v>
      </c>
      <c r="D96" s="50" t="n">
        <v>5</v>
      </c>
      <c r="E96" s="50" t="n">
        <v>10</v>
      </c>
      <c r="F96" s="50" t="n">
        <v>6</v>
      </c>
      <c r="G96" s="49" t="n">
        <v>345762</v>
      </c>
      <c r="H96" s="50" t="n">
        <v>5</v>
      </c>
      <c r="I96" s="50" t="n">
        <v>4</v>
      </c>
      <c r="J96" s="50" t="n">
        <v>9</v>
      </c>
      <c r="K96" s="50" t="n">
        <v>3</v>
      </c>
      <c r="L96" s="50" t="n">
        <v>4</v>
      </c>
      <c r="M96" s="46" t="s">
        <v>213</v>
      </c>
      <c r="N96" s="51" t="s">
        <v>214</v>
      </c>
      <c r="O96" s="62" t="str">
        <f aca="false">IF($B96="","",TEXT($A96,"YYYY-MM-DD")&amp;"|"&amp;$B96)</f>
        <v>2026-08-27|P-003</v>
      </c>
      <c r="P96" s="3"/>
      <c r="Q96" s="3"/>
      <c r="R96" s="3"/>
      <c r="S96" s="3"/>
      <c r="T96" s="3"/>
      <c r="U96" s="3"/>
      <c r="V96" s="3"/>
      <c r="W96" s="3"/>
      <c r="X96" s="3"/>
      <c r="Y96" s="3"/>
      <c r="Z96" s="3"/>
      <c r="AA96" s="3"/>
      <c r="AB96" s="3"/>
    </row>
    <row r="97" customFormat="false" ht="15" hidden="false" customHeight="false" outlineLevel="0" collapsed="false">
      <c r="A97" s="54" t="n">
        <v>46261</v>
      </c>
      <c r="B97" s="52" t="s">
        <v>167</v>
      </c>
      <c r="C97" s="56" t="n">
        <v>8</v>
      </c>
      <c r="D97" s="56" t="n">
        <v>8</v>
      </c>
      <c r="E97" s="56" t="n">
        <v>8</v>
      </c>
      <c r="F97" s="56" t="n">
        <v>8</v>
      </c>
      <c r="G97" s="55" t="n">
        <v>407857</v>
      </c>
      <c r="H97" s="56" t="n">
        <v>1</v>
      </c>
      <c r="I97" s="56" t="n">
        <v>1</v>
      </c>
      <c r="J97" s="56" t="n">
        <v>2</v>
      </c>
      <c r="K97" s="56" t="n">
        <v>0</v>
      </c>
      <c r="L97" s="56" t="n">
        <v>0</v>
      </c>
      <c r="M97" s="52" t="s">
        <v>211</v>
      </c>
      <c r="N97" s="57" t="s">
        <v>215</v>
      </c>
      <c r="O97" s="62" t="str">
        <f aca="false">IF($B97="","",TEXT($A97,"YYYY-MM-DD")&amp;"|"&amp;$B97)</f>
        <v>2026-08-27|P-004</v>
      </c>
      <c r="P97" s="3"/>
      <c r="Q97" s="3"/>
      <c r="R97" s="3"/>
      <c r="S97" s="3"/>
      <c r="T97" s="3"/>
      <c r="U97" s="3"/>
      <c r="V97" s="3"/>
      <c r="W97" s="3"/>
      <c r="X97" s="3"/>
      <c r="Y97" s="3"/>
      <c r="Z97" s="3"/>
      <c r="AA97" s="3"/>
      <c r="AB97" s="3"/>
    </row>
    <row r="98" customFormat="false" ht="15" hidden="false" customHeight="false" outlineLevel="0" collapsed="false">
      <c r="A98" s="48" t="n">
        <v>46261</v>
      </c>
      <c r="B98" s="46" t="s">
        <v>174</v>
      </c>
      <c r="C98" s="50" t="n">
        <v>7</v>
      </c>
      <c r="D98" s="50" t="n">
        <v>6</v>
      </c>
      <c r="E98" s="50" t="n">
        <v>9</v>
      </c>
      <c r="F98" s="50" t="n">
        <v>7</v>
      </c>
      <c r="G98" s="49" t="n">
        <v>219810</v>
      </c>
      <c r="H98" s="50" t="n">
        <v>2</v>
      </c>
      <c r="I98" s="50" t="n">
        <v>1</v>
      </c>
      <c r="J98" s="50" t="n">
        <v>3</v>
      </c>
      <c r="K98" s="50" t="n">
        <v>0</v>
      </c>
      <c r="L98" s="50" t="n">
        <v>1</v>
      </c>
      <c r="M98" s="46" t="s">
        <v>211</v>
      </c>
      <c r="N98" s="51" t="s">
        <v>216</v>
      </c>
      <c r="O98" s="62" t="str">
        <f aca="false">IF($B98="","",TEXT($A98,"YYYY-MM-DD")&amp;"|"&amp;$B98)</f>
        <v>2026-08-27|P-005</v>
      </c>
      <c r="P98" s="3"/>
      <c r="Q98" s="3"/>
      <c r="R98" s="3"/>
      <c r="S98" s="3"/>
      <c r="T98" s="3"/>
      <c r="U98" s="3"/>
      <c r="V98" s="3"/>
      <c r="W98" s="3"/>
      <c r="X98" s="3"/>
      <c r="Y98" s="3"/>
      <c r="Z98" s="3"/>
      <c r="AA98" s="3"/>
      <c r="AB98" s="3"/>
    </row>
    <row r="99" customFormat="false" ht="15" hidden="false" customHeight="false" outlineLevel="0" collapsed="false">
      <c r="A99" s="54" t="n">
        <v>46262</v>
      </c>
      <c r="B99" s="52" t="s">
        <v>143</v>
      </c>
      <c r="C99" s="56" t="n">
        <v>9</v>
      </c>
      <c r="D99" s="56" t="n">
        <v>7</v>
      </c>
      <c r="E99" s="56" t="n">
        <v>11</v>
      </c>
      <c r="F99" s="56" t="n">
        <v>9</v>
      </c>
      <c r="G99" s="55" t="n">
        <v>409143</v>
      </c>
      <c r="H99" s="56" t="n">
        <v>3</v>
      </c>
      <c r="I99" s="56" t="n">
        <v>2</v>
      </c>
      <c r="J99" s="56" t="n">
        <v>3</v>
      </c>
      <c r="K99" s="56" t="n">
        <v>1</v>
      </c>
      <c r="L99" s="56" t="n">
        <v>2</v>
      </c>
      <c r="M99" s="52" t="s">
        <v>199</v>
      </c>
      <c r="N99" s="57" t="s">
        <v>200</v>
      </c>
      <c r="O99" s="62" t="str">
        <f aca="false">IF($B99="","",TEXT($A99,"YYYY-MM-DD")&amp;"|"&amp;$B99)</f>
        <v>2026-08-28|P-001</v>
      </c>
      <c r="P99" s="3"/>
      <c r="Q99" s="3"/>
      <c r="R99" s="3"/>
      <c r="S99" s="3"/>
      <c r="T99" s="3"/>
      <c r="U99" s="3"/>
      <c r="V99" s="3"/>
      <c r="W99" s="3"/>
      <c r="X99" s="3"/>
      <c r="Y99" s="3"/>
      <c r="Z99" s="3"/>
      <c r="AA99" s="3"/>
      <c r="AB99" s="3"/>
    </row>
    <row r="100" customFormat="false" ht="15" hidden="false" customHeight="false" outlineLevel="0" collapsed="false">
      <c r="A100" s="48" t="n">
        <v>46262</v>
      </c>
      <c r="B100" s="46" t="s">
        <v>151</v>
      </c>
      <c r="C100" s="50" t="n">
        <v>10</v>
      </c>
      <c r="D100" s="50" t="n">
        <v>9</v>
      </c>
      <c r="E100" s="50" t="n">
        <v>10</v>
      </c>
      <c r="F100" s="50" t="n">
        <v>9</v>
      </c>
      <c r="G100" s="49" t="n">
        <v>683810</v>
      </c>
      <c r="H100" s="50" t="n">
        <v>3</v>
      </c>
      <c r="I100" s="50" t="n">
        <v>2</v>
      </c>
      <c r="J100" s="50" t="n">
        <v>5</v>
      </c>
      <c r="K100" s="50" t="n">
        <v>0</v>
      </c>
      <c r="L100" s="50" t="n">
        <v>0</v>
      </c>
      <c r="M100" s="46" t="s">
        <v>211</v>
      </c>
      <c r="N100" s="51" t="s">
        <v>212</v>
      </c>
      <c r="O100" s="62" t="str">
        <f aca="false">IF($B100="","",TEXT($A100,"YYYY-MM-DD")&amp;"|"&amp;$B100)</f>
        <v>2026-08-28|P-002</v>
      </c>
      <c r="P100" s="3"/>
      <c r="Q100" s="3"/>
      <c r="R100" s="3"/>
      <c r="S100" s="3"/>
      <c r="T100" s="3"/>
      <c r="U100" s="3"/>
      <c r="V100" s="3"/>
      <c r="W100" s="3"/>
      <c r="X100" s="3"/>
      <c r="Y100" s="3"/>
      <c r="Z100" s="3"/>
      <c r="AA100" s="3"/>
      <c r="AB100" s="3"/>
    </row>
    <row r="101" customFormat="false" ht="15" hidden="false" customHeight="false" outlineLevel="0" collapsed="false">
      <c r="A101" s="54" t="n">
        <v>46262</v>
      </c>
      <c r="B101" s="52" t="s">
        <v>159</v>
      </c>
      <c r="C101" s="56" t="n">
        <v>8</v>
      </c>
      <c r="D101" s="56" t="n">
        <v>5</v>
      </c>
      <c r="E101" s="56" t="n">
        <v>10</v>
      </c>
      <c r="F101" s="56" t="n">
        <v>6</v>
      </c>
      <c r="G101" s="55" t="n">
        <v>348381</v>
      </c>
      <c r="H101" s="56" t="n">
        <v>5</v>
      </c>
      <c r="I101" s="56" t="n">
        <v>4</v>
      </c>
      <c r="J101" s="56" t="n">
        <v>9</v>
      </c>
      <c r="K101" s="56" t="n">
        <v>3</v>
      </c>
      <c r="L101" s="56" t="n">
        <v>4</v>
      </c>
      <c r="M101" s="52" t="s">
        <v>213</v>
      </c>
      <c r="N101" s="57" t="s">
        <v>214</v>
      </c>
      <c r="O101" s="62" t="str">
        <f aca="false">IF($B101="","",TEXT($A101,"YYYY-MM-DD")&amp;"|"&amp;$B101)</f>
        <v>2026-08-28|P-003</v>
      </c>
      <c r="P101" s="3"/>
      <c r="Q101" s="3"/>
      <c r="R101" s="3"/>
      <c r="S101" s="3"/>
      <c r="T101" s="3"/>
      <c r="U101" s="3"/>
      <c r="V101" s="3"/>
      <c r="W101" s="3"/>
      <c r="X101" s="3"/>
      <c r="Y101" s="3"/>
      <c r="Z101" s="3"/>
      <c r="AA101" s="3"/>
      <c r="AB101" s="3"/>
    </row>
    <row r="102" customFormat="false" ht="15" hidden="false" customHeight="false" outlineLevel="0" collapsed="false">
      <c r="A102" s="48" t="n">
        <v>46262</v>
      </c>
      <c r="B102" s="46" t="s">
        <v>167</v>
      </c>
      <c r="C102" s="50" t="n">
        <v>8</v>
      </c>
      <c r="D102" s="50" t="n">
        <v>8</v>
      </c>
      <c r="E102" s="50" t="n">
        <v>8</v>
      </c>
      <c r="F102" s="50" t="n">
        <v>8</v>
      </c>
      <c r="G102" s="49" t="n">
        <v>411429</v>
      </c>
      <c r="H102" s="50" t="n">
        <v>1</v>
      </c>
      <c r="I102" s="50" t="n">
        <v>1</v>
      </c>
      <c r="J102" s="50" t="n">
        <v>2</v>
      </c>
      <c r="K102" s="50" t="n">
        <v>0</v>
      </c>
      <c r="L102" s="50" t="n">
        <v>0</v>
      </c>
      <c r="M102" s="46" t="s">
        <v>211</v>
      </c>
      <c r="N102" s="51" t="s">
        <v>215</v>
      </c>
      <c r="O102" s="62" t="str">
        <f aca="false">IF($B102="","",TEXT($A102,"YYYY-MM-DD")&amp;"|"&amp;$B102)</f>
        <v>2026-08-28|P-004</v>
      </c>
      <c r="P102" s="3"/>
      <c r="Q102" s="3"/>
      <c r="R102" s="3"/>
      <c r="S102" s="3"/>
      <c r="T102" s="3"/>
      <c r="U102" s="3"/>
      <c r="V102" s="3"/>
      <c r="W102" s="3"/>
      <c r="X102" s="3"/>
      <c r="Y102" s="3"/>
      <c r="Z102" s="3"/>
      <c r="AA102" s="3"/>
      <c r="AB102" s="3"/>
    </row>
    <row r="103" customFormat="false" ht="15" hidden="false" customHeight="false" outlineLevel="0" collapsed="false">
      <c r="A103" s="54" t="n">
        <v>46262</v>
      </c>
      <c r="B103" s="52" t="s">
        <v>174</v>
      </c>
      <c r="C103" s="56" t="n">
        <v>7</v>
      </c>
      <c r="D103" s="56" t="n">
        <v>6</v>
      </c>
      <c r="E103" s="56" t="n">
        <v>9</v>
      </c>
      <c r="F103" s="56" t="n">
        <v>7</v>
      </c>
      <c r="G103" s="55" t="n">
        <v>221905</v>
      </c>
      <c r="H103" s="56" t="n">
        <v>2</v>
      </c>
      <c r="I103" s="56" t="n">
        <v>1</v>
      </c>
      <c r="J103" s="56" t="n">
        <v>3</v>
      </c>
      <c r="K103" s="56" t="n">
        <v>0</v>
      </c>
      <c r="L103" s="56" t="n">
        <v>1</v>
      </c>
      <c r="M103" s="52" t="s">
        <v>211</v>
      </c>
      <c r="N103" s="57" t="s">
        <v>216</v>
      </c>
      <c r="O103" s="62" t="str">
        <f aca="false">IF($B103="","",TEXT($A103,"YYYY-MM-DD")&amp;"|"&amp;$B103)</f>
        <v>2026-08-28|P-005</v>
      </c>
      <c r="P103" s="3"/>
      <c r="Q103" s="3"/>
      <c r="R103" s="3"/>
      <c r="S103" s="3"/>
      <c r="T103" s="3"/>
      <c r="U103" s="3"/>
      <c r="V103" s="3"/>
      <c r="W103" s="3"/>
      <c r="X103" s="3"/>
      <c r="Y103" s="3"/>
      <c r="Z103" s="3"/>
      <c r="AA103" s="3"/>
      <c r="AB103" s="3"/>
    </row>
    <row r="104" customFormat="false" ht="15" hidden="false" customHeight="false" outlineLevel="0" collapsed="false">
      <c r="A104" s="48" t="n">
        <v>46265</v>
      </c>
      <c r="B104" s="46" t="s">
        <v>143</v>
      </c>
      <c r="C104" s="50" t="n">
        <v>9</v>
      </c>
      <c r="D104" s="50" t="n">
        <v>7</v>
      </c>
      <c r="E104" s="50" t="n">
        <v>11</v>
      </c>
      <c r="F104" s="50" t="n">
        <v>9</v>
      </c>
      <c r="G104" s="49" t="n">
        <v>412000</v>
      </c>
      <c r="H104" s="50" t="n">
        <v>3</v>
      </c>
      <c r="I104" s="50" t="n">
        <v>2</v>
      </c>
      <c r="J104" s="50" t="n">
        <v>3</v>
      </c>
      <c r="K104" s="50" t="n">
        <v>1</v>
      </c>
      <c r="L104" s="50" t="n">
        <v>2</v>
      </c>
      <c r="M104" s="46" t="s">
        <v>199</v>
      </c>
      <c r="N104" s="51" t="s">
        <v>217</v>
      </c>
      <c r="O104" s="62" t="str">
        <f aca="false">IF($B104="","",TEXT($A104,"YYYY-MM-DD")&amp;"|"&amp;$B104)</f>
        <v>2026-08-31|P-001</v>
      </c>
      <c r="P104" s="3"/>
      <c r="Q104" s="3"/>
      <c r="R104" s="3"/>
      <c r="S104" s="3"/>
      <c r="T104" s="3"/>
      <c r="U104" s="3"/>
      <c r="V104" s="3"/>
      <c r="W104" s="3"/>
      <c r="X104" s="3"/>
      <c r="Y104" s="3"/>
      <c r="Z104" s="3"/>
      <c r="AA104" s="3"/>
      <c r="AB104" s="3"/>
    </row>
    <row r="105" customFormat="false" ht="15" hidden="false" customHeight="false" outlineLevel="0" collapsed="false">
      <c r="A105" s="54" t="n">
        <v>46265</v>
      </c>
      <c r="B105" s="52" t="s">
        <v>151</v>
      </c>
      <c r="C105" s="56" t="n">
        <v>10</v>
      </c>
      <c r="D105" s="56" t="n">
        <v>9</v>
      </c>
      <c r="E105" s="56" t="n">
        <v>10</v>
      </c>
      <c r="F105" s="56" t="n">
        <v>9</v>
      </c>
      <c r="G105" s="55" t="n">
        <v>690000</v>
      </c>
      <c r="H105" s="56" t="n">
        <v>3</v>
      </c>
      <c r="I105" s="56" t="n">
        <v>2</v>
      </c>
      <c r="J105" s="56" t="n">
        <v>5</v>
      </c>
      <c r="K105" s="56" t="n">
        <v>0</v>
      </c>
      <c r="L105" s="56" t="n">
        <v>0</v>
      </c>
      <c r="M105" s="52" t="s">
        <v>211</v>
      </c>
      <c r="N105" s="57" t="s">
        <v>218</v>
      </c>
      <c r="O105" s="62" t="str">
        <f aca="false">IF($B105="","",TEXT($A105,"YYYY-MM-DD")&amp;"|"&amp;$B105)</f>
        <v>2026-08-31|P-002</v>
      </c>
      <c r="P105" s="3"/>
      <c r="Q105" s="3"/>
      <c r="R105" s="3"/>
      <c r="S105" s="3"/>
      <c r="T105" s="3"/>
      <c r="U105" s="3"/>
      <c r="V105" s="3"/>
      <c r="W105" s="3"/>
      <c r="X105" s="3"/>
      <c r="Y105" s="3"/>
      <c r="Z105" s="3"/>
      <c r="AA105" s="3"/>
      <c r="AB105" s="3"/>
    </row>
    <row r="106" customFormat="false" ht="15" hidden="false" customHeight="false" outlineLevel="0" collapsed="false">
      <c r="A106" s="48" t="n">
        <v>46265</v>
      </c>
      <c r="B106" s="46" t="s">
        <v>159</v>
      </c>
      <c r="C106" s="50" t="n">
        <v>8</v>
      </c>
      <c r="D106" s="50" t="n">
        <v>5</v>
      </c>
      <c r="E106" s="50" t="n">
        <v>10</v>
      </c>
      <c r="F106" s="50" t="n">
        <v>6</v>
      </c>
      <c r="G106" s="49" t="n">
        <v>351000</v>
      </c>
      <c r="H106" s="50" t="n">
        <v>5</v>
      </c>
      <c r="I106" s="50" t="n">
        <v>4</v>
      </c>
      <c r="J106" s="50" t="n">
        <v>9</v>
      </c>
      <c r="K106" s="50" t="n">
        <v>3</v>
      </c>
      <c r="L106" s="50" t="n">
        <v>4</v>
      </c>
      <c r="M106" s="46" t="s">
        <v>213</v>
      </c>
      <c r="N106" s="51" t="s">
        <v>219</v>
      </c>
      <c r="O106" s="62" t="str">
        <f aca="false">IF($B106="","",TEXT($A106,"YYYY-MM-DD")&amp;"|"&amp;$B106)</f>
        <v>2026-08-31|P-003</v>
      </c>
      <c r="P106" s="3"/>
      <c r="Q106" s="3"/>
      <c r="R106" s="3"/>
      <c r="S106" s="3"/>
      <c r="T106" s="3"/>
      <c r="U106" s="3"/>
      <c r="V106" s="3"/>
      <c r="W106" s="3"/>
      <c r="X106" s="3"/>
      <c r="Y106" s="3"/>
      <c r="Z106" s="3"/>
      <c r="AA106" s="3"/>
      <c r="AB106" s="3"/>
    </row>
    <row r="107" customFormat="false" ht="15" hidden="false" customHeight="false" outlineLevel="0" collapsed="false">
      <c r="A107" s="54" t="n">
        <v>46265</v>
      </c>
      <c r="B107" s="52" t="s">
        <v>167</v>
      </c>
      <c r="C107" s="56" t="n">
        <v>8</v>
      </c>
      <c r="D107" s="56" t="n">
        <v>8</v>
      </c>
      <c r="E107" s="56" t="n">
        <v>8</v>
      </c>
      <c r="F107" s="56" t="n">
        <v>8</v>
      </c>
      <c r="G107" s="55" t="n">
        <v>415000</v>
      </c>
      <c r="H107" s="56" t="n">
        <v>1</v>
      </c>
      <c r="I107" s="56" t="n">
        <v>1</v>
      </c>
      <c r="J107" s="56" t="n">
        <v>2</v>
      </c>
      <c r="K107" s="56" t="n">
        <v>0</v>
      </c>
      <c r="L107" s="56" t="n">
        <v>0</v>
      </c>
      <c r="M107" s="52" t="s">
        <v>211</v>
      </c>
      <c r="N107" s="57" t="s">
        <v>220</v>
      </c>
      <c r="O107" s="62" t="str">
        <f aca="false">IF($B107="","",TEXT($A107,"YYYY-MM-DD")&amp;"|"&amp;$B107)</f>
        <v>2026-08-31|P-004</v>
      </c>
      <c r="P107" s="3"/>
      <c r="Q107" s="3"/>
      <c r="R107" s="3"/>
      <c r="S107" s="3"/>
      <c r="T107" s="3"/>
      <c r="U107" s="3"/>
      <c r="V107" s="3"/>
      <c r="W107" s="3"/>
      <c r="X107" s="3"/>
      <c r="Y107" s="3"/>
      <c r="Z107" s="3"/>
      <c r="AA107" s="3"/>
      <c r="AB107" s="3"/>
    </row>
    <row r="108" customFormat="false" ht="15" hidden="false" customHeight="false" outlineLevel="0" collapsed="false">
      <c r="A108" s="48" t="n">
        <v>46265</v>
      </c>
      <c r="B108" s="46" t="s">
        <v>174</v>
      </c>
      <c r="C108" s="50" t="n">
        <v>7</v>
      </c>
      <c r="D108" s="50" t="n">
        <v>6</v>
      </c>
      <c r="E108" s="50" t="n">
        <v>9</v>
      </c>
      <c r="F108" s="50" t="n">
        <v>7</v>
      </c>
      <c r="G108" s="49" t="n">
        <v>224000</v>
      </c>
      <c r="H108" s="50" t="n">
        <v>2</v>
      </c>
      <c r="I108" s="50" t="n">
        <v>1</v>
      </c>
      <c r="J108" s="50" t="n">
        <v>3</v>
      </c>
      <c r="K108" s="50" t="n">
        <v>0</v>
      </c>
      <c r="L108" s="50" t="n">
        <v>1</v>
      </c>
      <c r="M108" s="46" t="s">
        <v>211</v>
      </c>
      <c r="N108" s="51" t="s">
        <v>221</v>
      </c>
      <c r="O108" s="62" t="str">
        <f aca="false">IF($B108="","",TEXT($A108,"YYYY-MM-DD")&amp;"|"&amp;$B108)</f>
        <v>2026-08-31|P-005</v>
      </c>
      <c r="P108" s="3"/>
      <c r="Q108" s="3"/>
      <c r="R108" s="3"/>
      <c r="S108" s="3"/>
      <c r="T108" s="3"/>
      <c r="U108" s="3"/>
      <c r="V108" s="3"/>
      <c r="W108" s="3"/>
      <c r="X108" s="3"/>
      <c r="Y108" s="3"/>
      <c r="Z108" s="3"/>
      <c r="AA108" s="3"/>
      <c r="AB108" s="3"/>
    </row>
    <row r="109" customFormat="false" ht="15" hidden="false" customHeight="false" outlineLevel="0" collapsed="false">
      <c r="A109" s="54"/>
      <c r="B109" s="52"/>
      <c r="C109" s="56"/>
      <c r="D109" s="56"/>
      <c r="E109" s="56"/>
      <c r="F109" s="56"/>
      <c r="G109" s="55"/>
      <c r="H109" s="56"/>
      <c r="I109" s="56"/>
      <c r="J109" s="56"/>
      <c r="K109" s="56"/>
      <c r="L109" s="56"/>
      <c r="M109" s="52"/>
      <c r="N109" s="53"/>
      <c r="O109" s="62" t="str">
        <f aca="false">IF($B109="","",TEXT($A109,"YYYY-MM-DD")&amp;"|"&amp;$B109)</f>
        <v/>
      </c>
      <c r="P109" s="3"/>
      <c r="Q109" s="3"/>
      <c r="R109" s="3"/>
      <c r="S109" s="3"/>
      <c r="T109" s="3"/>
      <c r="U109" s="3"/>
      <c r="V109" s="3"/>
      <c r="W109" s="3"/>
      <c r="X109" s="3"/>
      <c r="Y109" s="3"/>
      <c r="Z109" s="3"/>
      <c r="AA109" s="3"/>
      <c r="AB109" s="3"/>
    </row>
    <row r="110" customFormat="false" ht="15" hidden="false" customHeight="false" outlineLevel="0" collapsed="false">
      <c r="A110" s="48"/>
      <c r="B110" s="46"/>
      <c r="C110" s="50"/>
      <c r="D110" s="50"/>
      <c r="E110" s="50"/>
      <c r="F110" s="50"/>
      <c r="G110" s="49"/>
      <c r="H110" s="50"/>
      <c r="I110" s="50"/>
      <c r="J110" s="50"/>
      <c r="K110" s="50"/>
      <c r="L110" s="50"/>
      <c r="M110" s="46"/>
      <c r="N110" s="47"/>
      <c r="O110" s="62" t="str">
        <f aca="false">IF($B110="","",TEXT($A110,"YYYY-MM-DD")&amp;"|"&amp;$B110)</f>
        <v/>
      </c>
      <c r="P110" s="3"/>
      <c r="Q110" s="3"/>
      <c r="R110" s="3"/>
      <c r="S110" s="3"/>
      <c r="T110" s="3"/>
      <c r="U110" s="3"/>
      <c r="V110" s="3"/>
      <c r="W110" s="3"/>
      <c r="X110" s="3"/>
      <c r="Y110" s="3"/>
      <c r="Z110" s="3"/>
      <c r="AA110" s="3"/>
      <c r="AB110" s="3"/>
    </row>
    <row r="111" customFormat="false" ht="15" hidden="false" customHeight="false" outlineLevel="0" collapsed="false">
      <c r="A111" s="54"/>
      <c r="B111" s="52"/>
      <c r="C111" s="56"/>
      <c r="D111" s="56"/>
      <c r="E111" s="56"/>
      <c r="F111" s="56"/>
      <c r="G111" s="55"/>
      <c r="H111" s="56"/>
      <c r="I111" s="56"/>
      <c r="J111" s="56"/>
      <c r="K111" s="56"/>
      <c r="L111" s="56"/>
      <c r="M111" s="52"/>
      <c r="N111" s="53"/>
      <c r="O111" s="62" t="str">
        <f aca="false">IF($B111="","",TEXT($A111,"YYYY-MM-DD")&amp;"|"&amp;$B111)</f>
        <v/>
      </c>
      <c r="P111" s="3"/>
      <c r="Q111" s="3"/>
      <c r="R111" s="3"/>
      <c r="S111" s="3"/>
      <c r="T111" s="3"/>
      <c r="U111" s="3"/>
      <c r="V111" s="3"/>
      <c r="W111" s="3"/>
      <c r="X111" s="3"/>
      <c r="Y111" s="3"/>
      <c r="Z111" s="3"/>
      <c r="AA111" s="3"/>
      <c r="AB111" s="3"/>
    </row>
    <row r="112" customFormat="false" ht="15" hidden="false" customHeight="false" outlineLevel="0" collapsed="false">
      <c r="A112" s="48"/>
      <c r="B112" s="46"/>
      <c r="C112" s="50"/>
      <c r="D112" s="50"/>
      <c r="E112" s="50"/>
      <c r="F112" s="50"/>
      <c r="G112" s="49"/>
      <c r="H112" s="50"/>
      <c r="I112" s="50"/>
      <c r="J112" s="50"/>
      <c r="K112" s="50"/>
      <c r="L112" s="50"/>
      <c r="M112" s="46"/>
      <c r="N112" s="47"/>
      <c r="O112" s="62" t="str">
        <f aca="false">IF($B112="","",TEXT($A112,"YYYY-MM-DD")&amp;"|"&amp;$B112)</f>
        <v/>
      </c>
      <c r="P112" s="3"/>
      <c r="Q112" s="3"/>
      <c r="R112" s="3"/>
      <c r="S112" s="3"/>
      <c r="T112" s="3"/>
      <c r="U112" s="3"/>
      <c r="V112" s="3"/>
      <c r="W112" s="3"/>
      <c r="X112" s="3"/>
      <c r="Y112" s="3"/>
      <c r="Z112" s="3"/>
      <c r="AA112" s="3"/>
      <c r="AB112" s="3"/>
    </row>
    <row r="113" customFormat="false" ht="15" hidden="false" customHeight="false" outlineLevel="0" collapsed="false">
      <c r="A113" s="54"/>
      <c r="B113" s="52"/>
      <c r="C113" s="56"/>
      <c r="D113" s="56"/>
      <c r="E113" s="56"/>
      <c r="F113" s="56"/>
      <c r="G113" s="55"/>
      <c r="H113" s="56"/>
      <c r="I113" s="56"/>
      <c r="J113" s="56"/>
      <c r="K113" s="56"/>
      <c r="L113" s="56"/>
      <c r="M113" s="52"/>
      <c r="N113" s="53"/>
      <c r="O113" s="62" t="str">
        <f aca="false">IF($B113="","",TEXT($A113,"YYYY-MM-DD")&amp;"|"&amp;$B113)</f>
        <v/>
      </c>
      <c r="P113" s="3"/>
      <c r="Q113" s="3"/>
      <c r="R113" s="3"/>
      <c r="S113" s="3"/>
      <c r="T113" s="3"/>
      <c r="U113" s="3"/>
      <c r="V113" s="3"/>
      <c r="W113" s="3"/>
      <c r="X113" s="3"/>
      <c r="Y113" s="3"/>
      <c r="Z113" s="3"/>
      <c r="AA113" s="3"/>
      <c r="AB113" s="3"/>
    </row>
    <row r="114" customFormat="false" ht="15" hidden="false" customHeight="false" outlineLevel="0" collapsed="false">
      <c r="A114" s="48"/>
      <c r="B114" s="46"/>
      <c r="C114" s="50"/>
      <c r="D114" s="50"/>
      <c r="E114" s="50"/>
      <c r="F114" s="50"/>
      <c r="G114" s="49"/>
      <c r="H114" s="50"/>
      <c r="I114" s="50"/>
      <c r="J114" s="50"/>
      <c r="K114" s="50"/>
      <c r="L114" s="50"/>
      <c r="M114" s="46"/>
      <c r="N114" s="47"/>
      <c r="O114" s="62" t="str">
        <f aca="false">IF($B114="","",TEXT($A114,"YYYY-MM-DD")&amp;"|"&amp;$B114)</f>
        <v/>
      </c>
      <c r="P114" s="3"/>
      <c r="Q114" s="3"/>
      <c r="R114" s="3"/>
      <c r="S114" s="3"/>
      <c r="T114" s="3"/>
      <c r="U114" s="3"/>
      <c r="V114" s="3"/>
      <c r="W114" s="3"/>
      <c r="X114" s="3"/>
      <c r="Y114" s="3"/>
      <c r="Z114" s="3"/>
      <c r="AA114" s="3"/>
      <c r="AB114" s="3"/>
    </row>
    <row r="115" customFormat="false" ht="15" hidden="false" customHeight="false" outlineLevel="0" collapsed="false">
      <c r="A115" s="54"/>
      <c r="B115" s="52"/>
      <c r="C115" s="56"/>
      <c r="D115" s="56"/>
      <c r="E115" s="56"/>
      <c r="F115" s="56"/>
      <c r="G115" s="55"/>
      <c r="H115" s="56"/>
      <c r="I115" s="56"/>
      <c r="J115" s="56"/>
      <c r="K115" s="56"/>
      <c r="L115" s="56"/>
      <c r="M115" s="52"/>
      <c r="N115" s="53"/>
      <c r="O115" s="62" t="str">
        <f aca="false">IF($B115="","",TEXT($A115,"YYYY-MM-DD")&amp;"|"&amp;$B115)</f>
        <v/>
      </c>
      <c r="P115" s="3"/>
      <c r="Q115" s="3"/>
      <c r="R115" s="3"/>
      <c r="S115" s="3"/>
      <c r="T115" s="3"/>
      <c r="U115" s="3"/>
      <c r="V115" s="3"/>
      <c r="W115" s="3"/>
      <c r="X115" s="3"/>
      <c r="Y115" s="3"/>
      <c r="Z115" s="3"/>
      <c r="AA115" s="3"/>
      <c r="AB115" s="3"/>
    </row>
    <row r="116" customFormat="false" ht="15" hidden="false" customHeight="false" outlineLevel="0" collapsed="false">
      <c r="A116" s="48"/>
      <c r="B116" s="46"/>
      <c r="C116" s="50"/>
      <c r="D116" s="50"/>
      <c r="E116" s="50"/>
      <c r="F116" s="50"/>
      <c r="G116" s="49"/>
      <c r="H116" s="50"/>
      <c r="I116" s="50"/>
      <c r="J116" s="50"/>
      <c r="K116" s="50"/>
      <c r="L116" s="50"/>
      <c r="M116" s="46"/>
      <c r="N116" s="47"/>
      <c r="O116" s="62" t="str">
        <f aca="false">IF($B116="","",TEXT($A116,"YYYY-MM-DD")&amp;"|"&amp;$B116)</f>
        <v/>
      </c>
      <c r="P116" s="3"/>
      <c r="Q116" s="3"/>
      <c r="R116" s="3"/>
      <c r="S116" s="3"/>
      <c r="T116" s="3"/>
      <c r="U116" s="3"/>
      <c r="V116" s="3"/>
      <c r="W116" s="3"/>
      <c r="X116" s="3"/>
      <c r="Y116" s="3"/>
      <c r="Z116" s="3"/>
      <c r="AA116" s="3"/>
      <c r="AB116" s="3"/>
    </row>
    <row r="117" customFormat="false" ht="15" hidden="false" customHeight="false" outlineLevel="0" collapsed="false">
      <c r="A117" s="54"/>
      <c r="B117" s="52"/>
      <c r="C117" s="56"/>
      <c r="D117" s="56"/>
      <c r="E117" s="56"/>
      <c r="F117" s="56"/>
      <c r="G117" s="55"/>
      <c r="H117" s="56"/>
      <c r="I117" s="56"/>
      <c r="J117" s="56"/>
      <c r="K117" s="56"/>
      <c r="L117" s="56"/>
      <c r="M117" s="52"/>
      <c r="N117" s="53"/>
      <c r="O117" s="62" t="str">
        <f aca="false">IF($B117="","",TEXT($A117,"YYYY-MM-DD")&amp;"|"&amp;$B117)</f>
        <v/>
      </c>
      <c r="P117" s="3"/>
      <c r="Q117" s="3"/>
      <c r="R117" s="3"/>
      <c r="S117" s="3"/>
      <c r="T117" s="3"/>
      <c r="U117" s="3"/>
      <c r="V117" s="3"/>
      <c r="W117" s="3"/>
      <c r="X117" s="3"/>
      <c r="Y117" s="3"/>
      <c r="Z117" s="3"/>
      <c r="AA117" s="3"/>
      <c r="AB117" s="3"/>
    </row>
    <row r="118" customFormat="false" ht="15" hidden="false" customHeight="false" outlineLevel="0" collapsed="false">
      <c r="A118" s="48"/>
      <c r="B118" s="46"/>
      <c r="C118" s="50"/>
      <c r="D118" s="50"/>
      <c r="E118" s="50"/>
      <c r="F118" s="50"/>
      <c r="G118" s="49"/>
      <c r="H118" s="50"/>
      <c r="I118" s="50"/>
      <c r="J118" s="50"/>
      <c r="K118" s="50"/>
      <c r="L118" s="50"/>
      <c r="M118" s="46"/>
      <c r="N118" s="47"/>
      <c r="O118" s="62" t="str">
        <f aca="false">IF($B118="","",TEXT($A118,"YYYY-MM-DD")&amp;"|"&amp;$B118)</f>
        <v/>
      </c>
      <c r="P118" s="3"/>
      <c r="Q118" s="3"/>
      <c r="R118" s="3"/>
      <c r="S118" s="3"/>
      <c r="T118" s="3"/>
      <c r="U118" s="3"/>
      <c r="V118" s="3"/>
      <c r="W118" s="3"/>
      <c r="X118" s="3"/>
      <c r="Y118" s="3"/>
      <c r="Z118" s="3"/>
      <c r="AA118" s="3"/>
      <c r="AB118" s="3"/>
    </row>
    <row r="119" customFormat="false" ht="15" hidden="false" customHeight="false" outlineLevel="0" collapsed="false">
      <c r="A119" s="54"/>
      <c r="B119" s="52"/>
      <c r="C119" s="56"/>
      <c r="D119" s="56"/>
      <c r="E119" s="56"/>
      <c r="F119" s="56"/>
      <c r="G119" s="55"/>
      <c r="H119" s="56"/>
      <c r="I119" s="56"/>
      <c r="J119" s="56"/>
      <c r="K119" s="56"/>
      <c r="L119" s="56"/>
      <c r="M119" s="52"/>
      <c r="N119" s="53"/>
      <c r="O119" s="62" t="str">
        <f aca="false">IF($B119="","",TEXT($A119,"YYYY-MM-DD")&amp;"|"&amp;$B119)</f>
        <v/>
      </c>
      <c r="P119" s="3"/>
      <c r="Q119" s="3"/>
      <c r="R119" s="3"/>
      <c r="S119" s="3"/>
      <c r="T119" s="3"/>
      <c r="U119" s="3"/>
      <c r="V119" s="3"/>
      <c r="W119" s="3"/>
      <c r="X119" s="3"/>
      <c r="Y119" s="3"/>
      <c r="Z119" s="3"/>
      <c r="AA119" s="3"/>
      <c r="AB119" s="3"/>
    </row>
    <row r="120" customFormat="false" ht="15" hidden="false" customHeight="false" outlineLevel="0" collapsed="false">
      <c r="A120" s="48"/>
      <c r="B120" s="46"/>
      <c r="C120" s="50"/>
      <c r="D120" s="50"/>
      <c r="E120" s="50"/>
      <c r="F120" s="50"/>
      <c r="G120" s="49"/>
      <c r="H120" s="50"/>
      <c r="I120" s="50"/>
      <c r="J120" s="50"/>
      <c r="K120" s="50"/>
      <c r="L120" s="50"/>
      <c r="M120" s="46"/>
      <c r="N120" s="47"/>
      <c r="O120" s="62" t="str">
        <f aca="false">IF($B120="","",TEXT($A120,"YYYY-MM-DD")&amp;"|"&amp;$B120)</f>
        <v/>
      </c>
      <c r="P120" s="3"/>
      <c r="Q120" s="3"/>
      <c r="R120" s="3"/>
      <c r="S120" s="3"/>
      <c r="T120" s="3"/>
      <c r="U120" s="3"/>
      <c r="V120" s="3"/>
      <c r="W120" s="3"/>
      <c r="X120" s="3"/>
      <c r="Y120" s="3"/>
      <c r="Z120" s="3"/>
      <c r="AA120" s="3"/>
      <c r="AB120" s="3"/>
    </row>
    <row r="121" customFormat="false" ht="15" hidden="false" customHeight="false" outlineLevel="0" collapsed="false">
      <c r="A121" s="54"/>
      <c r="B121" s="52"/>
      <c r="C121" s="56"/>
      <c r="D121" s="56"/>
      <c r="E121" s="56"/>
      <c r="F121" s="56"/>
      <c r="G121" s="55"/>
      <c r="H121" s="56"/>
      <c r="I121" s="56"/>
      <c r="J121" s="56"/>
      <c r="K121" s="56"/>
      <c r="L121" s="56"/>
      <c r="M121" s="52"/>
      <c r="N121" s="53"/>
      <c r="O121" s="62" t="str">
        <f aca="false">IF($B121="","",TEXT($A121,"YYYY-MM-DD")&amp;"|"&amp;$B121)</f>
        <v/>
      </c>
      <c r="P121" s="3"/>
      <c r="Q121" s="3"/>
      <c r="R121" s="3"/>
      <c r="S121" s="3"/>
      <c r="T121" s="3"/>
      <c r="U121" s="3"/>
      <c r="V121" s="3"/>
      <c r="W121" s="3"/>
      <c r="X121" s="3"/>
      <c r="Y121" s="3"/>
      <c r="Z121" s="3"/>
      <c r="AA121" s="3"/>
      <c r="AB121" s="3"/>
    </row>
    <row r="122" customFormat="false" ht="15" hidden="false" customHeight="false" outlineLevel="0" collapsed="false">
      <c r="A122" s="48"/>
      <c r="B122" s="46"/>
      <c r="C122" s="50"/>
      <c r="D122" s="50"/>
      <c r="E122" s="50"/>
      <c r="F122" s="50"/>
      <c r="G122" s="49"/>
      <c r="H122" s="50"/>
      <c r="I122" s="50"/>
      <c r="J122" s="50"/>
      <c r="K122" s="50"/>
      <c r="L122" s="50"/>
      <c r="M122" s="46"/>
      <c r="N122" s="47"/>
      <c r="O122" s="62" t="str">
        <f aca="false">IF($B122="","",TEXT($A122,"YYYY-MM-DD")&amp;"|"&amp;$B122)</f>
        <v/>
      </c>
      <c r="P122" s="3"/>
      <c r="Q122" s="3"/>
      <c r="R122" s="3"/>
      <c r="S122" s="3"/>
      <c r="T122" s="3"/>
      <c r="U122" s="3"/>
      <c r="V122" s="3"/>
      <c r="W122" s="3"/>
      <c r="X122" s="3"/>
      <c r="Y122" s="3"/>
      <c r="Z122" s="3"/>
      <c r="AA122" s="3"/>
      <c r="AB122" s="3"/>
    </row>
    <row r="123" customFormat="false" ht="15" hidden="false" customHeight="false" outlineLevel="0" collapsed="false">
      <c r="A123" s="54"/>
      <c r="B123" s="52"/>
      <c r="C123" s="56"/>
      <c r="D123" s="56"/>
      <c r="E123" s="56"/>
      <c r="F123" s="56"/>
      <c r="G123" s="55"/>
      <c r="H123" s="56"/>
      <c r="I123" s="56"/>
      <c r="J123" s="56"/>
      <c r="K123" s="56"/>
      <c r="L123" s="56"/>
      <c r="M123" s="52"/>
      <c r="N123" s="53"/>
      <c r="O123" s="62" t="str">
        <f aca="false">IF($B123="","",TEXT($A123,"YYYY-MM-DD")&amp;"|"&amp;$B123)</f>
        <v/>
      </c>
      <c r="P123" s="3"/>
      <c r="Q123" s="3"/>
      <c r="R123" s="3"/>
      <c r="S123" s="3"/>
      <c r="T123" s="3"/>
      <c r="U123" s="3"/>
      <c r="V123" s="3"/>
      <c r="W123" s="3"/>
      <c r="X123" s="3"/>
      <c r="Y123" s="3"/>
      <c r="Z123" s="3"/>
      <c r="AA123" s="3"/>
      <c r="AB123" s="3"/>
    </row>
    <row r="124" customFormat="false" ht="15" hidden="false" customHeight="false" outlineLevel="0" collapsed="false">
      <c r="A124" s="48"/>
      <c r="B124" s="46"/>
      <c r="C124" s="50"/>
      <c r="D124" s="50"/>
      <c r="E124" s="50"/>
      <c r="F124" s="50"/>
      <c r="G124" s="49"/>
      <c r="H124" s="50"/>
      <c r="I124" s="50"/>
      <c r="J124" s="50"/>
      <c r="K124" s="50"/>
      <c r="L124" s="50"/>
      <c r="M124" s="46"/>
      <c r="N124" s="47"/>
      <c r="O124" s="62" t="str">
        <f aca="false">IF($B124="","",TEXT($A124,"YYYY-MM-DD")&amp;"|"&amp;$B124)</f>
        <v/>
      </c>
      <c r="P124" s="3"/>
      <c r="Q124" s="3"/>
      <c r="R124" s="3"/>
      <c r="S124" s="3"/>
      <c r="T124" s="3"/>
      <c r="U124" s="3"/>
      <c r="V124" s="3"/>
      <c r="W124" s="3"/>
      <c r="X124" s="3"/>
      <c r="Y124" s="3"/>
      <c r="Z124" s="3"/>
      <c r="AA124" s="3"/>
      <c r="AB124" s="3"/>
    </row>
    <row r="125" customFormat="false" ht="15" hidden="false" customHeight="false" outlineLevel="0" collapsed="false">
      <c r="A125" s="54"/>
      <c r="B125" s="52"/>
      <c r="C125" s="56"/>
      <c r="D125" s="56"/>
      <c r="E125" s="56"/>
      <c r="F125" s="56"/>
      <c r="G125" s="55"/>
      <c r="H125" s="56"/>
      <c r="I125" s="56"/>
      <c r="J125" s="56"/>
      <c r="K125" s="56"/>
      <c r="L125" s="56"/>
      <c r="M125" s="52"/>
      <c r="N125" s="53"/>
      <c r="O125" s="62" t="str">
        <f aca="false">IF($B125="","",TEXT($A125,"YYYY-MM-DD")&amp;"|"&amp;$B125)</f>
        <v/>
      </c>
      <c r="P125" s="3"/>
      <c r="Q125" s="3"/>
      <c r="R125" s="3"/>
      <c r="S125" s="3"/>
      <c r="T125" s="3"/>
      <c r="U125" s="3"/>
      <c r="V125" s="3"/>
      <c r="W125" s="3"/>
      <c r="X125" s="3"/>
      <c r="Y125" s="3"/>
      <c r="Z125" s="3"/>
      <c r="AA125" s="3"/>
      <c r="AB125" s="3"/>
    </row>
    <row r="126" customFormat="false" ht="15" hidden="false" customHeight="false" outlineLevel="0" collapsed="false">
      <c r="A126" s="48"/>
      <c r="B126" s="46"/>
      <c r="C126" s="50"/>
      <c r="D126" s="50"/>
      <c r="E126" s="50"/>
      <c r="F126" s="50"/>
      <c r="G126" s="49"/>
      <c r="H126" s="50"/>
      <c r="I126" s="50"/>
      <c r="J126" s="50"/>
      <c r="K126" s="50"/>
      <c r="L126" s="50"/>
      <c r="M126" s="46"/>
      <c r="N126" s="47"/>
      <c r="O126" s="62" t="str">
        <f aca="false">IF($B126="","",TEXT($A126,"YYYY-MM-DD")&amp;"|"&amp;$B126)</f>
        <v/>
      </c>
      <c r="P126" s="3"/>
      <c r="Q126" s="3"/>
      <c r="R126" s="3"/>
      <c r="S126" s="3"/>
      <c r="T126" s="3"/>
      <c r="U126" s="3"/>
      <c r="V126" s="3"/>
      <c r="W126" s="3"/>
      <c r="X126" s="3"/>
      <c r="Y126" s="3"/>
      <c r="Z126" s="3"/>
      <c r="AA126" s="3"/>
      <c r="AB126" s="3"/>
    </row>
    <row r="127" customFormat="false" ht="15" hidden="false" customHeight="false" outlineLevel="0" collapsed="false">
      <c r="A127" s="54"/>
      <c r="B127" s="52"/>
      <c r="C127" s="56"/>
      <c r="D127" s="56"/>
      <c r="E127" s="56"/>
      <c r="F127" s="56"/>
      <c r="G127" s="55"/>
      <c r="H127" s="56"/>
      <c r="I127" s="56"/>
      <c r="J127" s="56"/>
      <c r="K127" s="56"/>
      <c r="L127" s="56"/>
      <c r="M127" s="52"/>
      <c r="N127" s="53"/>
      <c r="O127" s="62" t="str">
        <f aca="false">IF($B127="","",TEXT($A127,"YYYY-MM-DD")&amp;"|"&amp;$B127)</f>
        <v/>
      </c>
      <c r="P127" s="3"/>
      <c r="Q127" s="3"/>
      <c r="R127" s="3"/>
      <c r="S127" s="3"/>
      <c r="T127" s="3"/>
      <c r="U127" s="3"/>
      <c r="V127" s="3"/>
      <c r="W127" s="3"/>
      <c r="X127" s="3"/>
      <c r="Y127" s="3"/>
      <c r="Z127" s="3"/>
      <c r="AA127" s="3"/>
      <c r="AB127" s="3"/>
    </row>
    <row r="128" customFormat="false" ht="15" hidden="false" customHeight="false" outlineLevel="0" collapsed="false">
      <c r="A128" s="48"/>
      <c r="B128" s="46"/>
      <c r="C128" s="50"/>
      <c r="D128" s="50"/>
      <c r="E128" s="50"/>
      <c r="F128" s="50"/>
      <c r="G128" s="49"/>
      <c r="H128" s="50"/>
      <c r="I128" s="50"/>
      <c r="J128" s="50"/>
      <c r="K128" s="50"/>
      <c r="L128" s="50"/>
      <c r="M128" s="46"/>
      <c r="N128" s="47"/>
      <c r="O128" s="62" t="str">
        <f aca="false">IF($B128="","",TEXT($A128,"YYYY-MM-DD")&amp;"|"&amp;$B128)</f>
        <v/>
      </c>
      <c r="P128" s="3"/>
      <c r="Q128" s="3"/>
      <c r="R128" s="3"/>
      <c r="S128" s="3"/>
      <c r="T128" s="3"/>
      <c r="U128" s="3"/>
      <c r="V128" s="3"/>
      <c r="W128" s="3"/>
      <c r="X128" s="3"/>
      <c r="Y128" s="3"/>
      <c r="Z128" s="3"/>
      <c r="AA128" s="3"/>
      <c r="AB128" s="3"/>
    </row>
    <row r="129" customFormat="false" ht="15" hidden="false" customHeight="false" outlineLevel="0" collapsed="false">
      <c r="A129" s="54"/>
      <c r="B129" s="52"/>
      <c r="C129" s="56"/>
      <c r="D129" s="56"/>
      <c r="E129" s="56"/>
      <c r="F129" s="56"/>
      <c r="G129" s="55"/>
      <c r="H129" s="56"/>
      <c r="I129" s="56"/>
      <c r="J129" s="56"/>
      <c r="K129" s="56"/>
      <c r="L129" s="56"/>
      <c r="M129" s="52"/>
      <c r="N129" s="53"/>
      <c r="O129" s="62" t="str">
        <f aca="false">IF($B129="","",TEXT($A129,"YYYY-MM-DD")&amp;"|"&amp;$B129)</f>
        <v/>
      </c>
      <c r="P129" s="3"/>
      <c r="Q129" s="3"/>
      <c r="R129" s="3"/>
      <c r="S129" s="3"/>
      <c r="T129" s="3"/>
      <c r="U129" s="3"/>
      <c r="V129" s="3"/>
      <c r="W129" s="3"/>
      <c r="X129" s="3"/>
      <c r="Y129" s="3"/>
      <c r="Z129" s="3"/>
      <c r="AA129" s="3"/>
      <c r="AB129" s="3"/>
    </row>
    <row r="130" customFormat="false" ht="15" hidden="false" customHeight="false" outlineLevel="0" collapsed="false">
      <c r="A130" s="48"/>
      <c r="B130" s="46"/>
      <c r="C130" s="50"/>
      <c r="D130" s="50"/>
      <c r="E130" s="50"/>
      <c r="F130" s="50"/>
      <c r="G130" s="49"/>
      <c r="H130" s="50"/>
      <c r="I130" s="50"/>
      <c r="J130" s="50"/>
      <c r="K130" s="50"/>
      <c r="L130" s="50"/>
      <c r="M130" s="46"/>
      <c r="N130" s="47"/>
      <c r="O130" s="62" t="str">
        <f aca="false">IF($B130="","",TEXT($A130,"YYYY-MM-DD")&amp;"|"&amp;$B130)</f>
        <v/>
      </c>
      <c r="P130" s="3"/>
      <c r="Q130" s="3"/>
      <c r="R130" s="3"/>
      <c r="S130" s="3"/>
      <c r="T130" s="3"/>
      <c r="U130" s="3"/>
      <c r="V130" s="3"/>
      <c r="W130" s="3"/>
      <c r="X130" s="3"/>
      <c r="Y130" s="3"/>
      <c r="Z130" s="3"/>
      <c r="AA130" s="3"/>
      <c r="AB130" s="3"/>
    </row>
    <row r="131" customFormat="false" ht="15" hidden="false" customHeight="false" outlineLevel="0" collapsed="false">
      <c r="A131" s="54"/>
      <c r="B131" s="52"/>
      <c r="C131" s="56"/>
      <c r="D131" s="56"/>
      <c r="E131" s="56"/>
      <c r="F131" s="56"/>
      <c r="G131" s="55"/>
      <c r="H131" s="56"/>
      <c r="I131" s="56"/>
      <c r="J131" s="56"/>
      <c r="K131" s="56"/>
      <c r="L131" s="56"/>
      <c r="M131" s="52"/>
      <c r="N131" s="53"/>
      <c r="O131" s="62" t="str">
        <f aca="false">IF($B131="","",TEXT($A131,"YYYY-MM-DD")&amp;"|"&amp;$B131)</f>
        <v/>
      </c>
      <c r="P131" s="3"/>
      <c r="Q131" s="3"/>
      <c r="R131" s="3"/>
      <c r="S131" s="3"/>
      <c r="T131" s="3"/>
      <c r="U131" s="3"/>
      <c r="V131" s="3"/>
      <c r="W131" s="3"/>
      <c r="X131" s="3"/>
      <c r="Y131" s="3"/>
      <c r="Z131" s="3"/>
      <c r="AA131" s="3"/>
      <c r="AB131" s="3"/>
    </row>
    <row r="132" customFormat="false" ht="15" hidden="false" customHeight="false" outlineLevel="0" collapsed="false">
      <c r="A132" s="48"/>
      <c r="B132" s="46"/>
      <c r="C132" s="50"/>
      <c r="D132" s="50"/>
      <c r="E132" s="50"/>
      <c r="F132" s="50"/>
      <c r="G132" s="49"/>
      <c r="H132" s="50"/>
      <c r="I132" s="50"/>
      <c r="J132" s="50"/>
      <c r="K132" s="50"/>
      <c r="L132" s="50"/>
      <c r="M132" s="46"/>
      <c r="N132" s="47"/>
      <c r="O132" s="62" t="str">
        <f aca="false">IF($B132="","",TEXT($A132,"YYYY-MM-DD")&amp;"|"&amp;$B132)</f>
        <v/>
      </c>
      <c r="P132" s="3"/>
      <c r="Q132" s="3"/>
      <c r="R132" s="3"/>
      <c r="S132" s="3"/>
      <c r="T132" s="3"/>
      <c r="U132" s="3"/>
      <c r="V132" s="3"/>
      <c r="W132" s="3"/>
      <c r="X132" s="3"/>
      <c r="Y132" s="3"/>
      <c r="Z132" s="3"/>
      <c r="AA132" s="3"/>
      <c r="AB132" s="3"/>
    </row>
    <row r="133" customFormat="false" ht="15" hidden="false" customHeight="false" outlineLevel="0" collapsed="false">
      <c r="A133" s="54"/>
      <c r="B133" s="52"/>
      <c r="C133" s="56"/>
      <c r="D133" s="56"/>
      <c r="E133" s="56"/>
      <c r="F133" s="56"/>
      <c r="G133" s="55"/>
      <c r="H133" s="56"/>
      <c r="I133" s="56"/>
      <c r="J133" s="56"/>
      <c r="K133" s="56"/>
      <c r="L133" s="56"/>
      <c r="M133" s="52"/>
      <c r="N133" s="53"/>
      <c r="O133" s="62" t="str">
        <f aca="false">IF($B133="","",TEXT($A133,"YYYY-MM-DD")&amp;"|"&amp;$B133)</f>
        <v/>
      </c>
      <c r="P133" s="3"/>
      <c r="Q133" s="3"/>
      <c r="R133" s="3"/>
      <c r="S133" s="3"/>
      <c r="T133" s="3"/>
      <c r="U133" s="3"/>
      <c r="V133" s="3"/>
      <c r="W133" s="3"/>
      <c r="X133" s="3"/>
      <c r="Y133" s="3"/>
      <c r="Z133" s="3"/>
      <c r="AA133" s="3"/>
      <c r="AB133" s="3"/>
    </row>
    <row r="134" customFormat="false" ht="15" hidden="false" customHeight="false" outlineLevel="0" collapsed="false">
      <c r="A134" s="48"/>
      <c r="B134" s="46"/>
      <c r="C134" s="50"/>
      <c r="D134" s="50"/>
      <c r="E134" s="50"/>
      <c r="F134" s="50"/>
      <c r="G134" s="49"/>
      <c r="H134" s="50"/>
      <c r="I134" s="50"/>
      <c r="J134" s="50"/>
      <c r="K134" s="50"/>
      <c r="L134" s="50"/>
      <c r="M134" s="46"/>
      <c r="N134" s="47"/>
      <c r="O134" s="62" t="str">
        <f aca="false">IF($B134="","",TEXT($A134,"YYYY-MM-DD")&amp;"|"&amp;$B134)</f>
        <v/>
      </c>
      <c r="P134" s="3"/>
      <c r="Q134" s="3"/>
      <c r="R134" s="3"/>
      <c r="S134" s="3"/>
      <c r="T134" s="3"/>
      <c r="U134" s="3"/>
      <c r="V134" s="3"/>
      <c r="W134" s="3"/>
      <c r="X134" s="3"/>
      <c r="Y134" s="3"/>
      <c r="Z134" s="3"/>
      <c r="AA134" s="3"/>
      <c r="AB134" s="3"/>
    </row>
    <row r="135" customFormat="false" ht="15" hidden="false" customHeight="false" outlineLevel="0" collapsed="false">
      <c r="A135" s="54"/>
      <c r="B135" s="52"/>
      <c r="C135" s="56"/>
      <c r="D135" s="56"/>
      <c r="E135" s="56"/>
      <c r="F135" s="56"/>
      <c r="G135" s="55"/>
      <c r="H135" s="56"/>
      <c r="I135" s="56"/>
      <c r="J135" s="56"/>
      <c r="K135" s="56"/>
      <c r="L135" s="56"/>
      <c r="M135" s="52"/>
      <c r="N135" s="53"/>
      <c r="O135" s="62" t="str">
        <f aca="false">IF($B135="","",TEXT($A135,"YYYY-MM-DD")&amp;"|"&amp;$B135)</f>
        <v/>
      </c>
      <c r="P135" s="3"/>
      <c r="Q135" s="3"/>
      <c r="R135" s="3"/>
      <c r="S135" s="3"/>
      <c r="T135" s="3"/>
      <c r="U135" s="3"/>
      <c r="V135" s="3"/>
      <c r="W135" s="3"/>
      <c r="X135" s="3"/>
      <c r="Y135" s="3"/>
      <c r="Z135" s="3"/>
      <c r="AA135" s="3"/>
      <c r="AB135" s="3"/>
    </row>
    <row r="136" customFormat="false" ht="15" hidden="false" customHeight="false" outlineLevel="0" collapsed="false">
      <c r="A136" s="48"/>
      <c r="B136" s="46"/>
      <c r="C136" s="50"/>
      <c r="D136" s="50"/>
      <c r="E136" s="50"/>
      <c r="F136" s="50"/>
      <c r="G136" s="49"/>
      <c r="H136" s="50"/>
      <c r="I136" s="50"/>
      <c r="J136" s="50"/>
      <c r="K136" s="50"/>
      <c r="L136" s="50"/>
      <c r="M136" s="46"/>
      <c r="N136" s="47"/>
      <c r="O136" s="62" t="str">
        <f aca="false">IF($B136="","",TEXT($A136,"YYYY-MM-DD")&amp;"|"&amp;$B136)</f>
        <v/>
      </c>
      <c r="P136" s="3"/>
      <c r="Q136" s="3"/>
      <c r="R136" s="3"/>
      <c r="S136" s="3"/>
      <c r="T136" s="3"/>
      <c r="U136" s="3"/>
      <c r="V136" s="3"/>
      <c r="W136" s="3"/>
      <c r="X136" s="3"/>
      <c r="Y136" s="3"/>
      <c r="Z136" s="3"/>
      <c r="AA136" s="3"/>
      <c r="AB136" s="3"/>
    </row>
    <row r="137" customFormat="false" ht="15" hidden="false" customHeight="false" outlineLevel="0" collapsed="false">
      <c r="A137" s="54"/>
      <c r="B137" s="52"/>
      <c r="C137" s="56"/>
      <c r="D137" s="56"/>
      <c r="E137" s="56"/>
      <c r="F137" s="56"/>
      <c r="G137" s="55"/>
      <c r="H137" s="56"/>
      <c r="I137" s="56"/>
      <c r="J137" s="56"/>
      <c r="K137" s="56"/>
      <c r="L137" s="56"/>
      <c r="M137" s="52"/>
      <c r="N137" s="53"/>
      <c r="O137" s="62" t="str">
        <f aca="false">IF($B137="","",TEXT($A137,"YYYY-MM-DD")&amp;"|"&amp;$B137)</f>
        <v/>
      </c>
      <c r="P137" s="3"/>
      <c r="Q137" s="3"/>
      <c r="R137" s="3"/>
      <c r="S137" s="3"/>
      <c r="T137" s="3"/>
      <c r="U137" s="3"/>
      <c r="V137" s="3"/>
      <c r="W137" s="3"/>
      <c r="X137" s="3"/>
      <c r="Y137" s="3"/>
      <c r="Z137" s="3"/>
      <c r="AA137" s="3"/>
      <c r="AB137" s="3"/>
    </row>
    <row r="138" customFormat="false" ht="15" hidden="false" customHeight="false" outlineLevel="0" collapsed="false">
      <c r="A138" s="48"/>
      <c r="B138" s="46"/>
      <c r="C138" s="50"/>
      <c r="D138" s="50"/>
      <c r="E138" s="50"/>
      <c r="F138" s="50"/>
      <c r="G138" s="49"/>
      <c r="H138" s="50"/>
      <c r="I138" s="50"/>
      <c r="J138" s="50"/>
      <c r="K138" s="50"/>
      <c r="L138" s="50"/>
      <c r="M138" s="46"/>
      <c r="N138" s="47"/>
      <c r="O138" s="62" t="str">
        <f aca="false">IF($B138="","",TEXT($A138,"YYYY-MM-DD")&amp;"|"&amp;$B138)</f>
        <v/>
      </c>
      <c r="P138" s="3"/>
      <c r="Q138" s="3"/>
      <c r="R138" s="3"/>
      <c r="S138" s="3"/>
      <c r="T138" s="3"/>
      <c r="U138" s="3"/>
      <c r="V138" s="3"/>
      <c r="W138" s="3"/>
      <c r="X138" s="3"/>
      <c r="Y138" s="3"/>
      <c r="Z138" s="3"/>
      <c r="AA138" s="3"/>
      <c r="AB138" s="3"/>
    </row>
    <row r="139" customFormat="false" ht="15" hidden="false" customHeight="false" outlineLevel="0" collapsed="false">
      <c r="A139" s="54"/>
      <c r="B139" s="52"/>
      <c r="C139" s="56"/>
      <c r="D139" s="56"/>
      <c r="E139" s="56"/>
      <c r="F139" s="56"/>
      <c r="G139" s="55"/>
      <c r="H139" s="56"/>
      <c r="I139" s="56"/>
      <c r="J139" s="56"/>
      <c r="K139" s="56"/>
      <c r="L139" s="56"/>
      <c r="M139" s="52"/>
      <c r="N139" s="53"/>
      <c r="O139" s="62" t="str">
        <f aca="false">IF($B139="","",TEXT($A139,"YYYY-MM-DD")&amp;"|"&amp;$B139)</f>
        <v/>
      </c>
      <c r="P139" s="3"/>
      <c r="Q139" s="3"/>
      <c r="R139" s="3"/>
      <c r="S139" s="3"/>
      <c r="T139" s="3"/>
      <c r="U139" s="3"/>
      <c r="V139" s="3"/>
      <c r="W139" s="3"/>
      <c r="X139" s="3"/>
      <c r="Y139" s="3"/>
      <c r="Z139" s="3"/>
      <c r="AA139" s="3"/>
      <c r="AB139" s="3"/>
    </row>
    <row r="140" customFormat="false" ht="15" hidden="false" customHeight="false" outlineLevel="0" collapsed="false">
      <c r="A140" s="48"/>
      <c r="B140" s="46"/>
      <c r="C140" s="50"/>
      <c r="D140" s="50"/>
      <c r="E140" s="50"/>
      <c r="F140" s="50"/>
      <c r="G140" s="49"/>
      <c r="H140" s="50"/>
      <c r="I140" s="50"/>
      <c r="J140" s="50"/>
      <c r="K140" s="50"/>
      <c r="L140" s="50"/>
      <c r="M140" s="46"/>
      <c r="N140" s="47"/>
      <c r="O140" s="62" t="str">
        <f aca="false">IF($B140="","",TEXT($A140,"YYYY-MM-DD")&amp;"|"&amp;$B140)</f>
        <v/>
      </c>
      <c r="P140" s="3"/>
      <c r="Q140" s="3"/>
      <c r="R140" s="3"/>
      <c r="S140" s="3"/>
      <c r="T140" s="3"/>
      <c r="U140" s="3"/>
      <c r="V140" s="3"/>
      <c r="W140" s="3"/>
      <c r="X140" s="3"/>
      <c r="Y140" s="3"/>
      <c r="Z140" s="3"/>
      <c r="AA140" s="3"/>
      <c r="AB140" s="3"/>
    </row>
    <row r="141" customFormat="false" ht="15" hidden="false" customHeight="false" outlineLevel="0" collapsed="false">
      <c r="A141" s="54"/>
      <c r="B141" s="52"/>
      <c r="C141" s="56"/>
      <c r="D141" s="56"/>
      <c r="E141" s="56"/>
      <c r="F141" s="56"/>
      <c r="G141" s="55"/>
      <c r="H141" s="56"/>
      <c r="I141" s="56"/>
      <c r="J141" s="56"/>
      <c r="K141" s="56"/>
      <c r="L141" s="56"/>
      <c r="M141" s="52"/>
      <c r="N141" s="53"/>
      <c r="O141" s="62" t="str">
        <f aca="false">IF($B141="","",TEXT($A141,"YYYY-MM-DD")&amp;"|"&amp;$B141)</f>
        <v/>
      </c>
      <c r="P141" s="3"/>
      <c r="Q141" s="3"/>
      <c r="R141" s="3"/>
      <c r="S141" s="3"/>
      <c r="T141" s="3"/>
      <c r="U141" s="3"/>
      <c r="V141" s="3"/>
      <c r="W141" s="3"/>
      <c r="X141" s="3"/>
      <c r="Y141" s="3"/>
      <c r="Z141" s="3"/>
      <c r="AA141" s="3"/>
      <c r="AB141" s="3"/>
    </row>
    <row r="142" customFormat="false" ht="15" hidden="false" customHeight="false" outlineLevel="0" collapsed="false">
      <c r="A142" s="48"/>
      <c r="B142" s="46"/>
      <c r="C142" s="50"/>
      <c r="D142" s="50"/>
      <c r="E142" s="50"/>
      <c r="F142" s="50"/>
      <c r="G142" s="49"/>
      <c r="H142" s="50"/>
      <c r="I142" s="50"/>
      <c r="J142" s="50"/>
      <c r="K142" s="50"/>
      <c r="L142" s="50"/>
      <c r="M142" s="46"/>
      <c r="N142" s="47"/>
      <c r="O142" s="62" t="str">
        <f aca="false">IF($B142="","",TEXT($A142,"YYYY-MM-DD")&amp;"|"&amp;$B142)</f>
        <v/>
      </c>
      <c r="P142" s="3"/>
      <c r="Q142" s="3"/>
      <c r="R142" s="3"/>
      <c r="S142" s="3"/>
      <c r="T142" s="3"/>
      <c r="U142" s="3"/>
      <c r="V142" s="3"/>
      <c r="W142" s="3"/>
      <c r="X142" s="3"/>
      <c r="Y142" s="3"/>
      <c r="Z142" s="3"/>
      <c r="AA142" s="3"/>
      <c r="AB142" s="3"/>
    </row>
    <row r="143" customFormat="false" ht="15" hidden="false" customHeight="false" outlineLevel="0" collapsed="false">
      <c r="A143" s="54"/>
      <c r="B143" s="52"/>
      <c r="C143" s="56"/>
      <c r="D143" s="56"/>
      <c r="E143" s="56"/>
      <c r="F143" s="56"/>
      <c r="G143" s="55"/>
      <c r="H143" s="56"/>
      <c r="I143" s="56"/>
      <c r="J143" s="56"/>
      <c r="K143" s="56"/>
      <c r="L143" s="56"/>
      <c r="M143" s="52"/>
      <c r="N143" s="53"/>
      <c r="O143" s="62" t="str">
        <f aca="false">IF($B143="","",TEXT($A143,"YYYY-MM-DD")&amp;"|"&amp;$B143)</f>
        <v/>
      </c>
      <c r="P143" s="3"/>
      <c r="Q143" s="3"/>
      <c r="R143" s="3"/>
      <c r="S143" s="3"/>
      <c r="T143" s="3"/>
      <c r="U143" s="3"/>
      <c r="V143" s="3"/>
      <c r="W143" s="3"/>
      <c r="X143" s="3"/>
      <c r="Y143" s="3"/>
      <c r="Z143" s="3"/>
      <c r="AA143" s="3"/>
      <c r="AB143" s="3"/>
    </row>
    <row r="144" customFormat="false" ht="15" hidden="false" customHeight="false" outlineLevel="0" collapsed="false">
      <c r="A144" s="48"/>
      <c r="B144" s="46"/>
      <c r="C144" s="50"/>
      <c r="D144" s="50"/>
      <c r="E144" s="50"/>
      <c r="F144" s="50"/>
      <c r="G144" s="49"/>
      <c r="H144" s="50"/>
      <c r="I144" s="50"/>
      <c r="J144" s="50"/>
      <c r="K144" s="50"/>
      <c r="L144" s="50"/>
      <c r="M144" s="46"/>
      <c r="N144" s="47"/>
      <c r="O144" s="62" t="str">
        <f aca="false">IF($B144="","",TEXT($A144,"YYYY-MM-DD")&amp;"|"&amp;$B144)</f>
        <v/>
      </c>
      <c r="P144" s="3"/>
      <c r="Q144" s="3"/>
      <c r="R144" s="3"/>
      <c r="S144" s="3"/>
      <c r="T144" s="3"/>
      <c r="U144" s="3"/>
      <c r="V144" s="3"/>
      <c r="W144" s="3"/>
      <c r="X144" s="3"/>
      <c r="Y144" s="3"/>
      <c r="Z144" s="3"/>
      <c r="AA144" s="3"/>
      <c r="AB144" s="3"/>
    </row>
    <row r="145" customFormat="false" ht="15" hidden="false" customHeight="false" outlineLevel="0" collapsed="false">
      <c r="A145" s="54"/>
      <c r="B145" s="52"/>
      <c r="C145" s="56"/>
      <c r="D145" s="56"/>
      <c r="E145" s="56"/>
      <c r="F145" s="56"/>
      <c r="G145" s="55"/>
      <c r="H145" s="56"/>
      <c r="I145" s="56"/>
      <c r="J145" s="56"/>
      <c r="K145" s="56"/>
      <c r="L145" s="56"/>
      <c r="M145" s="52"/>
      <c r="N145" s="53"/>
      <c r="O145" s="62" t="str">
        <f aca="false">IF($B145="","",TEXT($A145,"YYYY-MM-DD")&amp;"|"&amp;$B145)</f>
        <v/>
      </c>
      <c r="P145" s="3"/>
      <c r="Q145" s="3"/>
      <c r="R145" s="3"/>
      <c r="S145" s="3"/>
      <c r="T145" s="3"/>
      <c r="U145" s="3"/>
      <c r="V145" s="3"/>
      <c r="W145" s="3"/>
      <c r="X145" s="3"/>
      <c r="Y145" s="3"/>
      <c r="Z145" s="3"/>
      <c r="AA145" s="3"/>
      <c r="AB145" s="3"/>
    </row>
    <row r="146" customFormat="false" ht="15" hidden="false" customHeight="false" outlineLevel="0" collapsed="false">
      <c r="A146" s="48"/>
      <c r="B146" s="46"/>
      <c r="C146" s="50"/>
      <c r="D146" s="50"/>
      <c r="E146" s="50"/>
      <c r="F146" s="50"/>
      <c r="G146" s="49"/>
      <c r="H146" s="50"/>
      <c r="I146" s="50"/>
      <c r="J146" s="50"/>
      <c r="K146" s="50"/>
      <c r="L146" s="50"/>
      <c r="M146" s="46"/>
      <c r="N146" s="47"/>
      <c r="O146" s="62" t="str">
        <f aca="false">IF($B146="","",TEXT($A146,"YYYY-MM-DD")&amp;"|"&amp;$B146)</f>
        <v/>
      </c>
      <c r="P146" s="3"/>
      <c r="Q146" s="3"/>
      <c r="R146" s="3"/>
      <c r="S146" s="3"/>
      <c r="T146" s="3"/>
      <c r="U146" s="3"/>
      <c r="V146" s="3"/>
      <c r="W146" s="3"/>
      <c r="X146" s="3"/>
      <c r="Y146" s="3"/>
      <c r="Z146" s="3"/>
      <c r="AA146" s="3"/>
      <c r="AB146" s="3"/>
    </row>
    <row r="147" customFormat="false" ht="15" hidden="false" customHeight="false" outlineLevel="0" collapsed="false">
      <c r="A147" s="54"/>
      <c r="B147" s="52"/>
      <c r="C147" s="56"/>
      <c r="D147" s="56"/>
      <c r="E147" s="56"/>
      <c r="F147" s="56"/>
      <c r="G147" s="55"/>
      <c r="H147" s="56"/>
      <c r="I147" s="56"/>
      <c r="J147" s="56"/>
      <c r="K147" s="56"/>
      <c r="L147" s="56"/>
      <c r="M147" s="52"/>
      <c r="N147" s="53"/>
      <c r="O147" s="62" t="str">
        <f aca="false">IF($B147="","",TEXT($A147,"YYYY-MM-DD")&amp;"|"&amp;$B147)</f>
        <v/>
      </c>
      <c r="P147" s="3"/>
      <c r="Q147" s="3"/>
      <c r="R147" s="3"/>
      <c r="S147" s="3"/>
      <c r="T147" s="3"/>
      <c r="U147" s="3"/>
      <c r="V147" s="3"/>
      <c r="W147" s="3"/>
      <c r="X147" s="3"/>
      <c r="Y147" s="3"/>
      <c r="Z147" s="3"/>
      <c r="AA147" s="3"/>
      <c r="AB147" s="3"/>
    </row>
    <row r="148" customFormat="false" ht="15" hidden="false" customHeight="false" outlineLevel="0" collapsed="false">
      <c r="A148" s="48"/>
      <c r="B148" s="46"/>
      <c r="C148" s="50"/>
      <c r="D148" s="50"/>
      <c r="E148" s="50"/>
      <c r="F148" s="50"/>
      <c r="G148" s="49"/>
      <c r="H148" s="50"/>
      <c r="I148" s="50"/>
      <c r="J148" s="50"/>
      <c r="K148" s="50"/>
      <c r="L148" s="50"/>
      <c r="M148" s="46"/>
      <c r="N148" s="47"/>
      <c r="O148" s="62" t="str">
        <f aca="false">IF($B148="","",TEXT($A148,"YYYY-MM-DD")&amp;"|"&amp;$B148)</f>
        <v/>
      </c>
      <c r="P148" s="3"/>
      <c r="Q148" s="3"/>
      <c r="R148" s="3"/>
      <c r="S148" s="3"/>
      <c r="T148" s="3"/>
      <c r="U148" s="3"/>
      <c r="V148" s="3"/>
      <c r="W148" s="3"/>
      <c r="X148" s="3"/>
      <c r="Y148" s="3"/>
      <c r="Z148" s="3"/>
      <c r="AA148" s="3"/>
      <c r="AB148" s="3"/>
    </row>
    <row r="149" customFormat="false" ht="15" hidden="false" customHeight="false" outlineLevel="0" collapsed="false">
      <c r="A149" s="54"/>
      <c r="B149" s="52"/>
      <c r="C149" s="56"/>
      <c r="D149" s="56"/>
      <c r="E149" s="56"/>
      <c r="F149" s="56"/>
      <c r="G149" s="55"/>
      <c r="H149" s="56"/>
      <c r="I149" s="56"/>
      <c r="J149" s="56"/>
      <c r="K149" s="56"/>
      <c r="L149" s="56"/>
      <c r="M149" s="52"/>
      <c r="N149" s="53"/>
      <c r="O149" s="62" t="str">
        <f aca="false">IF($B149="","",TEXT($A149,"YYYY-MM-DD")&amp;"|"&amp;$B149)</f>
        <v/>
      </c>
      <c r="P149" s="3"/>
      <c r="Q149" s="3"/>
      <c r="R149" s="3"/>
      <c r="S149" s="3"/>
      <c r="T149" s="3"/>
      <c r="U149" s="3"/>
      <c r="V149" s="3"/>
      <c r="W149" s="3"/>
      <c r="X149" s="3"/>
      <c r="Y149" s="3"/>
      <c r="Z149" s="3"/>
      <c r="AA149" s="3"/>
      <c r="AB149" s="3"/>
    </row>
    <row r="150" customFormat="false" ht="15" hidden="false" customHeight="false" outlineLevel="0" collapsed="false">
      <c r="A150" s="48"/>
      <c r="B150" s="46"/>
      <c r="C150" s="50"/>
      <c r="D150" s="50"/>
      <c r="E150" s="50"/>
      <c r="F150" s="50"/>
      <c r="G150" s="49"/>
      <c r="H150" s="50"/>
      <c r="I150" s="50"/>
      <c r="J150" s="50"/>
      <c r="K150" s="50"/>
      <c r="L150" s="50"/>
      <c r="M150" s="46"/>
      <c r="N150" s="47"/>
      <c r="O150" s="62" t="str">
        <f aca="false">IF($B150="","",TEXT($A150,"YYYY-MM-DD")&amp;"|"&amp;$B150)</f>
        <v/>
      </c>
      <c r="P150" s="3"/>
      <c r="Q150" s="3"/>
      <c r="R150" s="3"/>
      <c r="S150" s="3"/>
      <c r="T150" s="3"/>
      <c r="U150" s="3"/>
      <c r="V150" s="3"/>
      <c r="W150" s="3"/>
      <c r="X150" s="3"/>
      <c r="Y150" s="3"/>
      <c r="Z150" s="3"/>
      <c r="AA150" s="3"/>
      <c r="AB150" s="3"/>
    </row>
    <row r="151" customFormat="false" ht="15" hidden="false" customHeight="false" outlineLevel="0" collapsed="false">
      <c r="A151" s="54"/>
      <c r="B151" s="52"/>
      <c r="C151" s="56"/>
      <c r="D151" s="56"/>
      <c r="E151" s="56"/>
      <c r="F151" s="56"/>
      <c r="G151" s="55"/>
      <c r="H151" s="56"/>
      <c r="I151" s="56"/>
      <c r="J151" s="56"/>
      <c r="K151" s="56"/>
      <c r="L151" s="56"/>
      <c r="M151" s="52"/>
      <c r="N151" s="53"/>
      <c r="O151" s="62" t="str">
        <f aca="false">IF($B151="","",TEXT($A151,"YYYY-MM-DD")&amp;"|"&amp;$B151)</f>
        <v/>
      </c>
      <c r="P151" s="3"/>
      <c r="Q151" s="3"/>
      <c r="R151" s="3"/>
      <c r="S151" s="3"/>
      <c r="T151" s="3"/>
      <c r="U151" s="3"/>
      <c r="V151" s="3"/>
      <c r="W151" s="3"/>
      <c r="X151" s="3"/>
      <c r="Y151" s="3"/>
      <c r="Z151" s="3"/>
      <c r="AA151" s="3"/>
      <c r="AB151" s="3"/>
    </row>
    <row r="152" customFormat="false" ht="15" hidden="false" customHeight="false" outlineLevel="0" collapsed="false">
      <c r="A152" s="48"/>
      <c r="B152" s="46"/>
      <c r="C152" s="50"/>
      <c r="D152" s="50"/>
      <c r="E152" s="50"/>
      <c r="F152" s="50"/>
      <c r="G152" s="49"/>
      <c r="H152" s="50"/>
      <c r="I152" s="50"/>
      <c r="J152" s="50"/>
      <c r="K152" s="50"/>
      <c r="L152" s="50"/>
      <c r="M152" s="46"/>
      <c r="N152" s="47"/>
      <c r="O152" s="62" t="str">
        <f aca="false">IF($B152="","",TEXT($A152,"YYYY-MM-DD")&amp;"|"&amp;$B152)</f>
        <v/>
      </c>
      <c r="P152" s="3"/>
      <c r="Q152" s="3"/>
      <c r="R152" s="3"/>
      <c r="S152" s="3"/>
      <c r="T152" s="3"/>
      <c r="U152" s="3"/>
      <c r="V152" s="3"/>
      <c r="W152" s="3"/>
      <c r="X152" s="3"/>
      <c r="Y152" s="3"/>
      <c r="Z152" s="3"/>
      <c r="AA152" s="3"/>
      <c r="AB152" s="3"/>
    </row>
    <row r="153" customFormat="false" ht="15" hidden="false" customHeight="false" outlineLevel="0" collapsed="false">
      <c r="A153" s="54"/>
      <c r="B153" s="52"/>
      <c r="C153" s="56"/>
      <c r="D153" s="56"/>
      <c r="E153" s="56"/>
      <c r="F153" s="56"/>
      <c r="G153" s="55"/>
      <c r="H153" s="56"/>
      <c r="I153" s="56"/>
      <c r="J153" s="56"/>
      <c r="K153" s="56"/>
      <c r="L153" s="56"/>
      <c r="M153" s="52"/>
      <c r="N153" s="53"/>
      <c r="O153" s="62" t="str">
        <f aca="false">IF($B153="","",TEXT($A153,"YYYY-MM-DD")&amp;"|"&amp;$B153)</f>
        <v/>
      </c>
      <c r="P153" s="3"/>
      <c r="Q153" s="3"/>
      <c r="R153" s="3"/>
      <c r="S153" s="3"/>
      <c r="T153" s="3"/>
      <c r="U153" s="3"/>
      <c r="V153" s="3"/>
      <c r="W153" s="3"/>
      <c r="X153" s="3"/>
      <c r="Y153" s="3"/>
      <c r="Z153" s="3"/>
      <c r="AA153" s="3"/>
      <c r="AB153" s="3"/>
    </row>
    <row r="154" customFormat="false" ht="15" hidden="false" customHeight="false" outlineLevel="0" collapsed="false">
      <c r="A154" s="48"/>
      <c r="B154" s="46"/>
      <c r="C154" s="50"/>
      <c r="D154" s="50"/>
      <c r="E154" s="50"/>
      <c r="F154" s="50"/>
      <c r="G154" s="49"/>
      <c r="H154" s="50"/>
      <c r="I154" s="50"/>
      <c r="J154" s="50"/>
      <c r="K154" s="50"/>
      <c r="L154" s="50"/>
      <c r="M154" s="46"/>
      <c r="N154" s="47"/>
      <c r="O154" s="62" t="str">
        <f aca="false">IF($B154="","",TEXT($A154,"YYYY-MM-DD")&amp;"|"&amp;$B154)</f>
        <v/>
      </c>
      <c r="P154" s="3"/>
      <c r="Q154" s="3"/>
      <c r="R154" s="3"/>
      <c r="S154" s="3"/>
      <c r="T154" s="3"/>
      <c r="U154" s="3"/>
      <c r="V154" s="3"/>
      <c r="W154" s="3"/>
      <c r="X154" s="3"/>
      <c r="Y154" s="3"/>
      <c r="Z154" s="3"/>
      <c r="AA154" s="3"/>
      <c r="AB154" s="3"/>
    </row>
    <row r="155" customFormat="false" ht="15" hidden="false" customHeight="false" outlineLevel="0" collapsed="false">
      <c r="A155" s="54"/>
      <c r="B155" s="52"/>
      <c r="C155" s="56"/>
      <c r="D155" s="56"/>
      <c r="E155" s="56"/>
      <c r="F155" s="56"/>
      <c r="G155" s="55"/>
      <c r="H155" s="56"/>
      <c r="I155" s="56"/>
      <c r="J155" s="56"/>
      <c r="K155" s="56"/>
      <c r="L155" s="56"/>
      <c r="M155" s="52"/>
      <c r="N155" s="53"/>
      <c r="O155" s="62" t="str">
        <f aca="false">IF($B155="","",TEXT($A155,"YYYY-MM-DD")&amp;"|"&amp;$B155)</f>
        <v/>
      </c>
      <c r="P155" s="3"/>
      <c r="Q155" s="3"/>
      <c r="R155" s="3"/>
      <c r="S155" s="3"/>
      <c r="T155" s="3"/>
      <c r="U155" s="3"/>
      <c r="V155" s="3"/>
      <c r="W155" s="3"/>
      <c r="X155" s="3"/>
      <c r="Y155" s="3"/>
      <c r="Z155" s="3"/>
      <c r="AA155" s="3"/>
      <c r="AB155" s="3"/>
    </row>
    <row r="156" customFormat="false" ht="15" hidden="false" customHeight="false" outlineLevel="0" collapsed="false">
      <c r="A156" s="48"/>
      <c r="B156" s="46"/>
      <c r="C156" s="50"/>
      <c r="D156" s="50"/>
      <c r="E156" s="50"/>
      <c r="F156" s="50"/>
      <c r="G156" s="49"/>
      <c r="H156" s="50"/>
      <c r="I156" s="50"/>
      <c r="J156" s="50"/>
      <c r="K156" s="50"/>
      <c r="L156" s="50"/>
      <c r="M156" s="46"/>
      <c r="N156" s="47"/>
      <c r="O156" s="62" t="str">
        <f aca="false">IF($B156="","",TEXT($A156,"YYYY-MM-DD")&amp;"|"&amp;$B156)</f>
        <v/>
      </c>
      <c r="P156" s="3"/>
      <c r="Q156" s="3"/>
      <c r="R156" s="3"/>
      <c r="S156" s="3"/>
      <c r="T156" s="3"/>
      <c r="U156" s="3"/>
      <c r="V156" s="3"/>
      <c r="W156" s="3"/>
      <c r="X156" s="3"/>
      <c r="Y156" s="3"/>
      <c r="Z156" s="3"/>
      <c r="AA156" s="3"/>
      <c r="AB156" s="3"/>
    </row>
    <row r="157" customFormat="false" ht="15" hidden="false" customHeight="false" outlineLevel="0" collapsed="false">
      <c r="A157" s="54"/>
      <c r="B157" s="52"/>
      <c r="C157" s="56"/>
      <c r="D157" s="56"/>
      <c r="E157" s="56"/>
      <c r="F157" s="56"/>
      <c r="G157" s="55"/>
      <c r="H157" s="56"/>
      <c r="I157" s="56"/>
      <c r="J157" s="56"/>
      <c r="K157" s="56"/>
      <c r="L157" s="56"/>
      <c r="M157" s="52"/>
      <c r="N157" s="53"/>
      <c r="O157" s="62" t="str">
        <f aca="false">IF($B157="","",TEXT($A157,"YYYY-MM-DD")&amp;"|"&amp;$B157)</f>
        <v/>
      </c>
      <c r="P157" s="3"/>
      <c r="Q157" s="3"/>
      <c r="R157" s="3"/>
      <c r="S157" s="3"/>
      <c r="T157" s="3"/>
      <c r="U157" s="3"/>
      <c r="V157" s="3"/>
      <c r="W157" s="3"/>
      <c r="X157" s="3"/>
      <c r="Y157" s="3"/>
      <c r="Z157" s="3"/>
      <c r="AA157" s="3"/>
      <c r="AB157" s="3"/>
    </row>
    <row r="158" customFormat="false" ht="15" hidden="false" customHeight="false" outlineLevel="0" collapsed="false">
      <c r="A158" s="48"/>
      <c r="B158" s="46"/>
      <c r="C158" s="50"/>
      <c r="D158" s="50"/>
      <c r="E158" s="50"/>
      <c r="F158" s="50"/>
      <c r="G158" s="49"/>
      <c r="H158" s="50"/>
      <c r="I158" s="50"/>
      <c r="J158" s="50"/>
      <c r="K158" s="50"/>
      <c r="L158" s="50"/>
      <c r="M158" s="46"/>
      <c r="N158" s="47"/>
      <c r="O158" s="62" t="str">
        <f aca="false">IF($B158="","",TEXT($A158,"YYYY-MM-DD")&amp;"|"&amp;$B158)</f>
        <v/>
      </c>
      <c r="P158" s="3"/>
      <c r="Q158" s="3"/>
      <c r="R158" s="3"/>
      <c r="S158" s="3"/>
      <c r="T158" s="3"/>
      <c r="U158" s="3"/>
      <c r="V158" s="3"/>
      <c r="W158" s="3"/>
      <c r="X158" s="3"/>
      <c r="Y158" s="3"/>
      <c r="Z158" s="3"/>
      <c r="AA158" s="3"/>
      <c r="AB158" s="3"/>
    </row>
    <row r="159" customFormat="false" ht="15" hidden="false" customHeight="false" outlineLevel="0" collapsed="false">
      <c r="A159" s="54"/>
      <c r="B159" s="52"/>
      <c r="C159" s="56"/>
      <c r="D159" s="56"/>
      <c r="E159" s="56"/>
      <c r="F159" s="56"/>
      <c r="G159" s="55"/>
      <c r="H159" s="56"/>
      <c r="I159" s="56"/>
      <c r="J159" s="56"/>
      <c r="K159" s="56"/>
      <c r="L159" s="56"/>
      <c r="M159" s="52"/>
      <c r="N159" s="53"/>
      <c r="O159" s="62" t="str">
        <f aca="false">IF($B159="","",TEXT($A159,"YYYY-MM-DD")&amp;"|"&amp;$B159)</f>
        <v/>
      </c>
      <c r="P159" s="3"/>
      <c r="Q159" s="3"/>
      <c r="R159" s="3"/>
      <c r="S159" s="3"/>
      <c r="T159" s="3"/>
      <c r="U159" s="3"/>
      <c r="V159" s="3"/>
      <c r="W159" s="3"/>
      <c r="X159" s="3"/>
      <c r="Y159" s="3"/>
      <c r="Z159" s="3"/>
      <c r="AA159" s="3"/>
      <c r="AB159" s="3"/>
    </row>
    <row r="160" customFormat="false" ht="15" hidden="false" customHeight="false" outlineLevel="0" collapsed="false">
      <c r="A160" s="48"/>
      <c r="B160" s="46"/>
      <c r="C160" s="50"/>
      <c r="D160" s="50"/>
      <c r="E160" s="50"/>
      <c r="F160" s="50"/>
      <c r="G160" s="49"/>
      <c r="H160" s="50"/>
      <c r="I160" s="50"/>
      <c r="J160" s="50"/>
      <c r="K160" s="50"/>
      <c r="L160" s="50"/>
      <c r="M160" s="46"/>
      <c r="N160" s="47"/>
      <c r="O160" s="62" t="str">
        <f aca="false">IF($B160="","",TEXT($A160,"YYYY-MM-DD")&amp;"|"&amp;$B160)</f>
        <v/>
      </c>
      <c r="P160" s="3"/>
      <c r="Q160" s="3"/>
      <c r="R160" s="3"/>
      <c r="S160" s="3"/>
      <c r="T160" s="3"/>
      <c r="U160" s="3"/>
      <c r="V160" s="3"/>
      <c r="W160" s="3"/>
      <c r="X160" s="3"/>
      <c r="Y160" s="3"/>
      <c r="Z160" s="3"/>
      <c r="AA160" s="3"/>
      <c r="AB160" s="3"/>
    </row>
    <row r="161" customFormat="false" ht="15" hidden="false" customHeight="false" outlineLevel="0" collapsed="false">
      <c r="A161" s="54"/>
      <c r="B161" s="52"/>
      <c r="C161" s="56"/>
      <c r="D161" s="56"/>
      <c r="E161" s="56"/>
      <c r="F161" s="56"/>
      <c r="G161" s="55"/>
      <c r="H161" s="56"/>
      <c r="I161" s="56"/>
      <c r="J161" s="56"/>
      <c r="K161" s="56"/>
      <c r="L161" s="56"/>
      <c r="M161" s="52"/>
      <c r="N161" s="53"/>
      <c r="O161" s="62" t="str">
        <f aca="false">IF($B161="","",TEXT($A161,"YYYY-MM-DD")&amp;"|"&amp;$B161)</f>
        <v/>
      </c>
      <c r="P161" s="3"/>
      <c r="Q161" s="3"/>
      <c r="R161" s="3"/>
      <c r="S161" s="3"/>
      <c r="T161" s="3"/>
      <c r="U161" s="3"/>
      <c r="V161" s="3"/>
      <c r="W161" s="3"/>
      <c r="X161" s="3"/>
      <c r="Y161" s="3"/>
      <c r="Z161" s="3"/>
      <c r="AA161" s="3"/>
      <c r="AB161" s="3"/>
    </row>
    <row r="162" customFormat="false" ht="15" hidden="false" customHeight="false" outlineLevel="0" collapsed="false">
      <c r="A162" s="48"/>
      <c r="B162" s="46"/>
      <c r="C162" s="50"/>
      <c r="D162" s="50"/>
      <c r="E162" s="50"/>
      <c r="F162" s="50"/>
      <c r="G162" s="49"/>
      <c r="H162" s="50"/>
      <c r="I162" s="50"/>
      <c r="J162" s="50"/>
      <c r="K162" s="50"/>
      <c r="L162" s="50"/>
      <c r="M162" s="46"/>
      <c r="N162" s="47"/>
      <c r="O162" s="62" t="str">
        <f aca="false">IF($B162="","",TEXT($A162,"YYYY-MM-DD")&amp;"|"&amp;$B162)</f>
        <v/>
      </c>
      <c r="P162" s="3"/>
      <c r="Q162" s="3"/>
      <c r="R162" s="3"/>
      <c r="S162" s="3"/>
      <c r="T162" s="3"/>
      <c r="U162" s="3"/>
      <c r="V162" s="3"/>
      <c r="W162" s="3"/>
      <c r="X162" s="3"/>
      <c r="Y162" s="3"/>
      <c r="Z162" s="3"/>
      <c r="AA162" s="3"/>
      <c r="AB162" s="3"/>
    </row>
    <row r="163" customFormat="false" ht="15" hidden="false" customHeight="false" outlineLevel="0" collapsed="false">
      <c r="A163" s="54"/>
      <c r="B163" s="52"/>
      <c r="C163" s="56"/>
      <c r="D163" s="56"/>
      <c r="E163" s="56"/>
      <c r="F163" s="56"/>
      <c r="G163" s="55"/>
      <c r="H163" s="56"/>
      <c r="I163" s="56"/>
      <c r="J163" s="56"/>
      <c r="K163" s="56"/>
      <c r="L163" s="56"/>
      <c r="M163" s="52"/>
      <c r="N163" s="53"/>
      <c r="O163" s="62" t="str">
        <f aca="false">IF($B163="","",TEXT($A163,"YYYY-MM-DD")&amp;"|"&amp;$B163)</f>
        <v/>
      </c>
      <c r="P163" s="3"/>
      <c r="Q163" s="3"/>
      <c r="R163" s="3"/>
      <c r="S163" s="3"/>
      <c r="T163" s="3"/>
      <c r="U163" s="3"/>
      <c r="V163" s="3"/>
      <c r="W163" s="3"/>
      <c r="X163" s="3"/>
      <c r="Y163" s="3"/>
      <c r="Z163" s="3"/>
      <c r="AA163" s="3"/>
      <c r="AB163" s="3"/>
    </row>
    <row r="164" customFormat="false" ht="15" hidden="false" customHeight="false" outlineLevel="0" collapsed="false">
      <c r="A164" s="48"/>
      <c r="B164" s="46"/>
      <c r="C164" s="50"/>
      <c r="D164" s="50"/>
      <c r="E164" s="50"/>
      <c r="F164" s="50"/>
      <c r="G164" s="49"/>
      <c r="H164" s="50"/>
      <c r="I164" s="50"/>
      <c r="J164" s="50"/>
      <c r="K164" s="50"/>
      <c r="L164" s="50"/>
      <c r="M164" s="46"/>
      <c r="N164" s="47"/>
      <c r="O164" s="62" t="str">
        <f aca="false">IF($B164="","",TEXT($A164,"YYYY-MM-DD")&amp;"|"&amp;$B164)</f>
        <v/>
      </c>
      <c r="P164" s="3"/>
      <c r="Q164" s="3"/>
      <c r="R164" s="3"/>
      <c r="S164" s="3"/>
      <c r="T164" s="3"/>
      <c r="U164" s="3"/>
      <c r="V164" s="3"/>
      <c r="W164" s="3"/>
      <c r="X164" s="3"/>
      <c r="Y164" s="3"/>
      <c r="Z164" s="3"/>
      <c r="AA164" s="3"/>
      <c r="AB164" s="3"/>
    </row>
    <row r="165" customFormat="false" ht="15" hidden="false" customHeight="false" outlineLevel="0" collapsed="false">
      <c r="A165" s="54"/>
      <c r="B165" s="52"/>
      <c r="C165" s="56"/>
      <c r="D165" s="56"/>
      <c r="E165" s="56"/>
      <c r="F165" s="56"/>
      <c r="G165" s="55"/>
      <c r="H165" s="56"/>
      <c r="I165" s="56"/>
      <c r="J165" s="56"/>
      <c r="K165" s="56"/>
      <c r="L165" s="56"/>
      <c r="M165" s="52"/>
      <c r="N165" s="53"/>
      <c r="O165" s="62" t="str">
        <f aca="false">IF($B165="","",TEXT($A165,"YYYY-MM-DD")&amp;"|"&amp;$B165)</f>
        <v/>
      </c>
      <c r="P165" s="3"/>
      <c r="Q165" s="3"/>
      <c r="R165" s="3"/>
      <c r="S165" s="3"/>
      <c r="T165" s="3"/>
      <c r="U165" s="3"/>
      <c r="V165" s="3"/>
      <c r="W165" s="3"/>
      <c r="X165" s="3"/>
      <c r="Y165" s="3"/>
      <c r="Z165" s="3"/>
      <c r="AA165" s="3"/>
      <c r="AB165" s="3"/>
    </row>
    <row r="166" customFormat="false" ht="15" hidden="false" customHeight="false" outlineLevel="0" collapsed="false">
      <c r="A166" s="48"/>
      <c r="B166" s="46"/>
      <c r="C166" s="50"/>
      <c r="D166" s="50"/>
      <c r="E166" s="50"/>
      <c r="F166" s="50"/>
      <c r="G166" s="49"/>
      <c r="H166" s="50"/>
      <c r="I166" s="50"/>
      <c r="J166" s="50"/>
      <c r="K166" s="50"/>
      <c r="L166" s="50"/>
      <c r="M166" s="46"/>
      <c r="N166" s="47"/>
      <c r="O166" s="62" t="str">
        <f aca="false">IF($B166="","",TEXT($A166,"YYYY-MM-DD")&amp;"|"&amp;$B166)</f>
        <v/>
      </c>
      <c r="P166" s="3"/>
      <c r="Q166" s="3"/>
      <c r="R166" s="3"/>
      <c r="S166" s="3"/>
      <c r="T166" s="3"/>
      <c r="U166" s="3"/>
      <c r="V166" s="3"/>
      <c r="W166" s="3"/>
      <c r="X166" s="3"/>
      <c r="Y166" s="3"/>
      <c r="Z166" s="3"/>
      <c r="AA166" s="3"/>
      <c r="AB166" s="3"/>
    </row>
    <row r="167" customFormat="false" ht="15" hidden="false" customHeight="false" outlineLevel="0" collapsed="false">
      <c r="A167" s="54"/>
      <c r="B167" s="52"/>
      <c r="C167" s="56"/>
      <c r="D167" s="56"/>
      <c r="E167" s="56"/>
      <c r="F167" s="56"/>
      <c r="G167" s="55"/>
      <c r="H167" s="56"/>
      <c r="I167" s="56"/>
      <c r="J167" s="56"/>
      <c r="K167" s="56"/>
      <c r="L167" s="56"/>
      <c r="M167" s="52"/>
      <c r="N167" s="53"/>
      <c r="O167" s="62" t="str">
        <f aca="false">IF($B167="","",TEXT($A167,"YYYY-MM-DD")&amp;"|"&amp;$B167)</f>
        <v/>
      </c>
      <c r="P167" s="3"/>
      <c r="Q167" s="3"/>
      <c r="R167" s="3"/>
      <c r="S167" s="3"/>
      <c r="T167" s="3"/>
      <c r="U167" s="3"/>
      <c r="V167" s="3"/>
      <c r="W167" s="3"/>
      <c r="X167" s="3"/>
      <c r="Y167" s="3"/>
      <c r="Z167" s="3"/>
      <c r="AA167" s="3"/>
      <c r="AB167" s="3"/>
    </row>
    <row r="168" customFormat="false" ht="15" hidden="false" customHeight="false" outlineLevel="0" collapsed="false">
      <c r="A168" s="48"/>
      <c r="B168" s="46"/>
      <c r="C168" s="50"/>
      <c r="D168" s="50"/>
      <c r="E168" s="50"/>
      <c r="F168" s="50"/>
      <c r="G168" s="49"/>
      <c r="H168" s="50"/>
      <c r="I168" s="50"/>
      <c r="J168" s="50"/>
      <c r="K168" s="50"/>
      <c r="L168" s="50"/>
      <c r="M168" s="46"/>
      <c r="N168" s="47"/>
      <c r="O168" s="62" t="str">
        <f aca="false">IF($B168="","",TEXT($A168,"YYYY-MM-DD")&amp;"|"&amp;$B168)</f>
        <v/>
      </c>
      <c r="P168" s="3"/>
      <c r="Q168" s="3"/>
      <c r="R168" s="3"/>
      <c r="S168" s="3"/>
      <c r="T168" s="3"/>
      <c r="U168" s="3"/>
      <c r="V168" s="3"/>
      <c r="W168" s="3"/>
      <c r="X168" s="3"/>
      <c r="Y168" s="3"/>
      <c r="Z168" s="3"/>
      <c r="AA168" s="3"/>
      <c r="AB168" s="3"/>
    </row>
    <row r="169" customFormat="false" ht="15" hidden="false" customHeight="false" outlineLevel="0" collapsed="false">
      <c r="A169" s="54"/>
      <c r="B169" s="52"/>
      <c r="C169" s="56"/>
      <c r="D169" s="56"/>
      <c r="E169" s="56"/>
      <c r="F169" s="56"/>
      <c r="G169" s="55"/>
      <c r="H169" s="56"/>
      <c r="I169" s="56"/>
      <c r="J169" s="56"/>
      <c r="K169" s="56"/>
      <c r="L169" s="56"/>
      <c r="M169" s="52"/>
      <c r="N169" s="53"/>
      <c r="O169" s="62" t="str">
        <f aca="false">IF($B169="","",TEXT($A169,"YYYY-MM-DD")&amp;"|"&amp;$B169)</f>
        <v/>
      </c>
      <c r="P169" s="3"/>
      <c r="Q169" s="3"/>
      <c r="R169" s="3"/>
      <c r="S169" s="3"/>
      <c r="T169" s="3"/>
      <c r="U169" s="3"/>
      <c r="V169" s="3"/>
      <c r="W169" s="3"/>
      <c r="X169" s="3"/>
      <c r="Y169" s="3"/>
      <c r="Z169" s="3"/>
      <c r="AA169" s="3"/>
      <c r="AB169" s="3"/>
    </row>
    <row r="170" customFormat="false" ht="15" hidden="false" customHeight="false" outlineLevel="0" collapsed="false">
      <c r="A170" s="48"/>
      <c r="B170" s="46"/>
      <c r="C170" s="50"/>
      <c r="D170" s="50"/>
      <c r="E170" s="50"/>
      <c r="F170" s="50"/>
      <c r="G170" s="49"/>
      <c r="H170" s="50"/>
      <c r="I170" s="50"/>
      <c r="J170" s="50"/>
      <c r="K170" s="50"/>
      <c r="L170" s="50"/>
      <c r="M170" s="46"/>
      <c r="N170" s="47"/>
      <c r="O170" s="62" t="str">
        <f aca="false">IF($B170="","",TEXT($A170,"YYYY-MM-DD")&amp;"|"&amp;$B170)</f>
        <v/>
      </c>
      <c r="P170" s="3"/>
      <c r="Q170" s="3"/>
      <c r="R170" s="3"/>
      <c r="S170" s="3"/>
      <c r="T170" s="3"/>
      <c r="U170" s="3"/>
      <c r="V170" s="3"/>
      <c r="W170" s="3"/>
      <c r="X170" s="3"/>
      <c r="Y170" s="3"/>
      <c r="Z170" s="3"/>
      <c r="AA170" s="3"/>
      <c r="AB170" s="3"/>
    </row>
    <row r="171" customFormat="false" ht="15" hidden="false" customHeight="false" outlineLevel="0" collapsed="false">
      <c r="A171" s="54"/>
      <c r="B171" s="52"/>
      <c r="C171" s="56"/>
      <c r="D171" s="56"/>
      <c r="E171" s="56"/>
      <c r="F171" s="56"/>
      <c r="G171" s="55"/>
      <c r="H171" s="56"/>
      <c r="I171" s="56"/>
      <c r="J171" s="56"/>
      <c r="K171" s="56"/>
      <c r="L171" s="56"/>
      <c r="M171" s="52"/>
      <c r="N171" s="53"/>
      <c r="O171" s="62" t="str">
        <f aca="false">IF($B171="","",TEXT($A171,"YYYY-MM-DD")&amp;"|"&amp;$B171)</f>
        <v/>
      </c>
      <c r="P171" s="3"/>
      <c r="Q171" s="3"/>
      <c r="R171" s="3"/>
      <c r="S171" s="3"/>
      <c r="T171" s="3"/>
      <c r="U171" s="3"/>
      <c r="V171" s="3"/>
      <c r="W171" s="3"/>
      <c r="X171" s="3"/>
      <c r="Y171" s="3"/>
      <c r="Z171" s="3"/>
      <c r="AA171" s="3"/>
      <c r="AB171" s="3"/>
    </row>
    <row r="172" customFormat="false" ht="15" hidden="false" customHeight="false" outlineLevel="0" collapsed="false">
      <c r="A172" s="48"/>
      <c r="B172" s="46"/>
      <c r="C172" s="50"/>
      <c r="D172" s="50"/>
      <c r="E172" s="50"/>
      <c r="F172" s="50"/>
      <c r="G172" s="49"/>
      <c r="H172" s="50"/>
      <c r="I172" s="50"/>
      <c r="J172" s="50"/>
      <c r="K172" s="50"/>
      <c r="L172" s="50"/>
      <c r="M172" s="46"/>
      <c r="N172" s="47"/>
      <c r="O172" s="62" t="str">
        <f aca="false">IF($B172="","",TEXT($A172,"YYYY-MM-DD")&amp;"|"&amp;$B172)</f>
        <v/>
      </c>
      <c r="P172" s="3"/>
      <c r="Q172" s="3"/>
      <c r="R172" s="3"/>
      <c r="S172" s="3"/>
      <c r="T172" s="3"/>
      <c r="U172" s="3"/>
      <c r="V172" s="3"/>
      <c r="W172" s="3"/>
      <c r="X172" s="3"/>
      <c r="Y172" s="3"/>
      <c r="Z172" s="3"/>
      <c r="AA172" s="3"/>
      <c r="AB172" s="3"/>
    </row>
    <row r="173" customFormat="false" ht="15" hidden="false" customHeight="false" outlineLevel="0" collapsed="false">
      <c r="A173" s="54"/>
      <c r="B173" s="52"/>
      <c r="C173" s="56"/>
      <c r="D173" s="56"/>
      <c r="E173" s="56"/>
      <c r="F173" s="56"/>
      <c r="G173" s="55"/>
      <c r="H173" s="56"/>
      <c r="I173" s="56"/>
      <c r="J173" s="56"/>
      <c r="K173" s="56"/>
      <c r="L173" s="56"/>
      <c r="M173" s="52"/>
      <c r="N173" s="53"/>
      <c r="O173" s="62" t="str">
        <f aca="false">IF($B173="","",TEXT($A173,"YYYY-MM-DD")&amp;"|"&amp;$B173)</f>
        <v/>
      </c>
      <c r="P173" s="3"/>
      <c r="Q173" s="3"/>
      <c r="R173" s="3"/>
      <c r="S173" s="3"/>
      <c r="T173" s="3"/>
      <c r="U173" s="3"/>
      <c r="V173" s="3"/>
      <c r="W173" s="3"/>
      <c r="X173" s="3"/>
      <c r="Y173" s="3"/>
      <c r="Z173" s="3"/>
      <c r="AA173" s="3"/>
      <c r="AB173" s="3"/>
    </row>
    <row r="174" customFormat="false" ht="15" hidden="false" customHeight="false" outlineLevel="0" collapsed="false">
      <c r="A174" s="48"/>
      <c r="B174" s="46"/>
      <c r="C174" s="50"/>
      <c r="D174" s="50"/>
      <c r="E174" s="50"/>
      <c r="F174" s="50"/>
      <c r="G174" s="49"/>
      <c r="H174" s="50"/>
      <c r="I174" s="50"/>
      <c r="J174" s="50"/>
      <c r="K174" s="50"/>
      <c r="L174" s="50"/>
      <c r="M174" s="46"/>
      <c r="N174" s="47"/>
      <c r="O174" s="62" t="str">
        <f aca="false">IF($B174="","",TEXT($A174,"YYYY-MM-DD")&amp;"|"&amp;$B174)</f>
        <v/>
      </c>
      <c r="P174" s="3"/>
      <c r="Q174" s="3"/>
      <c r="R174" s="3"/>
      <c r="S174" s="3"/>
      <c r="T174" s="3"/>
      <c r="U174" s="3"/>
      <c r="V174" s="3"/>
      <c r="W174" s="3"/>
      <c r="X174" s="3"/>
      <c r="Y174" s="3"/>
      <c r="Z174" s="3"/>
      <c r="AA174" s="3"/>
      <c r="AB174" s="3"/>
    </row>
    <row r="175" customFormat="false" ht="15" hidden="false" customHeight="false" outlineLevel="0" collapsed="false">
      <c r="A175" s="54"/>
      <c r="B175" s="52"/>
      <c r="C175" s="56"/>
      <c r="D175" s="56"/>
      <c r="E175" s="56"/>
      <c r="F175" s="56"/>
      <c r="G175" s="55"/>
      <c r="H175" s="56"/>
      <c r="I175" s="56"/>
      <c r="J175" s="56"/>
      <c r="K175" s="56"/>
      <c r="L175" s="56"/>
      <c r="M175" s="52"/>
      <c r="N175" s="53"/>
      <c r="O175" s="62" t="str">
        <f aca="false">IF($B175="","",TEXT($A175,"YYYY-MM-DD")&amp;"|"&amp;$B175)</f>
        <v/>
      </c>
      <c r="P175" s="3"/>
      <c r="Q175" s="3"/>
      <c r="R175" s="3"/>
      <c r="S175" s="3"/>
      <c r="T175" s="3"/>
      <c r="U175" s="3"/>
      <c r="V175" s="3"/>
      <c r="W175" s="3"/>
      <c r="X175" s="3"/>
      <c r="Y175" s="3"/>
      <c r="Z175" s="3"/>
      <c r="AA175" s="3"/>
      <c r="AB175" s="3"/>
    </row>
    <row r="176" customFormat="false" ht="15" hidden="false" customHeight="false" outlineLevel="0" collapsed="false">
      <c r="A176" s="48"/>
      <c r="B176" s="46"/>
      <c r="C176" s="50"/>
      <c r="D176" s="50"/>
      <c r="E176" s="50"/>
      <c r="F176" s="50"/>
      <c r="G176" s="49"/>
      <c r="H176" s="50"/>
      <c r="I176" s="50"/>
      <c r="J176" s="50"/>
      <c r="K176" s="50"/>
      <c r="L176" s="50"/>
      <c r="M176" s="46"/>
      <c r="N176" s="47"/>
      <c r="O176" s="62" t="str">
        <f aca="false">IF($B176="","",TEXT($A176,"YYYY-MM-DD")&amp;"|"&amp;$B176)</f>
        <v/>
      </c>
      <c r="P176" s="3"/>
      <c r="Q176" s="3"/>
      <c r="R176" s="3"/>
      <c r="S176" s="3"/>
      <c r="T176" s="3"/>
      <c r="U176" s="3"/>
      <c r="V176" s="3"/>
      <c r="W176" s="3"/>
      <c r="X176" s="3"/>
      <c r="Y176" s="3"/>
      <c r="Z176" s="3"/>
      <c r="AA176" s="3"/>
      <c r="AB176" s="3"/>
    </row>
    <row r="177" customFormat="false" ht="15" hidden="false" customHeight="false" outlineLevel="0" collapsed="false">
      <c r="A177" s="54"/>
      <c r="B177" s="52"/>
      <c r="C177" s="56"/>
      <c r="D177" s="56"/>
      <c r="E177" s="56"/>
      <c r="F177" s="56"/>
      <c r="G177" s="55"/>
      <c r="H177" s="56"/>
      <c r="I177" s="56"/>
      <c r="J177" s="56"/>
      <c r="K177" s="56"/>
      <c r="L177" s="56"/>
      <c r="M177" s="52"/>
      <c r="N177" s="53"/>
      <c r="O177" s="62" t="str">
        <f aca="false">IF($B177="","",TEXT($A177,"YYYY-MM-DD")&amp;"|"&amp;$B177)</f>
        <v/>
      </c>
      <c r="P177" s="3"/>
      <c r="Q177" s="3"/>
      <c r="R177" s="3"/>
      <c r="S177" s="3"/>
      <c r="T177" s="3"/>
      <c r="U177" s="3"/>
      <c r="V177" s="3"/>
      <c r="W177" s="3"/>
      <c r="X177" s="3"/>
      <c r="Y177" s="3"/>
      <c r="Z177" s="3"/>
      <c r="AA177" s="3"/>
      <c r="AB177" s="3"/>
    </row>
    <row r="178" customFormat="false" ht="15" hidden="false" customHeight="false" outlineLevel="0" collapsed="false">
      <c r="A178" s="48"/>
      <c r="B178" s="46"/>
      <c r="C178" s="50"/>
      <c r="D178" s="50"/>
      <c r="E178" s="50"/>
      <c r="F178" s="50"/>
      <c r="G178" s="49"/>
      <c r="H178" s="50"/>
      <c r="I178" s="50"/>
      <c r="J178" s="50"/>
      <c r="K178" s="50"/>
      <c r="L178" s="50"/>
      <c r="M178" s="46"/>
      <c r="N178" s="47"/>
      <c r="O178" s="62" t="str">
        <f aca="false">IF($B178="","",TEXT($A178,"YYYY-MM-DD")&amp;"|"&amp;$B178)</f>
        <v/>
      </c>
      <c r="P178" s="3"/>
      <c r="Q178" s="3"/>
      <c r="R178" s="3"/>
      <c r="S178" s="3"/>
      <c r="T178" s="3"/>
      <c r="U178" s="3"/>
      <c r="V178" s="3"/>
      <c r="W178" s="3"/>
      <c r="X178" s="3"/>
      <c r="Y178" s="3"/>
      <c r="Z178" s="3"/>
      <c r="AA178" s="3"/>
      <c r="AB178" s="3"/>
    </row>
    <row r="179" customFormat="false" ht="15" hidden="false" customHeight="false" outlineLevel="0" collapsed="false">
      <c r="A179" s="54"/>
      <c r="B179" s="52"/>
      <c r="C179" s="56"/>
      <c r="D179" s="56"/>
      <c r="E179" s="56"/>
      <c r="F179" s="56"/>
      <c r="G179" s="55"/>
      <c r="H179" s="56"/>
      <c r="I179" s="56"/>
      <c r="J179" s="56"/>
      <c r="K179" s="56"/>
      <c r="L179" s="56"/>
      <c r="M179" s="52"/>
      <c r="N179" s="53"/>
      <c r="O179" s="62" t="str">
        <f aca="false">IF($B179="","",TEXT($A179,"YYYY-MM-DD")&amp;"|"&amp;$B179)</f>
        <v/>
      </c>
      <c r="P179" s="3"/>
      <c r="Q179" s="3"/>
      <c r="R179" s="3"/>
      <c r="S179" s="3"/>
      <c r="T179" s="3"/>
      <c r="U179" s="3"/>
      <c r="V179" s="3"/>
      <c r="W179" s="3"/>
      <c r="X179" s="3"/>
      <c r="Y179" s="3"/>
      <c r="Z179" s="3"/>
      <c r="AA179" s="3"/>
      <c r="AB179" s="3"/>
    </row>
    <row r="180" customFormat="false" ht="15" hidden="false" customHeight="false" outlineLevel="0" collapsed="false">
      <c r="A180" s="48"/>
      <c r="B180" s="46"/>
      <c r="C180" s="50"/>
      <c r="D180" s="50"/>
      <c r="E180" s="50"/>
      <c r="F180" s="50"/>
      <c r="G180" s="49"/>
      <c r="H180" s="50"/>
      <c r="I180" s="50"/>
      <c r="J180" s="50"/>
      <c r="K180" s="50"/>
      <c r="L180" s="50"/>
      <c r="M180" s="46"/>
      <c r="N180" s="47"/>
      <c r="O180" s="62" t="str">
        <f aca="false">IF($B180="","",TEXT($A180,"YYYY-MM-DD")&amp;"|"&amp;$B180)</f>
        <v/>
      </c>
      <c r="P180" s="3"/>
      <c r="Q180" s="3"/>
      <c r="R180" s="3"/>
      <c r="S180" s="3"/>
      <c r="T180" s="3"/>
      <c r="U180" s="3"/>
      <c r="V180" s="3"/>
      <c r="W180" s="3"/>
      <c r="X180" s="3"/>
      <c r="Y180" s="3"/>
      <c r="Z180" s="3"/>
      <c r="AA180" s="3"/>
      <c r="AB180" s="3"/>
    </row>
    <row r="181" customFormat="false" ht="15" hidden="false" customHeight="false" outlineLevel="0" collapsed="false">
      <c r="A181" s="54"/>
      <c r="B181" s="52"/>
      <c r="C181" s="56"/>
      <c r="D181" s="56"/>
      <c r="E181" s="56"/>
      <c r="F181" s="56"/>
      <c r="G181" s="55"/>
      <c r="H181" s="56"/>
      <c r="I181" s="56"/>
      <c r="J181" s="56"/>
      <c r="K181" s="56"/>
      <c r="L181" s="56"/>
      <c r="M181" s="52"/>
      <c r="N181" s="53"/>
      <c r="O181" s="62" t="str">
        <f aca="false">IF($B181="","",TEXT($A181,"YYYY-MM-DD")&amp;"|"&amp;$B181)</f>
        <v/>
      </c>
      <c r="P181" s="3"/>
      <c r="Q181" s="3"/>
      <c r="R181" s="3"/>
      <c r="S181" s="3"/>
      <c r="T181" s="3"/>
      <c r="U181" s="3"/>
      <c r="V181" s="3"/>
      <c r="W181" s="3"/>
      <c r="X181" s="3"/>
      <c r="Y181" s="3"/>
      <c r="Z181" s="3"/>
      <c r="AA181" s="3"/>
      <c r="AB181" s="3"/>
    </row>
    <row r="182" customFormat="false" ht="15" hidden="false" customHeight="false" outlineLevel="0" collapsed="false">
      <c r="A182" s="48"/>
      <c r="B182" s="46"/>
      <c r="C182" s="50"/>
      <c r="D182" s="50"/>
      <c r="E182" s="50"/>
      <c r="F182" s="50"/>
      <c r="G182" s="49"/>
      <c r="H182" s="50"/>
      <c r="I182" s="50"/>
      <c r="J182" s="50"/>
      <c r="K182" s="50"/>
      <c r="L182" s="50"/>
      <c r="M182" s="46"/>
      <c r="N182" s="47"/>
      <c r="O182" s="62" t="str">
        <f aca="false">IF($B182="","",TEXT($A182,"YYYY-MM-DD")&amp;"|"&amp;$B182)</f>
        <v/>
      </c>
      <c r="P182" s="3"/>
      <c r="Q182" s="3"/>
      <c r="R182" s="3"/>
      <c r="S182" s="3"/>
      <c r="T182" s="3"/>
      <c r="U182" s="3"/>
      <c r="V182" s="3"/>
      <c r="W182" s="3"/>
      <c r="X182" s="3"/>
      <c r="Y182" s="3"/>
      <c r="Z182" s="3"/>
      <c r="AA182" s="3"/>
      <c r="AB182" s="3"/>
    </row>
    <row r="183" customFormat="false" ht="15" hidden="false" customHeight="false" outlineLevel="0" collapsed="false">
      <c r="A183" s="54"/>
      <c r="B183" s="52"/>
      <c r="C183" s="56"/>
      <c r="D183" s="56"/>
      <c r="E183" s="56"/>
      <c r="F183" s="56"/>
      <c r="G183" s="55"/>
      <c r="H183" s="56"/>
      <c r="I183" s="56"/>
      <c r="J183" s="56"/>
      <c r="K183" s="56"/>
      <c r="L183" s="56"/>
      <c r="M183" s="52"/>
      <c r="N183" s="53"/>
      <c r="O183" s="62" t="str">
        <f aca="false">IF($B183="","",TEXT($A183,"YYYY-MM-DD")&amp;"|"&amp;$B183)</f>
        <v/>
      </c>
      <c r="P183" s="3"/>
      <c r="Q183" s="3"/>
      <c r="R183" s="3"/>
      <c r="S183" s="3"/>
      <c r="T183" s="3"/>
      <c r="U183" s="3"/>
      <c r="V183" s="3"/>
      <c r="W183" s="3"/>
      <c r="X183" s="3"/>
      <c r="Y183" s="3"/>
      <c r="Z183" s="3"/>
      <c r="AA183" s="3"/>
      <c r="AB183" s="3"/>
    </row>
    <row r="184" customFormat="false" ht="15" hidden="false" customHeight="false" outlineLevel="0" collapsed="false">
      <c r="A184" s="48"/>
      <c r="B184" s="46"/>
      <c r="C184" s="50"/>
      <c r="D184" s="50"/>
      <c r="E184" s="50"/>
      <c r="F184" s="50"/>
      <c r="G184" s="49"/>
      <c r="H184" s="50"/>
      <c r="I184" s="50"/>
      <c r="J184" s="50"/>
      <c r="K184" s="50"/>
      <c r="L184" s="50"/>
      <c r="M184" s="46"/>
      <c r="N184" s="47"/>
      <c r="O184" s="62" t="str">
        <f aca="false">IF($B184="","",TEXT($A184,"YYYY-MM-DD")&amp;"|"&amp;$B184)</f>
        <v/>
      </c>
      <c r="P184" s="3"/>
      <c r="Q184" s="3"/>
      <c r="R184" s="3"/>
      <c r="S184" s="3"/>
      <c r="T184" s="3"/>
      <c r="U184" s="3"/>
      <c r="V184" s="3"/>
      <c r="W184" s="3"/>
      <c r="X184" s="3"/>
      <c r="Y184" s="3"/>
      <c r="Z184" s="3"/>
      <c r="AA184" s="3"/>
      <c r="AB184" s="3"/>
    </row>
    <row r="185" customFormat="false" ht="15" hidden="false" customHeight="false" outlineLevel="0" collapsed="false">
      <c r="A185" s="54"/>
      <c r="B185" s="52"/>
      <c r="C185" s="56"/>
      <c r="D185" s="56"/>
      <c r="E185" s="56"/>
      <c r="F185" s="56"/>
      <c r="G185" s="55"/>
      <c r="H185" s="56"/>
      <c r="I185" s="56"/>
      <c r="J185" s="56"/>
      <c r="K185" s="56"/>
      <c r="L185" s="56"/>
      <c r="M185" s="52"/>
      <c r="N185" s="53"/>
      <c r="O185" s="62" t="str">
        <f aca="false">IF($B185="","",TEXT($A185,"YYYY-MM-DD")&amp;"|"&amp;$B185)</f>
        <v/>
      </c>
      <c r="P185" s="3"/>
      <c r="Q185" s="3"/>
      <c r="R185" s="3"/>
      <c r="S185" s="3"/>
      <c r="T185" s="3"/>
      <c r="U185" s="3"/>
      <c r="V185" s="3"/>
      <c r="W185" s="3"/>
      <c r="X185" s="3"/>
      <c r="Y185" s="3"/>
      <c r="Z185" s="3"/>
      <c r="AA185" s="3"/>
      <c r="AB185" s="3"/>
    </row>
    <row r="186" customFormat="false" ht="15" hidden="false" customHeight="false" outlineLevel="0" collapsed="false">
      <c r="A186" s="48"/>
      <c r="B186" s="46"/>
      <c r="C186" s="50"/>
      <c r="D186" s="50"/>
      <c r="E186" s="50"/>
      <c r="F186" s="50"/>
      <c r="G186" s="49"/>
      <c r="H186" s="50"/>
      <c r="I186" s="50"/>
      <c r="J186" s="50"/>
      <c r="K186" s="50"/>
      <c r="L186" s="50"/>
      <c r="M186" s="46"/>
      <c r="N186" s="47"/>
      <c r="O186" s="62" t="str">
        <f aca="false">IF($B186="","",TEXT($A186,"YYYY-MM-DD")&amp;"|"&amp;$B186)</f>
        <v/>
      </c>
      <c r="P186" s="3"/>
      <c r="Q186" s="3"/>
      <c r="R186" s="3"/>
      <c r="S186" s="3"/>
      <c r="T186" s="3"/>
      <c r="U186" s="3"/>
      <c r="V186" s="3"/>
      <c r="W186" s="3"/>
      <c r="X186" s="3"/>
      <c r="Y186" s="3"/>
      <c r="Z186" s="3"/>
      <c r="AA186" s="3"/>
      <c r="AB186" s="3"/>
    </row>
    <row r="187" customFormat="false" ht="15" hidden="false" customHeight="false" outlineLevel="0" collapsed="false">
      <c r="A187" s="54"/>
      <c r="B187" s="52"/>
      <c r="C187" s="56"/>
      <c r="D187" s="56"/>
      <c r="E187" s="56"/>
      <c r="F187" s="56"/>
      <c r="G187" s="55"/>
      <c r="H187" s="56"/>
      <c r="I187" s="56"/>
      <c r="J187" s="56"/>
      <c r="K187" s="56"/>
      <c r="L187" s="56"/>
      <c r="M187" s="52"/>
      <c r="N187" s="53"/>
      <c r="O187" s="62" t="str">
        <f aca="false">IF($B187="","",TEXT($A187,"YYYY-MM-DD")&amp;"|"&amp;$B187)</f>
        <v/>
      </c>
      <c r="P187" s="3"/>
      <c r="Q187" s="3"/>
      <c r="R187" s="3"/>
      <c r="S187" s="3"/>
      <c r="T187" s="3"/>
      <c r="U187" s="3"/>
      <c r="V187" s="3"/>
      <c r="W187" s="3"/>
      <c r="X187" s="3"/>
      <c r="Y187" s="3"/>
      <c r="Z187" s="3"/>
      <c r="AA187" s="3"/>
      <c r="AB187" s="3"/>
    </row>
    <row r="188" customFormat="false" ht="15" hidden="false" customHeight="false" outlineLevel="0" collapsed="false">
      <c r="A188" s="48"/>
      <c r="B188" s="46"/>
      <c r="C188" s="50"/>
      <c r="D188" s="50"/>
      <c r="E188" s="50"/>
      <c r="F188" s="50"/>
      <c r="G188" s="49"/>
      <c r="H188" s="50"/>
      <c r="I188" s="50"/>
      <c r="J188" s="50"/>
      <c r="K188" s="50"/>
      <c r="L188" s="50"/>
      <c r="M188" s="46"/>
      <c r="N188" s="47"/>
      <c r="O188" s="62" t="str">
        <f aca="false">IF($B188="","",TEXT($A188,"YYYY-MM-DD")&amp;"|"&amp;$B188)</f>
        <v/>
      </c>
      <c r="P188" s="3"/>
      <c r="Q188" s="3"/>
      <c r="R188" s="3"/>
      <c r="S188" s="3"/>
      <c r="T188" s="3"/>
      <c r="U188" s="3"/>
      <c r="V188" s="3"/>
      <c r="W188" s="3"/>
      <c r="X188" s="3"/>
      <c r="Y188" s="3"/>
      <c r="Z188" s="3"/>
      <c r="AA188" s="3"/>
      <c r="AB188" s="3"/>
    </row>
    <row r="189" customFormat="false" ht="15" hidden="false" customHeight="false" outlineLevel="0" collapsed="false">
      <c r="A189" s="54"/>
      <c r="B189" s="52"/>
      <c r="C189" s="56"/>
      <c r="D189" s="56"/>
      <c r="E189" s="56"/>
      <c r="F189" s="56"/>
      <c r="G189" s="55"/>
      <c r="H189" s="56"/>
      <c r="I189" s="56"/>
      <c r="J189" s="56"/>
      <c r="K189" s="56"/>
      <c r="L189" s="56"/>
      <c r="M189" s="52"/>
      <c r="N189" s="53"/>
      <c r="O189" s="62" t="str">
        <f aca="false">IF($B189="","",TEXT($A189,"YYYY-MM-DD")&amp;"|"&amp;$B189)</f>
        <v/>
      </c>
      <c r="P189" s="3"/>
      <c r="Q189" s="3"/>
      <c r="R189" s="3"/>
      <c r="S189" s="3"/>
      <c r="T189" s="3"/>
      <c r="U189" s="3"/>
      <c r="V189" s="3"/>
      <c r="W189" s="3"/>
      <c r="X189" s="3"/>
      <c r="Y189" s="3"/>
      <c r="Z189" s="3"/>
      <c r="AA189" s="3"/>
      <c r="AB189" s="3"/>
    </row>
    <row r="190" customFormat="false" ht="15" hidden="false" customHeight="false" outlineLevel="0" collapsed="false">
      <c r="A190" s="48"/>
      <c r="B190" s="46"/>
      <c r="C190" s="50"/>
      <c r="D190" s="50"/>
      <c r="E190" s="50"/>
      <c r="F190" s="50"/>
      <c r="G190" s="49"/>
      <c r="H190" s="50"/>
      <c r="I190" s="50"/>
      <c r="J190" s="50"/>
      <c r="K190" s="50"/>
      <c r="L190" s="50"/>
      <c r="M190" s="46"/>
      <c r="N190" s="47"/>
      <c r="O190" s="62" t="str">
        <f aca="false">IF($B190="","",TEXT($A190,"YYYY-MM-DD")&amp;"|"&amp;$B190)</f>
        <v/>
      </c>
      <c r="P190" s="3"/>
      <c r="Q190" s="3"/>
      <c r="R190" s="3"/>
      <c r="S190" s="3"/>
      <c r="T190" s="3"/>
      <c r="U190" s="3"/>
      <c r="V190" s="3"/>
      <c r="W190" s="3"/>
      <c r="X190" s="3"/>
      <c r="Y190" s="3"/>
      <c r="Z190" s="3"/>
      <c r="AA190" s="3"/>
      <c r="AB190" s="3"/>
    </row>
    <row r="191" customFormat="false" ht="15" hidden="false" customHeight="false" outlineLevel="0" collapsed="false">
      <c r="A191" s="54"/>
      <c r="B191" s="52"/>
      <c r="C191" s="56"/>
      <c r="D191" s="56"/>
      <c r="E191" s="56"/>
      <c r="F191" s="56"/>
      <c r="G191" s="55"/>
      <c r="H191" s="56"/>
      <c r="I191" s="56"/>
      <c r="J191" s="56"/>
      <c r="K191" s="56"/>
      <c r="L191" s="56"/>
      <c r="M191" s="52"/>
      <c r="N191" s="53"/>
      <c r="O191" s="62" t="str">
        <f aca="false">IF($B191="","",TEXT($A191,"YYYY-MM-DD")&amp;"|"&amp;$B191)</f>
        <v/>
      </c>
      <c r="P191" s="3"/>
      <c r="Q191" s="3"/>
      <c r="R191" s="3"/>
      <c r="S191" s="3"/>
      <c r="T191" s="3"/>
      <c r="U191" s="3"/>
      <c r="V191" s="3"/>
      <c r="W191" s="3"/>
      <c r="X191" s="3"/>
      <c r="Y191" s="3"/>
      <c r="Z191" s="3"/>
      <c r="AA191" s="3"/>
      <c r="AB191" s="3"/>
    </row>
    <row r="192" customFormat="false" ht="15" hidden="false" customHeight="false" outlineLevel="0" collapsed="false">
      <c r="A192" s="48"/>
      <c r="B192" s="46"/>
      <c r="C192" s="50"/>
      <c r="D192" s="50"/>
      <c r="E192" s="50"/>
      <c r="F192" s="50"/>
      <c r="G192" s="49"/>
      <c r="H192" s="50"/>
      <c r="I192" s="50"/>
      <c r="J192" s="50"/>
      <c r="K192" s="50"/>
      <c r="L192" s="50"/>
      <c r="M192" s="46"/>
      <c r="N192" s="47"/>
      <c r="O192" s="62" t="str">
        <f aca="false">IF($B192="","",TEXT($A192,"YYYY-MM-DD")&amp;"|"&amp;$B192)</f>
        <v/>
      </c>
      <c r="P192" s="3"/>
      <c r="Q192" s="3"/>
      <c r="R192" s="3"/>
      <c r="S192" s="3"/>
      <c r="T192" s="3"/>
      <c r="U192" s="3"/>
      <c r="V192" s="3"/>
      <c r="W192" s="3"/>
      <c r="X192" s="3"/>
      <c r="Y192" s="3"/>
      <c r="Z192" s="3"/>
      <c r="AA192" s="3"/>
      <c r="AB192" s="3"/>
    </row>
    <row r="193" customFormat="false" ht="15" hidden="false" customHeight="false" outlineLevel="0" collapsed="false">
      <c r="A193" s="54"/>
      <c r="B193" s="52"/>
      <c r="C193" s="56"/>
      <c r="D193" s="56"/>
      <c r="E193" s="56"/>
      <c r="F193" s="56"/>
      <c r="G193" s="55"/>
      <c r="H193" s="56"/>
      <c r="I193" s="56"/>
      <c r="J193" s="56"/>
      <c r="K193" s="56"/>
      <c r="L193" s="56"/>
      <c r="M193" s="52"/>
      <c r="N193" s="53"/>
      <c r="O193" s="62" t="str">
        <f aca="false">IF($B193="","",TEXT($A193,"YYYY-MM-DD")&amp;"|"&amp;$B193)</f>
        <v/>
      </c>
      <c r="P193" s="3"/>
      <c r="Q193" s="3"/>
      <c r="R193" s="3"/>
      <c r="S193" s="3"/>
      <c r="T193" s="3"/>
      <c r="U193" s="3"/>
      <c r="V193" s="3"/>
      <c r="W193" s="3"/>
      <c r="X193" s="3"/>
      <c r="Y193" s="3"/>
      <c r="Z193" s="3"/>
      <c r="AA193" s="3"/>
      <c r="AB193" s="3"/>
    </row>
    <row r="194" customFormat="false" ht="15" hidden="false" customHeight="false" outlineLevel="0" collapsed="false">
      <c r="A194" s="48"/>
      <c r="B194" s="46"/>
      <c r="C194" s="50"/>
      <c r="D194" s="50"/>
      <c r="E194" s="50"/>
      <c r="F194" s="50"/>
      <c r="G194" s="49"/>
      <c r="H194" s="50"/>
      <c r="I194" s="50"/>
      <c r="J194" s="50"/>
      <c r="K194" s="50"/>
      <c r="L194" s="50"/>
      <c r="M194" s="46"/>
      <c r="N194" s="47"/>
      <c r="O194" s="62" t="str">
        <f aca="false">IF($B194="","",TEXT($A194,"YYYY-MM-DD")&amp;"|"&amp;$B194)</f>
        <v/>
      </c>
      <c r="P194" s="3"/>
      <c r="Q194" s="3"/>
      <c r="R194" s="3"/>
      <c r="S194" s="3"/>
      <c r="T194" s="3"/>
      <c r="U194" s="3"/>
      <c r="V194" s="3"/>
      <c r="W194" s="3"/>
      <c r="X194" s="3"/>
      <c r="Y194" s="3"/>
      <c r="Z194" s="3"/>
      <c r="AA194" s="3"/>
      <c r="AB194" s="3"/>
    </row>
    <row r="195" customFormat="false" ht="15" hidden="false" customHeight="false" outlineLevel="0" collapsed="false">
      <c r="A195" s="54"/>
      <c r="B195" s="52"/>
      <c r="C195" s="56"/>
      <c r="D195" s="56"/>
      <c r="E195" s="56"/>
      <c r="F195" s="56"/>
      <c r="G195" s="55"/>
      <c r="H195" s="56"/>
      <c r="I195" s="56"/>
      <c r="J195" s="56"/>
      <c r="K195" s="56"/>
      <c r="L195" s="56"/>
      <c r="M195" s="52"/>
      <c r="N195" s="53"/>
      <c r="O195" s="62" t="str">
        <f aca="false">IF($B195="","",TEXT($A195,"YYYY-MM-DD")&amp;"|"&amp;$B195)</f>
        <v/>
      </c>
      <c r="P195" s="3"/>
      <c r="Q195" s="3"/>
      <c r="R195" s="3"/>
      <c r="S195" s="3"/>
      <c r="T195" s="3"/>
      <c r="U195" s="3"/>
      <c r="V195" s="3"/>
      <c r="W195" s="3"/>
      <c r="X195" s="3"/>
      <c r="Y195" s="3"/>
      <c r="Z195" s="3"/>
      <c r="AA195" s="3"/>
      <c r="AB195" s="3"/>
    </row>
    <row r="196" customFormat="false" ht="15" hidden="false" customHeight="false" outlineLevel="0" collapsed="false">
      <c r="A196" s="48"/>
      <c r="B196" s="46"/>
      <c r="C196" s="50"/>
      <c r="D196" s="50"/>
      <c r="E196" s="50"/>
      <c r="F196" s="50"/>
      <c r="G196" s="49"/>
      <c r="H196" s="50"/>
      <c r="I196" s="50"/>
      <c r="J196" s="50"/>
      <c r="K196" s="50"/>
      <c r="L196" s="50"/>
      <c r="M196" s="46"/>
      <c r="N196" s="47"/>
      <c r="O196" s="62" t="str">
        <f aca="false">IF($B196="","",TEXT($A196,"YYYY-MM-DD")&amp;"|"&amp;$B196)</f>
        <v/>
      </c>
      <c r="P196" s="3"/>
      <c r="Q196" s="3"/>
      <c r="R196" s="3"/>
      <c r="S196" s="3"/>
      <c r="T196" s="3"/>
      <c r="U196" s="3"/>
      <c r="V196" s="3"/>
      <c r="W196" s="3"/>
      <c r="X196" s="3"/>
      <c r="Y196" s="3"/>
      <c r="Z196" s="3"/>
      <c r="AA196" s="3"/>
      <c r="AB196" s="3"/>
    </row>
    <row r="197" customFormat="false" ht="15" hidden="false" customHeight="false" outlineLevel="0" collapsed="false">
      <c r="A197" s="54"/>
      <c r="B197" s="52"/>
      <c r="C197" s="56"/>
      <c r="D197" s="56"/>
      <c r="E197" s="56"/>
      <c r="F197" s="56"/>
      <c r="G197" s="55"/>
      <c r="H197" s="56"/>
      <c r="I197" s="56"/>
      <c r="J197" s="56"/>
      <c r="K197" s="56"/>
      <c r="L197" s="56"/>
      <c r="M197" s="52"/>
      <c r="N197" s="53"/>
      <c r="O197" s="62" t="str">
        <f aca="false">IF($B197="","",TEXT($A197,"YYYY-MM-DD")&amp;"|"&amp;$B197)</f>
        <v/>
      </c>
      <c r="P197" s="3"/>
      <c r="Q197" s="3"/>
      <c r="R197" s="3"/>
      <c r="S197" s="3"/>
      <c r="T197" s="3"/>
      <c r="U197" s="3"/>
      <c r="V197" s="3"/>
      <c r="W197" s="3"/>
      <c r="X197" s="3"/>
      <c r="Y197" s="3"/>
      <c r="Z197" s="3"/>
      <c r="AA197" s="3"/>
      <c r="AB197" s="3"/>
    </row>
    <row r="198" customFormat="false" ht="15" hidden="false" customHeight="false" outlineLevel="0" collapsed="false">
      <c r="A198" s="48"/>
      <c r="B198" s="46"/>
      <c r="C198" s="50"/>
      <c r="D198" s="50"/>
      <c r="E198" s="50"/>
      <c r="F198" s="50"/>
      <c r="G198" s="49"/>
      <c r="H198" s="50"/>
      <c r="I198" s="50"/>
      <c r="J198" s="50"/>
      <c r="K198" s="50"/>
      <c r="L198" s="50"/>
      <c r="M198" s="46"/>
      <c r="N198" s="47"/>
      <c r="O198" s="62" t="str">
        <f aca="false">IF($B198="","",TEXT($A198,"YYYY-MM-DD")&amp;"|"&amp;$B198)</f>
        <v/>
      </c>
      <c r="P198" s="3"/>
      <c r="Q198" s="3"/>
      <c r="R198" s="3"/>
      <c r="S198" s="3"/>
      <c r="T198" s="3"/>
      <c r="U198" s="3"/>
      <c r="V198" s="3"/>
      <c r="W198" s="3"/>
      <c r="X198" s="3"/>
      <c r="Y198" s="3"/>
      <c r="Z198" s="3"/>
      <c r="AA198" s="3"/>
      <c r="AB198" s="3"/>
    </row>
    <row r="199" customFormat="false" ht="15" hidden="false" customHeight="false" outlineLevel="0" collapsed="false">
      <c r="A199" s="54"/>
      <c r="B199" s="52"/>
      <c r="C199" s="56"/>
      <c r="D199" s="56"/>
      <c r="E199" s="56"/>
      <c r="F199" s="56"/>
      <c r="G199" s="55"/>
      <c r="H199" s="56"/>
      <c r="I199" s="56"/>
      <c r="J199" s="56"/>
      <c r="K199" s="56"/>
      <c r="L199" s="56"/>
      <c r="M199" s="52"/>
      <c r="N199" s="53"/>
      <c r="O199" s="62" t="str">
        <f aca="false">IF($B199="","",TEXT($A199,"YYYY-MM-DD")&amp;"|"&amp;$B199)</f>
        <v/>
      </c>
      <c r="P199" s="3"/>
      <c r="Q199" s="3"/>
      <c r="R199" s="3"/>
      <c r="S199" s="3"/>
      <c r="T199" s="3"/>
      <c r="U199" s="3"/>
      <c r="V199" s="3"/>
      <c r="W199" s="3"/>
      <c r="X199" s="3"/>
      <c r="Y199" s="3"/>
      <c r="Z199" s="3"/>
      <c r="AA199" s="3"/>
      <c r="AB199" s="3"/>
    </row>
    <row r="200" customFormat="false" ht="15" hidden="false" customHeight="false" outlineLevel="0" collapsed="false">
      <c r="A200" s="48"/>
      <c r="B200" s="46"/>
      <c r="C200" s="50"/>
      <c r="D200" s="50"/>
      <c r="E200" s="50"/>
      <c r="F200" s="50"/>
      <c r="G200" s="49"/>
      <c r="H200" s="50"/>
      <c r="I200" s="50"/>
      <c r="J200" s="50"/>
      <c r="K200" s="50"/>
      <c r="L200" s="50"/>
      <c r="M200" s="46"/>
      <c r="N200" s="47"/>
      <c r="O200" s="62" t="str">
        <f aca="false">IF($B200="","",TEXT($A200,"YYYY-MM-DD")&amp;"|"&amp;$B200)</f>
        <v/>
      </c>
      <c r="P200" s="3"/>
      <c r="Q200" s="3"/>
      <c r="R200" s="3"/>
      <c r="S200" s="3"/>
      <c r="T200" s="3"/>
      <c r="U200" s="3"/>
      <c r="V200" s="3"/>
      <c r="W200" s="3"/>
      <c r="X200" s="3"/>
      <c r="Y200" s="3"/>
      <c r="Z200" s="3"/>
      <c r="AA200" s="3"/>
      <c r="AB200" s="3"/>
    </row>
    <row r="201" customFormat="false" ht="15" hidden="false" customHeight="false" outlineLevel="0" collapsed="false">
      <c r="A201" s="54"/>
      <c r="B201" s="52"/>
      <c r="C201" s="56"/>
      <c r="D201" s="56"/>
      <c r="E201" s="56"/>
      <c r="F201" s="56"/>
      <c r="G201" s="55"/>
      <c r="H201" s="56"/>
      <c r="I201" s="56"/>
      <c r="J201" s="56"/>
      <c r="K201" s="56"/>
      <c r="L201" s="56"/>
      <c r="M201" s="52"/>
      <c r="N201" s="53"/>
      <c r="O201" s="62" t="str">
        <f aca="false">IF($B201="","",TEXT($A201,"YYYY-MM-DD")&amp;"|"&amp;$B201)</f>
        <v/>
      </c>
      <c r="P201" s="3"/>
      <c r="Q201" s="3"/>
      <c r="R201" s="3"/>
      <c r="S201" s="3"/>
      <c r="T201" s="3"/>
      <c r="U201" s="3"/>
      <c r="V201" s="3"/>
      <c r="W201" s="3"/>
      <c r="X201" s="3"/>
      <c r="Y201" s="3"/>
      <c r="Z201" s="3"/>
      <c r="AA201" s="3"/>
      <c r="AB201" s="3"/>
    </row>
    <row r="202" customFormat="false" ht="15" hidden="false" customHeight="false" outlineLevel="0" collapsed="false">
      <c r="A202" s="48"/>
      <c r="B202" s="46"/>
      <c r="C202" s="50"/>
      <c r="D202" s="50"/>
      <c r="E202" s="50"/>
      <c r="F202" s="50"/>
      <c r="G202" s="49"/>
      <c r="H202" s="50"/>
      <c r="I202" s="50"/>
      <c r="J202" s="50"/>
      <c r="K202" s="50"/>
      <c r="L202" s="50"/>
      <c r="M202" s="46"/>
      <c r="N202" s="47"/>
      <c r="O202" s="62" t="str">
        <f aca="false">IF($B202="","",TEXT($A202,"YYYY-MM-DD")&amp;"|"&amp;$B202)</f>
        <v/>
      </c>
      <c r="P202" s="3"/>
      <c r="Q202" s="3"/>
      <c r="R202" s="3"/>
      <c r="S202" s="3"/>
      <c r="T202" s="3"/>
      <c r="U202" s="3"/>
      <c r="V202" s="3"/>
      <c r="W202" s="3"/>
      <c r="X202" s="3"/>
      <c r="Y202" s="3"/>
      <c r="Z202" s="3"/>
      <c r="AA202" s="3"/>
      <c r="AB202" s="3"/>
    </row>
    <row r="203" customFormat="false" ht="15" hidden="false" customHeight="false" outlineLevel="0" collapsed="false">
      <c r="A203" s="54"/>
      <c r="B203" s="52"/>
      <c r="C203" s="56"/>
      <c r="D203" s="56"/>
      <c r="E203" s="56"/>
      <c r="F203" s="56"/>
      <c r="G203" s="55"/>
      <c r="H203" s="56"/>
      <c r="I203" s="56"/>
      <c r="J203" s="56"/>
      <c r="K203" s="56"/>
      <c r="L203" s="56"/>
      <c r="M203" s="52"/>
      <c r="N203" s="53"/>
      <c r="O203" s="62" t="str">
        <f aca="false">IF($B203="","",TEXT($A203,"YYYY-MM-DD")&amp;"|"&amp;$B203)</f>
        <v/>
      </c>
      <c r="P203" s="3"/>
      <c r="Q203" s="3"/>
      <c r="R203" s="3"/>
      <c r="S203" s="3"/>
      <c r="T203" s="3"/>
      <c r="U203" s="3"/>
      <c r="V203" s="3"/>
      <c r="W203" s="3"/>
      <c r="X203" s="3"/>
      <c r="Y203" s="3"/>
      <c r="Z203" s="3"/>
      <c r="AA203" s="3"/>
      <c r="AB203" s="3"/>
    </row>
    <row r="204" customFormat="false" ht="15" hidden="false" customHeight="false" outlineLevel="0" collapsed="false">
      <c r="A204" s="48"/>
      <c r="B204" s="46"/>
      <c r="C204" s="50"/>
      <c r="D204" s="50"/>
      <c r="E204" s="50"/>
      <c r="F204" s="50"/>
      <c r="G204" s="49"/>
      <c r="H204" s="50"/>
      <c r="I204" s="50"/>
      <c r="J204" s="50"/>
      <c r="K204" s="50"/>
      <c r="L204" s="50"/>
      <c r="M204" s="46"/>
      <c r="N204" s="47"/>
      <c r="O204" s="62" t="str">
        <f aca="false">IF($B204="","",TEXT($A204,"YYYY-MM-DD")&amp;"|"&amp;$B204)</f>
        <v/>
      </c>
      <c r="P204" s="3"/>
      <c r="Q204" s="3"/>
      <c r="R204" s="3"/>
      <c r="S204" s="3"/>
      <c r="T204" s="3"/>
      <c r="U204" s="3"/>
      <c r="V204" s="3"/>
      <c r="W204" s="3"/>
      <c r="X204" s="3"/>
      <c r="Y204" s="3"/>
      <c r="Z204" s="3"/>
      <c r="AA204" s="3"/>
      <c r="AB204" s="3"/>
    </row>
    <row r="205" customFormat="false" ht="15" hidden="false" customHeight="false" outlineLevel="0" collapsed="false">
      <c r="A205" s="54"/>
      <c r="B205" s="52"/>
      <c r="C205" s="56"/>
      <c r="D205" s="56"/>
      <c r="E205" s="56"/>
      <c r="F205" s="56"/>
      <c r="G205" s="55"/>
      <c r="H205" s="56"/>
      <c r="I205" s="56"/>
      <c r="J205" s="56"/>
      <c r="K205" s="56"/>
      <c r="L205" s="56"/>
      <c r="M205" s="52"/>
      <c r="N205" s="53"/>
      <c r="O205" s="62" t="str">
        <f aca="false">IF($B205="","",TEXT($A205,"YYYY-MM-DD")&amp;"|"&amp;$B205)</f>
        <v/>
      </c>
      <c r="P205" s="3"/>
      <c r="Q205" s="3"/>
      <c r="R205" s="3"/>
      <c r="S205" s="3"/>
      <c r="T205" s="3"/>
      <c r="U205" s="3"/>
      <c r="V205" s="3"/>
      <c r="W205" s="3"/>
      <c r="X205" s="3"/>
      <c r="Y205" s="3"/>
      <c r="Z205" s="3"/>
      <c r="AA205" s="3"/>
      <c r="AB205" s="3"/>
    </row>
    <row r="206" customFormat="false" ht="15" hidden="false" customHeight="false" outlineLevel="0" collapsed="false">
      <c r="A206" s="48"/>
      <c r="B206" s="46"/>
      <c r="C206" s="50"/>
      <c r="D206" s="50"/>
      <c r="E206" s="50"/>
      <c r="F206" s="50"/>
      <c r="G206" s="49"/>
      <c r="H206" s="50"/>
      <c r="I206" s="50"/>
      <c r="J206" s="50"/>
      <c r="K206" s="50"/>
      <c r="L206" s="50"/>
      <c r="M206" s="46"/>
      <c r="N206" s="47"/>
      <c r="O206" s="62" t="str">
        <f aca="false">IF($B206="","",TEXT($A206,"YYYY-MM-DD")&amp;"|"&amp;$B206)</f>
        <v/>
      </c>
      <c r="P206" s="3"/>
      <c r="Q206" s="3"/>
      <c r="R206" s="3"/>
      <c r="S206" s="3"/>
      <c r="T206" s="3"/>
      <c r="U206" s="3"/>
      <c r="V206" s="3"/>
      <c r="W206" s="3"/>
      <c r="X206" s="3"/>
      <c r="Y206" s="3"/>
      <c r="Z206" s="3"/>
      <c r="AA206" s="3"/>
      <c r="AB206" s="3"/>
    </row>
    <row r="207" customFormat="false" ht="15" hidden="false" customHeight="false" outlineLevel="0" collapsed="false">
      <c r="A207" s="54"/>
      <c r="B207" s="52"/>
      <c r="C207" s="56"/>
      <c r="D207" s="56"/>
      <c r="E207" s="56"/>
      <c r="F207" s="56"/>
      <c r="G207" s="55"/>
      <c r="H207" s="56"/>
      <c r="I207" s="56"/>
      <c r="J207" s="56"/>
      <c r="K207" s="56"/>
      <c r="L207" s="56"/>
      <c r="M207" s="52"/>
      <c r="N207" s="53"/>
      <c r="O207" s="62" t="str">
        <f aca="false">IF($B207="","",TEXT($A207,"YYYY-MM-DD")&amp;"|"&amp;$B207)</f>
        <v/>
      </c>
      <c r="P207" s="3"/>
      <c r="Q207" s="3"/>
      <c r="R207" s="3"/>
      <c r="S207" s="3"/>
      <c r="T207" s="3"/>
      <c r="U207" s="3"/>
      <c r="V207" s="3"/>
      <c r="W207" s="3"/>
      <c r="X207" s="3"/>
      <c r="Y207" s="3"/>
      <c r="Z207" s="3"/>
      <c r="AA207" s="3"/>
      <c r="AB207" s="3"/>
    </row>
    <row r="208" customFormat="false" ht="15" hidden="false" customHeight="false" outlineLevel="0" collapsed="false">
      <c r="A208" s="48"/>
      <c r="B208" s="46"/>
      <c r="C208" s="50"/>
      <c r="D208" s="50"/>
      <c r="E208" s="50"/>
      <c r="F208" s="50"/>
      <c r="G208" s="49"/>
      <c r="H208" s="50"/>
      <c r="I208" s="50"/>
      <c r="J208" s="50"/>
      <c r="K208" s="50"/>
      <c r="L208" s="50"/>
      <c r="M208" s="46"/>
      <c r="N208" s="47"/>
      <c r="O208" s="62" t="str">
        <f aca="false">IF($B208="","",TEXT($A208,"YYYY-MM-DD")&amp;"|"&amp;$B208)</f>
        <v/>
      </c>
      <c r="P208" s="3"/>
      <c r="Q208" s="3"/>
      <c r="R208" s="3"/>
      <c r="S208" s="3"/>
      <c r="T208" s="3"/>
      <c r="U208" s="3"/>
      <c r="V208" s="3"/>
      <c r="W208" s="3"/>
      <c r="X208" s="3"/>
      <c r="Y208" s="3"/>
      <c r="Z208" s="3"/>
      <c r="AA208" s="3"/>
      <c r="AB208" s="3"/>
    </row>
    <row r="209" customFormat="false" ht="15" hidden="false" customHeight="false" outlineLevel="0" collapsed="false">
      <c r="A209" s="54"/>
      <c r="B209" s="52"/>
      <c r="C209" s="56"/>
      <c r="D209" s="56"/>
      <c r="E209" s="56"/>
      <c r="F209" s="56"/>
      <c r="G209" s="55"/>
      <c r="H209" s="56"/>
      <c r="I209" s="56"/>
      <c r="J209" s="56"/>
      <c r="K209" s="56"/>
      <c r="L209" s="56"/>
      <c r="M209" s="52"/>
      <c r="N209" s="53"/>
      <c r="O209" s="62" t="str">
        <f aca="false">IF($B209="","",TEXT($A209,"YYYY-MM-DD")&amp;"|"&amp;$B209)</f>
        <v/>
      </c>
      <c r="P209" s="3"/>
      <c r="Q209" s="3"/>
      <c r="R209" s="3"/>
      <c r="S209" s="3"/>
      <c r="T209" s="3"/>
      <c r="U209" s="3"/>
      <c r="V209" s="3"/>
      <c r="W209" s="3"/>
      <c r="X209" s="3"/>
      <c r="Y209" s="3"/>
      <c r="Z209" s="3"/>
      <c r="AA209" s="3"/>
      <c r="AB209" s="3"/>
    </row>
    <row r="210" customFormat="false" ht="15" hidden="false" customHeight="false" outlineLevel="0" collapsed="false">
      <c r="A210" s="48"/>
      <c r="B210" s="46"/>
      <c r="C210" s="50"/>
      <c r="D210" s="50"/>
      <c r="E210" s="50"/>
      <c r="F210" s="50"/>
      <c r="G210" s="49"/>
      <c r="H210" s="50"/>
      <c r="I210" s="50"/>
      <c r="J210" s="50"/>
      <c r="K210" s="50"/>
      <c r="L210" s="50"/>
      <c r="M210" s="46"/>
      <c r="N210" s="47"/>
      <c r="O210" s="62" t="str">
        <f aca="false">IF($B210="","",TEXT($A210,"YYYY-MM-DD")&amp;"|"&amp;$B210)</f>
        <v/>
      </c>
      <c r="P210" s="3"/>
      <c r="Q210" s="3"/>
      <c r="R210" s="3"/>
      <c r="S210" s="3"/>
      <c r="T210" s="3"/>
      <c r="U210" s="3"/>
      <c r="V210" s="3"/>
      <c r="W210" s="3"/>
      <c r="X210" s="3"/>
      <c r="Y210" s="3"/>
      <c r="Z210" s="3"/>
      <c r="AA210" s="3"/>
      <c r="AB210" s="3"/>
    </row>
    <row r="211" customFormat="false" ht="15" hidden="false" customHeight="false" outlineLevel="0" collapsed="false">
      <c r="A211" s="54"/>
      <c r="B211" s="52"/>
      <c r="C211" s="56"/>
      <c r="D211" s="56"/>
      <c r="E211" s="56"/>
      <c r="F211" s="56"/>
      <c r="G211" s="55"/>
      <c r="H211" s="56"/>
      <c r="I211" s="56"/>
      <c r="J211" s="56"/>
      <c r="K211" s="56"/>
      <c r="L211" s="56"/>
      <c r="M211" s="52"/>
      <c r="N211" s="53"/>
      <c r="O211" s="62" t="str">
        <f aca="false">IF($B211="","",TEXT($A211,"YYYY-MM-DD")&amp;"|"&amp;$B211)</f>
        <v/>
      </c>
      <c r="P211" s="3"/>
      <c r="Q211" s="3"/>
      <c r="R211" s="3"/>
      <c r="S211" s="3"/>
      <c r="T211" s="3"/>
      <c r="U211" s="3"/>
      <c r="V211" s="3"/>
      <c r="W211" s="3"/>
      <c r="X211" s="3"/>
      <c r="Y211" s="3"/>
      <c r="Z211" s="3"/>
      <c r="AA211" s="3"/>
      <c r="AB211" s="3"/>
    </row>
    <row r="212" customFormat="false" ht="15" hidden="false" customHeight="false" outlineLevel="0" collapsed="false">
      <c r="A212" s="48"/>
      <c r="B212" s="46"/>
      <c r="C212" s="50"/>
      <c r="D212" s="50"/>
      <c r="E212" s="50"/>
      <c r="F212" s="50"/>
      <c r="G212" s="49"/>
      <c r="H212" s="50"/>
      <c r="I212" s="50"/>
      <c r="J212" s="50"/>
      <c r="K212" s="50"/>
      <c r="L212" s="50"/>
      <c r="M212" s="46"/>
      <c r="N212" s="47"/>
      <c r="O212" s="62" t="str">
        <f aca="false">IF($B212="","",TEXT($A212,"YYYY-MM-DD")&amp;"|"&amp;$B212)</f>
        <v/>
      </c>
      <c r="P212" s="3"/>
      <c r="Q212" s="3"/>
      <c r="R212" s="3"/>
      <c r="S212" s="3"/>
      <c r="T212" s="3"/>
      <c r="U212" s="3"/>
      <c r="V212" s="3"/>
      <c r="W212" s="3"/>
      <c r="X212" s="3"/>
      <c r="Y212" s="3"/>
      <c r="Z212" s="3"/>
      <c r="AA212" s="3"/>
      <c r="AB212" s="3"/>
    </row>
    <row r="213" customFormat="false" ht="15" hidden="false" customHeight="false" outlineLevel="0" collapsed="false">
      <c r="A213" s="54"/>
      <c r="B213" s="52"/>
      <c r="C213" s="56"/>
      <c r="D213" s="56"/>
      <c r="E213" s="56"/>
      <c r="F213" s="56"/>
      <c r="G213" s="55"/>
      <c r="H213" s="56"/>
      <c r="I213" s="56"/>
      <c r="J213" s="56"/>
      <c r="K213" s="56"/>
      <c r="L213" s="56"/>
      <c r="M213" s="52"/>
      <c r="N213" s="53"/>
      <c r="O213" s="62" t="str">
        <f aca="false">IF($B213="","",TEXT($A213,"YYYY-MM-DD")&amp;"|"&amp;$B213)</f>
        <v/>
      </c>
      <c r="P213" s="3"/>
      <c r="Q213" s="3"/>
      <c r="R213" s="3"/>
      <c r="S213" s="3"/>
      <c r="T213" s="3"/>
      <c r="U213" s="3"/>
      <c r="V213" s="3"/>
      <c r="W213" s="3"/>
      <c r="X213" s="3"/>
      <c r="Y213" s="3"/>
      <c r="Z213" s="3"/>
      <c r="AA213" s="3"/>
      <c r="AB213" s="3"/>
    </row>
    <row r="214" customFormat="false" ht="15" hidden="false" customHeight="false" outlineLevel="0" collapsed="false">
      <c r="A214" s="48"/>
      <c r="B214" s="46"/>
      <c r="C214" s="50"/>
      <c r="D214" s="50"/>
      <c r="E214" s="50"/>
      <c r="F214" s="50"/>
      <c r="G214" s="49"/>
      <c r="H214" s="50"/>
      <c r="I214" s="50"/>
      <c r="J214" s="50"/>
      <c r="K214" s="50"/>
      <c r="L214" s="50"/>
      <c r="M214" s="46"/>
      <c r="N214" s="47"/>
      <c r="O214" s="62" t="str">
        <f aca="false">IF($B214="","",TEXT($A214,"YYYY-MM-DD")&amp;"|"&amp;$B214)</f>
        <v/>
      </c>
      <c r="P214" s="3"/>
      <c r="Q214" s="3"/>
      <c r="R214" s="3"/>
      <c r="S214" s="3"/>
      <c r="T214" s="3"/>
      <c r="U214" s="3"/>
      <c r="V214" s="3"/>
      <c r="W214" s="3"/>
      <c r="X214" s="3"/>
      <c r="Y214" s="3"/>
      <c r="Z214" s="3"/>
      <c r="AA214" s="3"/>
      <c r="AB214" s="3"/>
    </row>
    <row r="215" customFormat="false" ht="15" hidden="false" customHeight="false" outlineLevel="0" collapsed="false">
      <c r="A215" s="54"/>
      <c r="B215" s="52"/>
      <c r="C215" s="56"/>
      <c r="D215" s="56"/>
      <c r="E215" s="56"/>
      <c r="F215" s="56"/>
      <c r="G215" s="55"/>
      <c r="H215" s="56"/>
      <c r="I215" s="56"/>
      <c r="J215" s="56"/>
      <c r="K215" s="56"/>
      <c r="L215" s="56"/>
      <c r="M215" s="52"/>
      <c r="N215" s="53"/>
      <c r="O215" s="62" t="str">
        <f aca="false">IF($B215="","",TEXT($A215,"YYYY-MM-DD")&amp;"|"&amp;$B215)</f>
        <v/>
      </c>
      <c r="P215" s="3"/>
      <c r="Q215" s="3"/>
      <c r="R215" s="3"/>
      <c r="S215" s="3"/>
      <c r="T215" s="3"/>
      <c r="U215" s="3"/>
      <c r="V215" s="3"/>
      <c r="W215" s="3"/>
      <c r="X215" s="3"/>
      <c r="Y215" s="3"/>
      <c r="Z215" s="3"/>
      <c r="AA215" s="3"/>
      <c r="AB215" s="3"/>
    </row>
    <row r="216" customFormat="false" ht="15" hidden="false" customHeight="false" outlineLevel="0" collapsed="false">
      <c r="A216" s="48"/>
      <c r="B216" s="46"/>
      <c r="C216" s="50"/>
      <c r="D216" s="50"/>
      <c r="E216" s="50"/>
      <c r="F216" s="50"/>
      <c r="G216" s="49"/>
      <c r="H216" s="50"/>
      <c r="I216" s="50"/>
      <c r="J216" s="50"/>
      <c r="K216" s="50"/>
      <c r="L216" s="50"/>
      <c r="M216" s="46"/>
      <c r="N216" s="47"/>
      <c r="O216" s="62" t="str">
        <f aca="false">IF($B216="","",TEXT($A216,"YYYY-MM-DD")&amp;"|"&amp;$B216)</f>
        <v/>
      </c>
      <c r="P216" s="3"/>
      <c r="Q216" s="3"/>
      <c r="R216" s="3"/>
      <c r="S216" s="3"/>
      <c r="T216" s="3"/>
      <c r="U216" s="3"/>
      <c r="V216" s="3"/>
      <c r="W216" s="3"/>
      <c r="X216" s="3"/>
      <c r="Y216" s="3"/>
      <c r="Z216" s="3"/>
      <c r="AA216" s="3"/>
      <c r="AB216" s="3"/>
    </row>
    <row r="217" customFormat="false" ht="15" hidden="false" customHeight="false" outlineLevel="0" collapsed="false">
      <c r="A217" s="54"/>
      <c r="B217" s="52"/>
      <c r="C217" s="56"/>
      <c r="D217" s="56"/>
      <c r="E217" s="56"/>
      <c r="F217" s="56"/>
      <c r="G217" s="55"/>
      <c r="H217" s="56"/>
      <c r="I217" s="56"/>
      <c r="J217" s="56"/>
      <c r="K217" s="56"/>
      <c r="L217" s="56"/>
      <c r="M217" s="52"/>
      <c r="N217" s="53"/>
      <c r="O217" s="62" t="str">
        <f aca="false">IF($B217="","",TEXT($A217,"YYYY-MM-DD")&amp;"|"&amp;$B217)</f>
        <v/>
      </c>
      <c r="P217" s="3"/>
      <c r="Q217" s="3"/>
      <c r="R217" s="3"/>
      <c r="S217" s="3"/>
      <c r="T217" s="3"/>
      <c r="U217" s="3"/>
      <c r="V217" s="3"/>
      <c r="W217" s="3"/>
      <c r="X217" s="3"/>
      <c r="Y217" s="3"/>
      <c r="Z217" s="3"/>
      <c r="AA217" s="3"/>
      <c r="AB217" s="3"/>
    </row>
    <row r="218" customFormat="false" ht="15" hidden="false" customHeight="false" outlineLevel="0" collapsed="false">
      <c r="A218" s="48"/>
      <c r="B218" s="46"/>
      <c r="C218" s="50"/>
      <c r="D218" s="50"/>
      <c r="E218" s="50"/>
      <c r="F218" s="50"/>
      <c r="G218" s="49"/>
      <c r="H218" s="50"/>
      <c r="I218" s="50"/>
      <c r="J218" s="50"/>
      <c r="K218" s="50"/>
      <c r="L218" s="50"/>
      <c r="M218" s="46"/>
      <c r="N218" s="47"/>
      <c r="O218" s="62" t="str">
        <f aca="false">IF($B218="","",TEXT($A218,"YYYY-MM-DD")&amp;"|"&amp;$B218)</f>
        <v/>
      </c>
      <c r="P218" s="3"/>
      <c r="Q218" s="3"/>
      <c r="R218" s="3"/>
      <c r="S218" s="3"/>
      <c r="T218" s="3"/>
      <c r="U218" s="3"/>
      <c r="V218" s="3"/>
      <c r="W218" s="3"/>
      <c r="X218" s="3"/>
      <c r="Y218" s="3"/>
      <c r="Z218" s="3"/>
      <c r="AA218" s="3"/>
      <c r="AB218" s="3"/>
    </row>
    <row r="219" customFormat="false" ht="15" hidden="false" customHeight="false" outlineLevel="0" collapsed="false">
      <c r="A219" s="54"/>
      <c r="B219" s="52"/>
      <c r="C219" s="56"/>
      <c r="D219" s="56"/>
      <c r="E219" s="56"/>
      <c r="F219" s="56"/>
      <c r="G219" s="55"/>
      <c r="H219" s="56"/>
      <c r="I219" s="56"/>
      <c r="J219" s="56"/>
      <c r="K219" s="56"/>
      <c r="L219" s="56"/>
      <c r="M219" s="52"/>
      <c r="N219" s="53"/>
      <c r="O219" s="62" t="str">
        <f aca="false">IF($B219="","",TEXT($A219,"YYYY-MM-DD")&amp;"|"&amp;$B219)</f>
        <v/>
      </c>
      <c r="P219" s="3"/>
      <c r="Q219" s="3"/>
      <c r="R219" s="3"/>
      <c r="S219" s="3"/>
      <c r="T219" s="3"/>
      <c r="U219" s="3"/>
      <c r="V219" s="3"/>
      <c r="W219" s="3"/>
      <c r="X219" s="3"/>
      <c r="Y219" s="3"/>
      <c r="Z219" s="3"/>
      <c r="AA219" s="3"/>
      <c r="AB219" s="3"/>
    </row>
    <row r="220" customFormat="false" ht="15" hidden="false" customHeight="false" outlineLevel="0" collapsed="false">
      <c r="A220" s="48"/>
      <c r="B220" s="46"/>
      <c r="C220" s="50"/>
      <c r="D220" s="50"/>
      <c r="E220" s="50"/>
      <c r="F220" s="50"/>
      <c r="G220" s="49"/>
      <c r="H220" s="50"/>
      <c r="I220" s="50"/>
      <c r="J220" s="50"/>
      <c r="K220" s="50"/>
      <c r="L220" s="50"/>
      <c r="M220" s="46"/>
      <c r="N220" s="47"/>
      <c r="O220" s="62" t="str">
        <f aca="false">IF($B220="","",TEXT($A220,"YYYY-MM-DD")&amp;"|"&amp;$B220)</f>
        <v/>
      </c>
      <c r="P220" s="3"/>
      <c r="Q220" s="3"/>
      <c r="R220" s="3"/>
      <c r="S220" s="3"/>
      <c r="T220" s="3"/>
      <c r="U220" s="3"/>
      <c r="V220" s="3"/>
      <c r="W220" s="3"/>
      <c r="X220" s="3"/>
      <c r="Y220" s="3"/>
      <c r="Z220" s="3"/>
      <c r="AA220" s="3"/>
      <c r="AB220" s="3"/>
    </row>
    <row r="221" customFormat="false" ht="15" hidden="false" customHeight="false" outlineLevel="0" collapsed="false">
      <c r="A221" s="54"/>
      <c r="B221" s="52"/>
      <c r="C221" s="56"/>
      <c r="D221" s="56"/>
      <c r="E221" s="56"/>
      <c r="F221" s="56"/>
      <c r="G221" s="55"/>
      <c r="H221" s="56"/>
      <c r="I221" s="56"/>
      <c r="J221" s="56"/>
      <c r="K221" s="56"/>
      <c r="L221" s="56"/>
      <c r="M221" s="52"/>
      <c r="N221" s="53"/>
      <c r="O221" s="62" t="str">
        <f aca="false">IF($B221="","",TEXT($A221,"YYYY-MM-DD")&amp;"|"&amp;$B221)</f>
        <v/>
      </c>
      <c r="P221" s="3"/>
      <c r="Q221" s="3"/>
      <c r="R221" s="3"/>
      <c r="S221" s="3"/>
      <c r="T221" s="3"/>
      <c r="U221" s="3"/>
      <c r="V221" s="3"/>
      <c r="W221" s="3"/>
      <c r="X221" s="3"/>
      <c r="Y221" s="3"/>
      <c r="Z221" s="3"/>
      <c r="AA221" s="3"/>
      <c r="AB221" s="3"/>
    </row>
    <row r="222" customFormat="false" ht="15" hidden="false" customHeight="false" outlineLevel="0" collapsed="false">
      <c r="A222" s="48"/>
      <c r="B222" s="46"/>
      <c r="C222" s="50"/>
      <c r="D222" s="50"/>
      <c r="E222" s="50"/>
      <c r="F222" s="50"/>
      <c r="G222" s="49"/>
      <c r="H222" s="50"/>
      <c r="I222" s="50"/>
      <c r="J222" s="50"/>
      <c r="K222" s="50"/>
      <c r="L222" s="50"/>
      <c r="M222" s="46"/>
      <c r="N222" s="47"/>
      <c r="O222" s="62" t="str">
        <f aca="false">IF($B222="","",TEXT($A222,"YYYY-MM-DD")&amp;"|"&amp;$B222)</f>
        <v/>
      </c>
      <c r="P222" s="3"/>
      <c r="Q222" s="3"/>
      <c r="R222" s="3"/>
      <c r="S222" s="3"/>
      <c r="T222" s="3"/>
      <c r="U222" s="3"/>
      <c r="V222" s="3"/>
      <c r="W222" s="3"/>
      <c r="X222" s="3"/>
      <c r="Y222" s="3"/>
      <c r="Z222" s="3"/>
      <c r="AA222" s="3"/>
      <c r="AB222" s="3"/>
    </row>
    <row r="223" customFormat="false" ht="15" hidden="false" customHeight="false" outlineLevel="0" collapsed="false">
      <c r="A223" s="54"/>
      <c r="B223" s="52"/>
      <c r="C223" s="56"/>
      <c r="D223" s="56"/>
      <c r="E223" s="56"/>
      <c r="F223" s="56"/>
      <c r="G223" s="55"/>
      <c r="H223" s="56"/>
      <c r="I223" s="56"/>
      <c r="J223" s="56"/>
      <c r="K223" s="56"/>
      <c r="L223" s="56"/>
      <c r="M223" s="52"/>
      <c r="N223" s="53"/>
      <c r="O223" s="62" t="str">
        <f aca="false">IF($B223="","",TEXT($A223,"YYYY-MM-DD")&amp;"|"&amp;$B223)</f>
        <v/>
      </c>
      <c r="P223" s="3"/>
      <c r="Q223" s="3"/>
      <c r="R223" s="3"/>
      <c r="S223" s="3"/>
      <c r="T223" s="3"/>
      <c r="U223" s="3"/>
      <c r="V223" s="3"/>
      <c r="W223" s="3"/>
      <c r="X223" s="3"/>
      <c r="Y223" s="3"/>
      <c r="Z223" s="3"/>
      <c r="AA223" s="3"/>
      <c r="AB223" s="3"/>
    </row>
    <row r="224" customFormat="false" ht="15" hidden="false" customHeight="false" outlineLevel="0" collapsed="false">
      <c r="A224" s="48"/>
      <c r="B224" s="46"/>
      <c r="C224" s="50"/>
      <c r="D224" s="50"/>
      <c r="E224" s="50"/>
      <c r="F224" s="50"/>
      <c r="G224" s="49"/>
      <c r="H224" s="50"/>
      <c r="I224" s="50"/>
      <c r="J224" s="50"/>
      <c r="K224" s="50"/>
      <c r="L224" s="50"/>
      <c r="M224" s="46"/>
      <c r="N224" s="47"/>
      <c r="O224" s="62" t="str">
        <f aca="false">IF($B224="","",TEXT($A224,"YYYY-MM-DD")&amp;"|"&amp;$B224)</f>
        <v/>
      </c>
      <c r="P224" s="3"/>
      <c r="Q224" s="3"/>
      <c r="R224" s="3"/>
      <c r="S224" s="3"/>
      <c r="T224" s="3"/>
      <c r="U224" s="3"/>
      <c r="V224" s="3"/>
      <c r="W224" s="3"/>
      <c r="X224" s="3"/>
      <c r="Y224" s="3"/>
      <c r="Z224" s="3"/>
      <c r="AA224" s="3"/>
      <c r="AB224" s="3"/>
    </row>
    <row r="225" customFormat="false" ht="15" hidden="false" customHeight="false" outlineLevel="0" collapsed="false">
      <c r="A225" s="54"/>
      <c r="B225" s="52"/>
      <c r="C225" s="56"/>
      <c r="D225" s="56"/>
      <c r="E225" s="56"/>
      <c r="F225" s="56"/>
      <c r="G225" s="55"/>
      <c r="H225" s="56"/>
      <c r="I225" s="56"/>
      <c r="J225" s="56"/>
      <c r="K225" s="56"/>
      <c r="L225" s="56"/>
      <c r="M225" s="52"/>
      <c r="N225" s="53"/>
      <c r="O225" s="62" t="str">
        <f aca="false">IF($B225="","",TEXT($A225,"YYYY-MM-DD")&amp;"|"&amp;$B225)</f>
        <v/>
      </c>
      <c r="P225" s="3"/>
      <c r="Q225" s="3"/>
      <c r="R225" s="3"/>
      <c r="S225" s="3"/>
      <c r="T225" s="3"/>
      <c r="U225" s="3"/>
      <c r="V225" s="3"/>
      <c r="W225" s="3"/>
      <c r="X225" s="3"/>
      <c r="Y225" s="3"/>
      <c r="Z225" s="3"/>
      <c r="AA225" s="3"/>
      <c r="AB225" s="3"/>
    </row>
    <row r="226" customFormat="false" ht="15" hidden="false" customHeight="false" outlineLevel="0" collapsed="false">
      <c r="A226" s="48"/>
      <c r="B226" s="46"/>
      <c r="C226" s="50"/>
      <c r="D226" s="50"/>
      <c r="E226" s="50"/>
      <c r="F226" s="50"/>
      <c r="G226" s="49"/>
      <c r="H226" s="50"/>
      <c r="I226" s="50"/>
      <c r="J226" s="50"/>
      <c r="K226" s="50"/>
      <c r="L226" s="50"/>
      <c r="M226" s="46"/>
      <c r="N226" s="47"/>
      <c r="O226" s="62" t="str">
        <f aca="false">IF($B226="","",TEXT($A226,"YYYY-MM-DD")&amp;"|"&amp;$B226)</f>
        <v/>
      </c>
      <c r="P226" s="3"/>
      <c r="Q226" s="3"/>
      <c r="R226" s="3"/>
      <c r="S226" s="3"/>
      <c r="T226" s="3"/>
      <c r="U226" s="3"/>
      <c r="V226" s="3"/>
      <c r="W226" s="3"/>
      <c r="X226" s="3"/>
      <c r="Y226" s="3"/>
      <c r="Z226" s="3"/>
      <c r="AA226" s="3"/>
      <c r="AB226" s="3"/>
    </row>
    <row r="227" customFormat="false" ht="15" hidden="false" customHeight="false" outlineLevel="0" collapsed="false">
      <c r="A227" s="54"/>
      <c r="B227" s="52"/>
      <c r="C227" s="56"/>
      <c r="D227" s="56"/>
      <c r="E227" s="56"/>
      <c r="F227" s="56"/>
      <c r="G227" s="55"/>
      <c r="H227" s="56"/>
      <c r="I227" s="56"/>
      <c r="J227" s="56"/>
      <c r="K227" s="56"/>
      <c r="L227" s="56"/>
      <c r="M227" s="52"/>
      <c r="N227" s="53"/>
      <c r="O227" s="62" t="str">
        <f aca="false">IF($B227="","",TEXT($A227,"YYYY-MM-DD")&amp;"|"&amp;$B227)</f>
        <v/>
      </c>
      <c r="P227" s="3"/>
      <c r="Q227" s="3"/>
      <c r="R227" s="3"/>
      <c r="S227" s="3"/>
      <c r="T227" s="3"/>
      <c r="U227" s="3"/>
      <c r="V227" s="3"/>
      <c r="W227" s="3"/>
      <c r="X227" s="3"/>
      <c r="Y227" s="3"/>
      <c r="Z227" s="3"/>
      <c r="AA227" s="3"/>
      <c r="AB227" s="3"/>
    </row>
    <row r="228" customFormat="false" ht="15" hidden="false" customHeight="false" outlineLevel="0" collapsed="false">
      <c r="A228" s="48"/>
      <c r="B228" s="46"/>
      <c r="C228" s="50"/>
      <c r="D228" s="50"/>
      <c r="E228" s="50"/>
      <c r="F228" s="50"/>
      <c r="G228" s="49"/>
      <c r="H228" s="50"/>
      <c r="I228" s="50"/>
      <c r="J228" s="50"/>
      <c r="K228" s="50"/>
      <c r="L228" s="50"/>
      <c r="M228" s="46"/>
      <c r="N228" s="47"/>
      <c r="O228" s="62" t="str">
        <f aca="false">IF($B228="","",TEXT($A228,"YYYY-MM-DD")&amp;"|"&amp;$B228)</f>
        <v/>
      </c>
      <c r="P228" s="3"/>
      <c r="Q228" s="3"/>
      <c r="R228" s="3"/>
      <c r="S228" s="3"/>
      <c r="T228" s="3"/>
      <c r="U228" s="3"/>
      <c r="V228" s="3"/>
      <c r="W228" s="3"/>
      <c r="X228" s="3"/>
      <c r="Y228" s="3"/>
      <c r="Z228" s="3"/>
      <c r="AA228" s="3"/>
      <c r="AB228" s="3"/>
    </row>
    <row r="229" customFormat="false" ht="15" hidden="false" customHeight="false" outlineLevel="0" collapsed="false">
      <c r="A229" s="54"/>
      <c r="B229" s="52"/>
      <c r="C229" s="56"/>
      <c r="D229" s="56"/>
      <c r="E229" s="56"/>
      <c r="F229" s="56"/>
      <c r="G229" s="55"/>
      <c r="H229" s="56"/>
      <c r="I229" s="56"/>
      <c r="J229" s="56"/>
      <c r="K229" s="56"/>
      <c r="L229" s="56"/>
      <c r="M229" s="52"/>
      <c r="N229" s="53"/>
      <c r="O229" s="62" t="str">
        <f aca="false">IF($B229="","",TEXT($A229,"YYYY-MM-DD")&amp;"|"&amp;$B229)</f>
        <v/>
      </c>
      <c r="P229" s="3"/>
      <c r="Q229" s="3"/>
      <c r="R229" s="3"/>
      <c r="S229" s="3"/>
      <c r="T229" s="3"/>
      <c r="U229" s="3"/>
      <c r="V229" s="3"/>
      <c r="W229" s="3"/>
      <c r="X229" s="3"/>
      <c r="Y229" s="3"/>
      <c r="Z229" s="3"/>
      <c r="AA229" s="3"/>
      <c r="AB229" s="3"/>
    </row>
    <row r="230" customFormat="false" ht="15" hidden="false" customHeight="false" outlineLevel="0" collapsed="false">
      <c r="A230" s="48"/>
      <c r="B230" s="46"/>
      <c r="C230" s="50"/>
      <c r="D230" s="50"/>
      <c r="E230" s="50"/>
      <c r="F230" s="50"/>
      <c r="G230" s="49"/>
      <c r="H230" s="50"/>
      <c r="I230" s="50"/>
      <c r="J230" s="50"/>
      <c r="K230" s="50"/>
      <c r="L230" s="50"/>
      <c r="M230" s="46"/>
      <c r="N230" s="47"/>
      <c r="O230" s="62" t="str">
        <f aca="false">IF($B230="","",TEXT($A230,"YYYY-MM-DD")&amp;"|"&amp;$B230)</f>
        <v/>
      </c>
      <c r="P230" s="3"/>
      <c r="Q230" s="3"/>
      <c r="R230" s="3"/>
      <c r="S230" s="3"/>
      <c r="T230" s="3"/>
      <c r="U230" s="3"/>
      <c r="V230" s="3"/>
      <c r="W230" s="3"/>
      <c r="X230" s="3"/>
      <c r="Y230" s="3"/>
      <c r="Z230" s="3"/>
      <c r="AA230" s="3"/>
      <c r="AB230" s="3"/>
    </row>
    <row r="231" customFormat="false" ht="15" hidden="false" customHeight="false" outlineLevel="0" collapsed="false">
      <c r="A231" s="54"/>
      <c r="B231" s="52"/>
      <c r="C231" s="56"/>
      <c r="D231" s="56"/>
      <c r="E231" s="56"/>
      <c r="F231" s="56"/>
      <c r="G231" s="55"/>
      <c r="H231" s="56"/>
      <c r="I231" s="56"/>
      <c r="J231" s="56"/>
      <c r="K231" s="56"/>
      <c r="L231" s="56"/>
      <c r="M231" s="52"/>
      <c r="N231" s="53"/>
      <c r="O231" s="62" t="str">
        <f aca="false">IF($B231="","",TEXT($A231,"YYYY-MM-DD")&amp;"|"&amp;$B231)</f>
        <v/>
      </c>
      <c r="P231" s="3"/>
      <c r="Q231" s="3"/>
      <c r="R231" s="3"/>
      <c r="S231" s="3"/>
      <c r="T231" s="3"/>
      <c r="U231" s="3"/>
      <c r="V231" s="3"/>
      <c r="W231" s="3"/>
      <c r="X231" s="3"/>
      <c r="Y231" s="3"/>
      <c r="Z231" s="3"/>
      <c r="AA231" s="3"/>
      <c r="AB231" s="3"/>
    </row>
    <row r="232" customFormat="false" ht="15" hidden="false" customHeight="false" outlineLevel="0" collapsed="false">
      <c r="A232" s="48"/>
      <c r="B232" s="46"/>
      <c r="C232" s="50"/>
      <c r="D232" s="50"/>
      <c r="E232" s="50"/>
      <c r="F232" s="50"/>
      <c r="G232" s="49"/>
      <c r="H232" s="50"/>
      <c r="I232" s="50"/>
      <c r="J232" s="50"/>
      <c r="K232" s="50"/>
      <c r="L232" s="50"/>
      <c r="M232" s="46"/>
      <c r="N232" s="47"/>
      <c r="O232" s="62" t="str">
        <f aca="false">IF($B232="","",TEXT($A232,"YYYY-MM-DD")&amp;"|"&amp;$B232)</f>
        <v/>
      </c>
      <c r="P232" s="3"/>
      <c r="Q232" s="3"/>
      <c r="R232" s="3"/>
      <c r="S232" s="3"/>
      <c r="T232" s="3"/>
      <c r="U232" s="3"/>
      <c r="V232" s="3"/>
      <c r="W232" s="3"/>
      <c r="X232" s="3"/>
      <c r="Y232" s="3"/>
      <c r="Z232" s="3"/>
      <c r="AA232" s="3"/>
      <c r="AB232" s="3"/>
    </row>
    <row r="233" customFormat="false" ht="15" hidden="false" customHeight="false" outlineLevel="0" collapsed="false">
      <c r="A233" s="54"/>
      <c r="B233" s="52"/>
      <c r="C233" s="56"/>
      <c r="D233" s="56"/>
      <c r="E233" s="56"/>
      <c r="F233" s="56"/>
      <c r="G233" s="55"/>
      <c r="H233" s="56"/>
      <c r="I233" s="56"/>
      <c r="J233" s="56"/>
      <c r="K233" s="56"/>
      <c r="L233" s="56"/>
      <c r="M233" s="52"/>
      <c r="N233" s="53"/>
      <c r="O233" s="62" t="str">
        <f aca="false">IF($B233="","",TEXT($A233,"YYYY-MM-DD")&amp;"|"&amp;$B233)</f>
        <v/>
      </c>
      <c r="P233" s="3"/>
      <c r="Q233" s="3"/>
      <c r="R233" s="3"/>
      <c r="S233" s="3"/>
      <c r="T233" s="3"/>
      <c r="U233" s="3"/>
      <c r="V233" s="3"/>
      <c r="W233" s="3"/>
      <c r="X233" s="3"/>
      <c r="Y233" s="3"/>
      <c r="Z233" s="3"/>
      <c r="AA233" s="3"/>
      <c r="AB233" s="3"/>
    </row>
    <row r="234" customFormat="false" ht="15" hidden="false" customHeight="false" outlineLevel="0" collapsed="false">
      <c r="A234" s="48"/>
      <c r="B234" s="46"/>
      <c r="C234" s="50"/>
      <c r="D234" s="50"/>
      <c r="E234" s="50"/>
      <c r="F234" s="50"/>
      <c r="G234" s="49"/>
      <c r="H234" s="50"/>
      <c r="I234" s="50"/>
      <c r="J234" s="50"/>
      <c r="K234" s="50"/>
      <c r="L234" s="50"/>
      <c r="M234" s="46"/>
      <c r="N234" s="47"/>
      <c r="O234" s="62" t="str">
        <f aca="false">IF($B234="","",TEXT($A234,"YYYY-MM-DD")&amp;"|"&amp;$B234)</f>
        <v/>
      </c>
      <c r="P234" s="3"/>
      <c r="Q234" s="3"/>
      <c r="R234" s="3"/>
      <c r="S234" s="3"/>
      <c r="T234" s="3"/>
      <c r="U234" s="3"/>
      <c r="V234" s="3"/>
      <c r="W234" s="3"/>
      <c r="X234" s="3"/>
      <c r="Y234" s="3"/>
      <c r="Z234" s="3"/>
      <c r="AA234" s="3"/>
      <c r="AB234" s="3"/>
    </row>
    <row r="235" customFormat="false" ht="15" hidden="false" customHeight="false" outlineLevel="0" collapsed="false">
      <c r="A235" s="54"/>
      <c r="B235" s="52"/>
      <c r="C235" s="56"/>
      <c r="D235" s="56"/>
      <c r="E235" s="56"/>
      <c r="F235" s="56"/>
      <c r="G235" s="55"/>
      <c r="H235" s="56"/>
      <c r="I235" s="56"/>
      <c r="J235" s="56"/>
      <c r="K235" s="56"/>
      <c r="L235" s="56"/>
      <c r="M235" s="52"/>
      <c r="N235" s="53"/>
      <c r="O235" s="62" t="str">
        <f aca="false">IF($B235="","",TEXT($A235,"YYYY-MM-DD")&amp;"|"&amp;$B235)</f>
        <v/>
      </c>
      <c r="P235" s="3"/>
      <c r="Q235" s="3"/>
      <c r="R235" s="3"/>
      <c r="S235" s="3"/>
      <c r="T235" s="3"/>
      <c r="U235" s="3"/>
      <c r="V235" s="3"/>
      <c r="W235" s="3"/>
      <c r="X235" s="3"/>
      <c r="Y235" s="3"/>
      <c r="Z235" s="3"/>
      <c r="AA235" s="3"/>
      <c r="AB235" s="3"/>
    </row>
    <row r="236" customFormat="false" ht="15" hidden="false" customHeight="false" outlineLevel="0" collapsed="false">
      <c r="A236" s="48"/>
      <c r="B236" s="46"/>
      <c r="C236" s="50"/>
      <c r="D236" s="50"/>
      <c r="E236" s="50"/>
      <c r="F236" s="50"/>
      <c r="G236" s="49"/>
      <c r="H236" s="50"/>
      <c r="I236" s="50"/>
      <c r="J236" s="50"/>
      <c r="K236" s="50"/>
      <c r="L236" s="50"/>
      <c r="M236" s="46"/>
      <c r="N236" s="47"/>
      <c r="O236" s="62" t="str">
        <f aca="false">IF($B236="","",TEXT($A236,"YYYY-MM-DD")&amp;"|"&amp;$B236)</f>
        <v/>
      </c>
      <c r="P236" s="3"/>
      <c r="Q236" s="3"/>
      <c r="R236" s="3"/>
      <c r="S236" s="3"/>
      <c r="T236" s="3"/>
      <c r="U236" s="3"/>
      <c r="V236" s="3"/>
      <c r="W236" s="3"/>
      <c r="X236" s="3"/>
      <c r="Y236" s="3"/>
      <c r="Z236" s="3"/>
      <c r="AA236" s="3"/>
      <c r="AB236" s="3"/>
    </row>
    <row r="237" customFormat="false" ht="15" hidden="false" customHeight="false" outlineLevel="0" collapsed="false">
      <c r="A237" s="54"/>
      <c r="B237" s="52"/>
      <c r="C237" s="56"/>
      <c r="D237" s="56"/>
      <c r="E237" s="56"/>
      <c r="F237" s="56"/>
      <c r="G237" s="55"/>
      <c r="H237" s="56"/>
      <c r="I237" s="56"/>
      <c r="J237" s="56"/>
      <c r="K237" s="56"/>
      <c r="L237" s="56"/>
      <c r="M237" s="52"/>
      <c r="N237" s="53"/>
      <c r="O237" s="62" t="str">
        <f aca="false">IF($B237="","",TEXT($A237,"YYYY-MM-DD")&amp;"|"&amp;$B237)</f>
        <v/>
      </c>
      <c r="P237" s="3"/>
      <c r="Q237" s="3"/>
      <c r="R237" s="3"/>
      <c r="S237" s="3"/>
      <c r="T237" s="3"/>
      <c r="U237" s="3"/>
      <c r="V237" s="3"/>
      <c r="W237" s="3"/>
      <c r="X237" s="3"/>
      <c r="Y237" s="3"/>
      <c r="Z237" s="3"/>
      <c r="AA237" s="3"/>
      <c r="AB237" s="3"/>
    </row>
    <row r="238" customFormat="false" ht="15" hidden="false" customHeight="false" outlineLevel="0" collapsed="false">
      <c r="A238" s="48"/>
      <c r="B238" s="46"/>
      <c r="C238" s="50"/>
      <c r="D238" s="50"/>
      <c r="E238" s="50"/>
      <c r="F238" s="50"/>
      <c r="G238" s="49"/>
      <c r="H238" s="50"/>
      <c r="I238" s="50"/>
      <c r="J238" s="50"/>
      <c r="K238" s="50"/>
      <c r="L238" s="50"/>
      <c r="M238" s="46"/>
      <c r="N238" s="47"/>
      <c r="O238" s="62" t="str">
        <f aca="false">IF($B238="","",TEXT($A238,"YYYY-MM-DD")&amp;"|"&amp;$B238)</f>
        <v/>
      </c>
      <c r="P238" s="3"/>
      <c r="Q238" s="3"/>
      <c r="R238" s="3"/>
      <c r="S238" s="3"/>
      <c r="T238" s="3"/>
      <c r="U238" s="3"/>
      <c r="V238" s="3"/>
      <c r="W238" s="3"/>
      <c r="X238" s="3"/>
      <c r="Y238" s="3"/>
      <c r="Z238" s="3"/>
      <c r="AA238" s="3"/>
      <c r="AB238" s="3"/>
    </row>
    <row r="239" customFormat="false" ht="15" hidden="false" customHeight="false" outlineLevel="0" collapsed="false">
      <c r="A239" s="54"/>
      <c r="B239" s="52"/>
      <c r="C239" s="56"/>
      <c r="D239" s="56"/>
      <c r="E239" s="56"/>
      <c r="F239" s="56"/>
      <c r="G239" s="55"/>
      <c r="H239" s="56"/>
      <c r="I239" s="56"/>
      <c r="J239" s="56"/>
      <c r="K239" s="56"/>
      <c r="L239" s="56"/>
      <c r="M239" s="52"/>
      <c r="N239" s="53"/>
      <c r="O239" s="62" t="str">
        <f aca="false">IF($B239="","",TEXT($A239,"YYYY-MM-DD")&amp;"|"&amp;$B239)</f>
        <v/>
      </c>
      <c r="P239" s="3"/>
      <c r="Q239" s="3"/>
      <c r="R239" s="3"/>
      <c r="S239" s="3"/>
      <c r="T239" s="3"/>
      <c r="U239" s="3"/>
      <c r="V239" s="3"/>
      <c r="W239" s="3"/>
      <c r="X239" s="3"/>
      <c r="Y239" s="3"/>
      <c r="Z239" s="3"/>
      <c r="AA239" s="3"/>
      <c r="AB239" s="3"/>
    </row>
    <row r="240" customFormat="false" ht="15" hidden="false" customHeight="false" outlineLevel="0" collapsed="false">
      <c r="A240" s="48"/>
      <c r="B240" s="46"/>
      <c r="C240" s="50"/>
      <c r="D240" s="50"/>
      <c r="E240" s="50"/>
      <c r="F240" s="50"/>
      <c r="G240" s="49"/>
      <c r="H240" s="50"/>
      <c r="I240" s="50"/>
      <c r="J240" s="50"/>
      <c r="K240" s="50"/>
      <c r="L240" s="50"/>
      <c r="M240" s="46"/>
      <c r="N240" s="47"/>
      <c r="O240" s="62" t="str">
        <f aca="false">IF($B240="","",TEXT($A240,"YYYY-MM-DD")&amp;"|"&amp;$B240)</f>
        <v/>
      </c>
      <c r="P240" s="3"/>
      <c r="Q240" s="3"/>
      <c r="R240" s="3"/>
      <c r="S240" s="3"/>
      <c r="T240" s="3"/>
      <c r="U240" s="3"/>
      <c r="V240" s="3"/>
      <c r="W240" s="3"/>
      <c r="X240" s="3"/>
      <c r="Y240" s="3"/>
      <c r="Z240" s="3"/>
      <c r="AA240" s="3"/>
      <c r="AB240" s="3"/>
    </row>
    <row r="241" customFormat="false" ht="15" hidden="false" customHeight="false" outlineLevel="0" collapsed="false">
      <c r="A241" s="54"/>
      <c r="B241" s="52"/>
      <c r="C241" s="56"/>
      <c r="D241" s="56"/>
      <c r="E241" s="56"/>
      <c r="F241" s="56"/>
      <c r="G241" s="55"/>
      <c r="H241" s="56"/>
      <c r="I241" s="56"/>
      <c r="J241" s="56"/>
      <c r="K241" s="56"/>
      <c r="L241" s="56"/>
      <c r="M241" s="52"/>
      <c r="N241" s="53"/>
      <c r="O241" s="62" t="str">
        <f aca="false">IF($B241="","",TEXT($A241,"YYYY-MM-DD")&amp;"|"&amp;$B241)</f>
        <v/>
      </c>
      <c r="P241" s="3"/>
      <c r="Q241" s="3"/>
      <c r="R241" s="3"/>
      <c r="S241" s="3"/>
      <c r="T241" s="3"/>
      <c r="U241" s="3"/>
      <c r="V241" s="3"/>
      <c r="W241" s="3"/>
      <c r="X241" s="3"/>
      <c r="Y241" s="3"/>
      <c r="Z241" s="3"/>
      <c r="AA241" s="3"/>
      <c r="AB241" s="3"/>
    </row>
    <row r="242" customFormat="false" ht="15" hidden="false" customHeight="false" outlineLevel="0" collapsed="false">
      <c r="A242" s="48"/>
      <c r="B242" s="46"/>
      <c r="C242" s="50"/>
      <c r="D242" s="50"/>
      <c r="E242" s="50"/>
      <c r="F242" s="50"/>
      <c r="G242" s="49"/>
      <c r="H242" s="50"/>
      <c r="I242" s="50"/>
      <c r="J242" s="50"/>
      <c r="K242" s="50"/>
      <c r="L242" s="50"/>
      <c r="M242" s="46"/>
      <c r="N242" s="47"/>
      <c r="O242" s="62" t="str">
        <f aca="false">IF($B242="","",TEXT($A242,"YYYY-MM-DD")&amp;"|"&amp;$B242)</f>
        <v/>
      </c>
      <c r="P242" s="3"/>
      <c r="Q242" s="3"/>
      <c r="R242" s="3"/>
      <c r="S242" s="3"/>
      <c r="T242" s="3"/>
      <c r="U242" s="3"/>
      <c r="V242" s="3"/>
      <c r="W242" s="3"/>
      <c r="X242" s="3"/>
      <c r="Y242" s="3"/>
      <c r="Z242" s="3"/>
      <c r="AA242" s="3"/>
      <c r="AB242" s="3"/>
    </row>
    <row r="243" customFormat="false" ht="15" hidden="false" customHeight="false" outlineLevel="0" collapsed="false">
      <c r="A243" s="54"/>
      <c r="B243" s="52"/>
      <c r="C243" s="56"/>
      <c r="D243" s="56"/>
      <c r="E243" s="56"/>
      <c r="F243" s="56"/>
      <c r="G243" s="55"/>
      <c r="H243" s="56"/>
      <c r="I243" s="56"/>
      <c r="J243" s="56"/>
      <c r="K243" s="56"/>
      <c r="L243" s="56"/>
      <c r="M243" s="52"/>
      <c r="N243" s="53"/>
      <c r="O243" s="62" t="str">
        <f aca="false">IF($B243="","",TEXT($A243,"YYYY-MM-DD")&amp;"|"&amp;$B243)</f>
        <v/>
      </c>
      <c r="P243" s="3"/>
      <c r="Q243" s="3"/>
      <c r="R243" s="3"/>
      <c r="S243" s="3"/>
      <c r="T243" s="3"/>
      <c r="U243" s="3"/>
      <c r="V243" s="3"/>
      <c r="W243" s="3"/>
      <c r="X243" s="3"/>
      <c r="Y243" s="3"/>
      <c r="Z243" s="3"/>
      <c r="AA243" s="3"/>
      <c r="AB243" s="3"/>
    </row>
    <row r="244" customFormat="false" ht="15" hidden="false" customHeight="false" outlineLevel="0" collapsed="false">
      <c r="A244" s="48"/>
      <c r="B244" s="46"/>
      <c r="C244" s="50"/>
      <c r="D244" s="50"/>
      <c r="E244" s="50"/>
      <c r="F244" s="50"/>
      <c r="G244" s="49"/>
      <c r="H244" s="50"/>
      <c r="I244" s="50"/>
      <c r="J244" s="50"/>
      <c r="K244" s="50"/>
      <c r="L244" s="50"/>
      <c r="M244" s="46"/>
      <c r="N244" s="47"/>
      <c r="O244" s="62" t="str">
        <f aca="false">IF($B244="","",TEXT($A244,"YYYY-MM-DD")&amp;"|"&amp;$B244)</f>
        <v/>
      </c>
      <c r="P244" s="3"/>
      <c r="Q244" s="3"/>
      <c r="R244" s="3"/>
      <c r="S244" s="3"/>
      <c r="T244" s="3"/>
      <c r="U244" s="3"/>
      <c r="V244" s="3"/>
      <c r="W244" s="3"/>
      <c r="X244" s="3"/>
      <c r="Y244" s="3"/>
      <c r="Z244" s="3"/>
      <c r="AA244" s="3"/>
      <c r="AB244" s="3"/>
    </row>
    <row r="245" customFormat="false" ht="15" hidden="false" customHeight="false" outlineLevel="0" collapsed="false">
      <c r="A245" s="54"/>
      <c r="B245" s="52"/>
      <c r="C245" s="56"/>
      <c r="D245" s="56"/>
      <c r="E245" s="56"/>
      <c r="F245" s="56"/>
      <c r="G245" s="55"/>
      <c r="H245" s="56"/>
      <c r="I245" s="56"/>
      <c r="J245" s="56"/>
      <c r="K245" s="56"/>
      <c r="L245" s="56"/>
      <c r="M245" s="52"/>
      <c r="N245" s="53"/>
      <c r="O245" s="62" t="str">
        <f aca="false">IF($B245="","",TEXT($A245,"YYYY-MM-DD")&amp;"|"&amp;$B245)</f>
        <v/>
      </c>
      <c r="P245" s="3"/>
      <c r="Q245" s="3"/>
      <c r="R245" s="3"/>
      <c r="S245" s="3"/>
      <c r="T245" s="3"/>
      <c r="U245" s="3"/>
      <c r="V245" s="3"/>
      <c r="W245" s="3"/>
      <c r="X245" s="3"/>
      <c r="Y245" s="3"/>
      <c r="Z245" s="3"/>
      <c r="AA245" s="3"/>
      <c r="AB245" s="3"/>
    </row>
    <row r="246" customFormat="false" ht="15" hidden="false" customHeight="false" outlineLevel="0" collapsed="false">
      <c r="A246" s="48"/>
      <c r="B246" s="46"/>
      <c r="C246" s="50"/>
      <c r="D246" s="50"/>
      <c r="E246" s="50"/>
      <c r="F246" s="50"/>
      <c r="G246" s="49"/>
      <c r="H246" s="50"/>
      <c r="I246" s="50"/>
      <c r="J246" s="50"/>
      <c r="K246" s="50"/>
      <c r="L246" s="50"/>
      <c r="M246" s="46"/>
      <c r="N246" s="47"/>
      <c r="O246" s="62" t="str">
        <f aca="false">IF($B246="","",TEXT($A246,"YYYY-MM-DD")&amp;"|"&amp;$B246)</f>
        <v/>
      </c>
      <c r="P246" s="3"/>
      <c r="Q246" s="3"/>
      <c r="R246" s="3"/>
      <c r="S246" s="3"/>
      <c r="T246" s="3"/>
      <c r="U246" s="3"/>
      <c r="V246" s="3"/>
      <c r="W246" s="3"/>
      <c r="X246" s="3"/>
      <c r="Y246" s="3"/>
      <c r="Z246" s="3"/>
      <c r="AA246" s="3"/>
      <c r="AB246" s="3"/>
    </row>
    <row r="247" customFormat="false" ht="15" hidden="false" customHeight="false" outlineLevel="0" collapsed="false">
      <c r="A247" s="54"/>
      <c r="B247" s="52"/>
      <c r="C247" s="56"/>
      <c r="D247" s="56"/>
      <c r="E247" s="56"/>
      <c r="F247" s="56"/>
      <c r="G247" s="55"/>
      <c r="H247" s="56"/>
      <c r="I247" s="56"/>
      <c r="J247" s="56"/>
      <c r="K247" s="56"/>
      <c r="L247" s="56"/>
      <c r="M247" s="52"/>
      <c r="N247" s="53"/>
      <c r="O247" s="62" t="str">
        <f aca="false">IF($B247="","",TEXT($A247,"YYYY-MM-DD")&amp;"|"&amp;$B247)</f>
        <v/>
      </c>
      <c r="P247" s="3"/>
      <c r="Q247" s="3"/>
      <c r="R247" s="3"/>
      <c r="S247" s="3"/>
      <c r="T247" s="3"/>
      <c r="U247" s="3"/>
      <c r="V247" s="3"/>
      <c r="W247" s="3"/>
      <c r="X247" s="3"/>
      <c r="Y247" s="3"/>
      <c r="Z247" s="3"/>
      <c r="AA247" s="3"/>
      <c r="AB247" s="3"/>
    </row>
    <row r="248" customFormat="false" ht="15" hidden="false" customHeight="false" outlineLevel="0" collapsed="false">
      <c r="A248" s="48"/>
      <c r="B248" s="46"/>
      <c r="C248" s="50"/>
      <c r="D248" s="50"/>
      <c r="E248" s="50"/>
      <c r="F248" s="50"/>
      <c r="G248" s="49"/>
      <c r="H248" s="50"/>
      <c r="I248" s="50"/>
      <c r="J248" s="50"/>
      <c r="K248" s="50"/>
      <c r="L248" s="50"/>
      <c r="M248" s="46"/>
      <c r="N248" s="47"/>
      <c r="O248" s="62" t="str">
        <f aca="false">IF($B248="","",TEXT($A248,"YYYY-MM-DD")&amp;"|"&amp;$B248)</f>
        <v/>
      </c>
      <c r="P248" s="3"/>
      <c r="Q248" s="3"/>
      <c r="R248" s="3"/>
      <c r="S248" s="3"/>
      <c r="T248" s="3"/>
      <c r="U248" s="3"/>
      <c r="V248" s="3"/>
      <c r="W248" s="3"/>
      <c r="X248" s="3"/>
      <c r="Y248" s="3"/>
      <c r="Z248" s="3"/>
      <c r="AA248" s="3"/>
      <c r="AB248" s="3"/>
    </row>
    <row r="249" customFormat="false" ht="15" hidden="false" customHeight="false" outlineLevel="0" collapsed="false">
      <c r="A249" s="54"/>
      <c r="B249" s="52"/>
      <c r="C249" s="56"/>
      <c r="D249" s="56"/>
      <c r="E249" s="56"/>
      <c r="F249" s="56"/>
      <c r="G249" s="55"/>
      <c r="H249" s="56"/>
      <c r="I249" s="56"/>
      <c r="J249" s="56"/>
      <c r="K249" s="56"/>
      <c r="L249" s="56"/>
      <c r="M249" s="52"/>
      <c r="N249" s="53"/>
      <c r="O249" s="62" t="str">
        <f aca="false">IF($B249="","",TEXT($A249,"YYYY-MM-DD")&amp;"|"&amp;$B249)</f>
        <v/>
      </c>
      <c r="P249" s="3"/>
      <c r="Q249" s="3"/>
      <c r="R249" s="3"/>
      <c r="S249" s="3"/>
      <c r="T249" s="3"/>
      <c r="U249" s="3"/>
      <c r="V249" s="3"/>
      <c r="W249" s="3"/>
      <c r="X249" s="3"/>
      <c r="Y249" s="3"/>
      <c r="Z249" s="3"/>
      <c r="AA249" s="3"/>
      <c r="AB249" s="3"/>
    </row>
    <row r="250" customFormat="false" ht="15" hidden="false" customHeight="false" outlineLevel="0" collapsed="false">
      <c r="A250" s="48"/>
      <c r="B250" s="46"/>
      <c r="C250" s="50"/>
      <c r="D250" s="50"/>
      <c r="E250" s="50"/>
      <c r="F250" s="50"/>
      <c r="G250" s="49"/>
      <c r="H250" s="50"/>
      <c r="I250" s="50"/>
      <c r="J250" s="50"/>
      <c r="K250" s="50"/>
      <c r="L250" s="50"/>
      <c r="M250" s="46"/>
      <c r="N250" s="47"/>
      <c r="O250" s="62" t="str">
        <f aca="false">IF($B250="","",TEXT($A250,"YYYY-MM-DD")&amp;"|"&amp;$B250)</f>
        <v/>
      </c>
      <c r="P250" s="3"/>
      <c r="Q250" s="3"/>
      <c r="R250" s="3"/>
      <c r="S250" s="3"/>
      <c r="T250" s="3"/>
      <c r="U250" s="3"/>
      <c r="V250" s="3"/>
      <c r="W250" s="3"/>
      <c r="X250" s="3"/>
      <c r="Y250" s="3"/>
      <c r="Z250" s="3"/>
      <c r="AA250" s="3"/>
      <c r="AB250" s="3"/>
    </row>
    <row r="251" customFormat="false" ht="15" hidden="false" customHeight="false" outlineLevel="0" collapsed="false">
      <c r="A251" s="54"/>
      <c r="B251" s="52"/>
      <c r="C251" s="56"/>
      <c r="D251" s="56"/>
      <c r="E251" s="56"/>
      <c r="F251" s="56"/>
      <c r="G251" s="55"/>
      <c r="H251" s="56"/>
      <c r="I251" s="56"/>
      <c r="J251" s="56"/>
      <c r="K251" s="56"/>
      <c r="L251" s="56"/>
      <c r="M251" s="52"/>
      <c r="N251" s="53"/>
      <c r="O251" s="62" t="str">
        <f aca="false">IF($B251="","",TEXT($A251,"YYYY-MM-DD")&amp;"|"&amp;$B251)</f>
        <v/>
      </c>
      <c r="P251" s="3"/>
      <c r="Q251" s="3"/>
      <c r="R251" s="3"/>
      <c r="S251" s="3"/>
      <c r="T251" s="3"/>
      <c r="U251" s="3"/>
      <c r="V251" s="3"/>
      <c r="W251" s="3"/>
      <c r="X251" s="3"/>
      <c r="Y251" s="3"/>
      <c r="Z251" s="3"/>
      <c r="AA251" s="3"/>
      <c r="AB251" s="3"/>
    </row>
    <row r="252" customFormat="false" ht="15" hidden="false" customHeight="false" outlineLevel="0" collapsed="false">
      <c r="A252" s="48"/>
      <c r="B252" s="46"/>
      <c r="C252" s="50"/>
      <c r="D252" s="50"/>
      <c r="E252" s="50"/>
      <c r="F252" s="50"/>
      <c r="G252" s="49"/>
      <c r="H252" s="50"/>
      <c r="I252" s="50"/>
      <c r="J252" s="50"/>
      <c r="K252" s="50"/>
      <c r="L252" s="50"/>
      <c r="M252" s="46"/>
      <c r="N252" s="47"/>
      <c r="O252" s="62" t="str">
        <f aca="false">IF($B252="","",TEXT($A252,"YYYY-MM-DD")&amp;"|"&amp;$B252)</f>
        <v/>
      </c>
      <c r="P252" s="3"/>
      <c r="Q252" s="3"/>
      <c r="R252" s="3"/>
      <c r="S252" s="3"/>
      <c r="T252" s="3"/>
      <c r="U252" s="3"/>
      <c r="V252" s="3"/>
      <c r="W252" s="3"/>
      <c r="X252" s="3"/>
      <c r="Y252" s="3"/>
      <c r="Z252" s="3"/>
      <c r="AA252" s="3"/>
      <c r="AB252" s="3"/>
    </row>
    <row r="253" customFormat="false" ht="15" hidden="false" customHeight="false" outlineLevel="0" collapsed="false">
      <c r="A253" s="54"/>
      <c r="B253" s="52"/>
      <c r="C253" s="56"/>
      <c r="D253" s="56"/>
      <c r="E253" s="56"/>
      <c r="F253" s="56"/>
      <c r="G253" s="55"/>
      <c r="H253" s="56"/>
      <c r="I253" s="56"/>
      <c r="J253" s="56"/>
      <c r="K253" s="56"/>
      <c r="L253" s="56"/>
      <c r="M253" s="52"/>
      <c r="N253" s="53"/>
      <c r="O253" s="62" t="str">
        <f aca="false">IF($B253="","",TEXT($A253,"YYYY-MM-DD")&amp;"|"&amp;$B253)</f>
        <v/>
      </c>
      <c r="P253" s="3"/>
      <c r="Q253" s="3"/>
      <c r="R253" s="3"/>
      <c r="S253" s="3"/>
      <c r="T253" s="3"/>
      <c r="U253" s="3"/>
      <c r="V253" s="3"/>
      <c r="W253" s="3"/>
      <c r="X253" s="3"/>
      <c r="Y253" s="3"/>
      <c r="Z253" s="3"/>
      <c r="AA253" s="3"/>
      <c r="AB253" s="3"/>
    </row>
    <row r="254" customFormat="false" ht="15" hidden="false" customHeight="false" outlineLevel="0" collapsed="false">
      <c r="A254" s="48"/>
      <c r="B254" s="46"/>
      <c r="C254" s="50"/>
      <c r="D254" s="50"/>
      <c r="E254" s="50"/>
      <c r="F254" s="50"/>
      <c r="G254" s="49"/>
      <c r="H254" s="50"/>
      <c r="I254" s="50"/>
      <c r="J254" s="50"/>
      <c r="K254" s="50"/>
      <c r="L254" s="50"/>
      <c r="M254" s="46"/>
      <c r="N254" s="47"/>
      <c r="O254" s="62" t="str">
        <f aca="false">IF($B254="","",TEXT($A254,"YYYY-MM-DD")&amp;"|"&amp;$B254)</f>
        <v/>
      </c>
      <c r="P254" s="3"/>
      <c r="Q254" s="3"/>
      <c r="R254" s="3"/>
      <c r="S254" s="3"/>
      <c r="T254" s="3"/>
      <c r="U254" s="3"/>
      <c r="V254" s="3"/>
      <c r="W254" s="3"/>
      <c r="X254" s="3"/>
      <c r="Y254" s="3"/>
      <c r="Z254" s="3"/>
      <c r="AA254" s="3"/>
      <c r="AB254" s="3"/>
    </row>
    <row r="255" customFormat="false" ht="15" hidden="false" customHeight="false" outlineLevel="0" collapsed="false">
      <c r="A255" s="54"/>
      <c r="B255" s="52"/>
      <c r="C255" s="56"/>
      <c r="D255" s="56"/>
      <c r="E255" s="56"/>
      <c r="F255" s="56"/>
      <c r="G255" s="55"/>
      <c r="H255" s="56"/>
      <c r="I255" s="56"/>
      <c r="J255" s="56"/>
      <c r="K255" s="56"/>
      <c r="L255" s="56"/>
      <c r="M255" s="52"/>
      <c r="N255" s="53"/>
      <c r="O255" s="62" t="str">
        <f aca="false">IF($B255="","",TEXT($A255,"YYYY-MM-DD")&amp;"|"&amp;$B255)</f>
        <v/>
      </c>
      <c r="P255" s="3"/>
      <c r="Q255" s="3"/>
      <c r="R255" s="3"/>
      <c r="S255" s="3"/>
      <c r="T255" s="3"/>
      <c r="U255" s="3"/>
      <c r="V255" s="3"/>
      <c r="W255" s="3"/>
      <c r="X255" s="3"/>
      <c r="Y255" s="3"/>
      <c r="Z255" s="3"/>
      <c r="AA255" s="3"/>
      <c r="AB255" s="3"/>
    </row>
    <row r="256" customFormat="false" ht="15" hidden="false" customHeight="false" outlineLevel="0" collapsed="false">
      <c r="A256" s="48"/>
      <c r="B256" s="46"/>
      <c r="C256" s="50"/>
      <c r="D256" s="50"/>
      <c r="E256" s="50"/>
      <c r="F256" s="50"/>
      <c r="G256" s="49"/>
      <c r="H256" s="50"/>
      <c r="I256" s="50"/>
      <c r="J256" s="50"/>
      <c r="K256" s="50"/>
      <c r="L256" s="50"/>
      <c r="M256" s="46"/>
      <c r="N256" s="47"/>
      <c r="O256" s="62" t="str">
        <f aca="false">IF($B256="","",TEXT($A256,"YYYY-MM-DD")&amp;"|"&amp;$B256)</f>
        <v/>
      </c>
      <c r="P256" s="3"/>
      <c r="Q256" s="3"/>
      <c r="R256" s="3"/>
      <c r="S256" s="3"/>
      <c r="T256" s="3"/>
      <c r="U256" s="3"/>
      <c r="V256" s="3"/>
      <c r="W256" s="3"/>
      <c r="X256" s="3"/>
      <c r="Y256" s="3"/>
      <c r="Z256" s="3"/>
      <c r="AA256" s="3"/>
      <c r="AB256" s="3"/>
    </row>
    <row r="257" customFormat="false" ht="15" hidden="false" customHeight="false" outlineLevel="0" collapsed="false">
      <c r="A257" s="54"/>
      <c r="B257" s="52"/>
      <c r="C257" s="56"/>
      <c r="D257" s="56"/>
      <c r="E257" s="56"/>
      <c r="F257" s="56"/>
      <c r="G257" s="55"/>
      <c r="H257" s="56"/>
      <c r="I257" s="56"/>
      <c r="J257" s="56"/>
      <c r="K257" s="56"/>
      <c r="L257" s="56"/>
      <c r="M257" s="52"/>
      <c r="N257" s="53"/>
      <c r="O257" s="62" t="str">
        <f aca="false">IF($B257="","",TEXT($A257,"YYYY-MM-DD")&amp;"|"&amp;$B257)</f>
        <v/>
      </c>
      <c r="P257" s="3"/>
      <c r="Q257" s="3"/>
      <c r="R257" s="3"/>
      <c r="S257" s="3"/>
      <c r="T257" s="3"/>
      <c r="U257" s="3"/>
      <c r="V257" s="3"/>
      <c r="W257" s="3"/>
      <c r="X257" s="3"/>
      <c r="Y257" s="3"/>
      <c r="Z257" s="3"/>
      <c r="AA257" s="3"/>
      <c r="AB257" s="3"/>
    </row>
    <row r="258" customFormat="false" ht="15" hidden="false" customHeight="false" outlineLevel="0" collapsed="false">
      <c r="A258" s="48"/>
      <c r="B258" s="46"/>
      <c r="C258" s="50"/>
      <c r="D258" s="50"/>
      <c r="E258" s="50"/>
      <c r="F258" s="50"/>
      <c r="G258" s="49"/>
      <c r="H258" s="50"/>
      <c r="I258" s="50"/>
      <c r="J258" s="50"/>
      <c r="K258" s="50"/>
      <c r="L258" s="50"/>
      <c r="M258" s="46"/>
      <c r="N258" s="47"/>
      <c r="O258" s="62" t="str">
        <f aca="false">IF($B258="","",TEXT($A258,"YYYY-MM-DD")&amp;"|"&amp;$B258)</f>
        <v/>
      </c>
      <c r="P258" s="3"/>
      <c r="Q258" s="3"/>
      <c r="R258" s="3"/>
      <c r="S258" s="3"/>
      <c r="T258" s="3"/>
      <c r="U258" s="3"/>
      <c r="V258" s="3"/>
      <c r="W258" s="3"/>
      <c r="X258" s="3"/>
      <c r="Y258" s="3"/>
      <c r="Z258" s="3"/>
      <c r="AA258" s="3"/>
      <c r="AB258" s="3"/>
    </row>
    <row r="259" customFormat="false" ht="15" hidden="false" customHeight="false" outlineLevel="0" collapsed="false">
      <c r="A259" s="54"/>
      <c r="B259" s="52"/>
      <c r="C259" s="56"/>
      <c r="D259" s="56"/>
      <c r="E259" s="56"/>
      <c r="F259" s="56"/>
      <c r="G259" s="55"/>
      <c r="H259" s="56"/>
      <c r="I259" s="56"/>
      <c r="J259" s="56"/>
      <c r="K259" s="56"/>
      <c r="L259" s="56"/>
      <c r="M259" s="52"/>
      <c r="N259" s="53"/>
      <c r="O259" s="62" t="str">
        <f aca="false">IF($B259="","",TEXT($A259,"YYYY-MM-DD")&amp;"|"&amp;$B259)</f>
        <v/>
      </c>
      <c r="P259" s="3"/>
      <c r="Q259" s="3"/>
      <c r="R259" s="3"/>
      <c r="S259" s="3"/>
      <c r="T259" s="3"/>
      <c r="U259" s="3"/>
      <c r="V259" s="3"/>
      <c r="W259" s="3"/>
      <c r="X259" s="3"/>
      <c r="Y259" s="3"/>
      <c r="Z259" s="3"/>
      <c r="AA259" s="3"/>
      <c r="AB259" s="3"/>
    </row>
    <row r="260" customFormat="false" ht="15" hidden="false" customHeight="false" outlineLevel="0" collapsed="false">
      <c r="A260" s="48"/>
      <c r="B260" s="46"/>
      <c r="C260" s="50"/>
      <c r="D260" s="50"/>
      <c r="E260" s="50"/>
      <c r="F260" s="50"/>
      <c r="G260" s="49"/>
      <c r="H260" s="50"/>
      <c r="I260" s="50"/>
      <c r="J260" s="50"/>
      <c r="K260" s="50"/>
      <c r="L260" s="50"/>
      <c r="M260" s="46"/>
      <c r="N260" s="47"/>
      <c r="O260" s="62" t="str">
        <f aca="false">IF($B260="","",TEXT($A260,"YYYY-MM-DD")&amp;"|"&amp;$B260)</f>
        <v/>
      </c>
      <c r="P260" s="3"/>
      <c r="Q260" s="3"/>
      <c r="R260" s="3"/>
      <c r="S260" s="3"/>
      <c r="T260" s="3"/>
      <c r="U260" s="3"/>
      <c r="V260" s="3"/>
      <c r="W260" s="3"/>
      <c r="X260" s="3"/>
      <c r="Y260" s="3"/>
      <c r="Z260" s="3"/>
      <c r="AA260" s="3"/>
      <c r="AB260" s="3"/>
    </row>
    <row r="261" customFormat="false" ht="15" hidden="false" customHeight="false" outlineLevel="0" collapsed="false">
      <c r="A261" s="54"/>
      <c r="B261" s="52"/>
      <c r="C261" s="56"/>
      <c r="D261" s="56"/>
      <c r="E261" s="56"/>
      <c r="F261" s="56"/>
      <c r="G261" s="55"/>
      <c r="H261" s="56"/>
      <c r="I261" s="56"/>
      <c r="J261" s="56"/>
      <c r="K261" s="56"/>
      <c r="L261" s="56"/>
      <c r="M261" s="52"/>
      <c r="N261" s="53"/>
      <c r="O261" s="62" t="str">
        <f aca="false">IF($B261="","",TEXT($A261,"YYYY-MM-DD")&amp;"|"&amp;$B261)</f>
        <v/>
      </c>
      <c r="P261" s="3"/>
      <c r="Q261" s="3"/>
      <c r="R261" s="3"/>
      <c r="S261" s="3"/>
      <c r="T261" s="3"/>
      <c r="U261" s="3"/>
      <c r="V261" s="3"/>
      <c r="W261" s="3"/>
      <c r="X261" s="3"/>
      <c r="Y261" s="3"/>
      <c r="Z261" s="3"/>
      <c r="AA261" s="3"/>
      <c r="AB261" s="3"/>
    </row>
    <row r="262" customFormat="false" ht="15" hidden="false" customHeight="false" outlineLevel="0" collapsed="false">
      <c r="A262" s="48"/>
      <c r="B262" s="46"/>
      <c r="C262" s="50"/>
      <c r="D262" s="50"/>
      <c r="E262" s="50"/>
      <c r="F262" s="50"/>
      <c r="G262" s="49"/>
      <c r="H262" s="50"/>
      <c r="I262" s="50"/>
      <c r="J262" s="50"/>
      <c r="K262" s="50"/>
      <c r="L262" s="50"/>
      <c r="M262" s="46"/>
      <c r="N262" s="47"/>
      <c r="O262" s="62" t="str">
        <f aca="false">IF($B262="","",TEXT($A262,"YYYY-MM-DD")&amp;"|"&amp;$B262)</f>
        <v/>
      </c>
      <c r="P262" s="3"/>
      <c r="Q262" s="3"/>
      <c r="R262" s="3"/>
      <c r="S262" s="3"/>
      <c r="T262" s="3"/>
      <c r="U262" s="3"/>
      <c r="V262" s="3"/>
      <c r="W262" s="3"/>
      <c r="X262" s="3"/>
      <c r="Y262" s="3"/>
      <c r="Z262" s="3"/>
      <c r="AA262" s="3"/>
      <c r="AB262" s="3"/>
    </row>
    <row r="263" customFormat="false" ht="15" hidden="false" customHeight="false" outlineLevel="0" collapsed="false">
      <c r="A263" s="54"/>
      <c r="B263" s="52"/>
      <c r="C263" s="56"/>
      <c r="D263" s="56"/>
      <c r="E263" s="56"/>
      <c r="F263" s="56"/>
      <c r="G263" s="55"/>
      <c r="H263" s="56"/>
      <c r="I263" s="56"/>
      <c r="J263" s="56"/>
      <c r="K263" s="56"/>
      <c r="L263" s="56"/>
      <c r="M263" s="52"/>
      <c r="N263" s="53"/>
      <c r="O263" s="62" t="str">
        <f aca="false">IF($B263="","",TEXT($A263,"YYYY-MM-DD")&amp;"|"&amp;$B263)</f>
        <v/>
      </c>
      <c r="P263" s="3"/>
      <c r="Q263" s="3"/>
      <c r="R263" s="3"/>
      <c r="S263" s="3"/>
      <c r="T263" s="3"/>
      <c r="U263" s="3"/>
      <c r="V263" s="3"/>
      <c r="W263" s="3"/>
      <c r="X263" s="3"/>
      <c r="Y263" s="3"/>
      <c r="Z263" s="3"/>
      <c r="AA263" s="3"/>
      <c r="AB263" s="3"/>
    </row>
    <row r="264" customFormat="false" ht="15" hidden="false" customHeight="false" outlineLevel="0" collapsed="false">
      <c r="A264" s="48"/>
      <c r="B264" s="46"/>
      <c r="C264" s="50"/>
      <c r="D264" s="50"/>
      <c r="E264" s="50"/>
      <c r="F264" s="50"/>
      <c r="G264" s="49"/>
      <c r="H264" s="50"/>
      <c r="I264" s="50"/>
      <c r="J264" s="50"/>
      <c r="K264" s="50"/>
      <c r="L264" s="50"/>
      <c r="M264" s="46"/>
      <c r="N264" s="47"/>
      <c r="O264" s="62" t="str">
        <f aca="false">IF($B264="","",TEXT($A264,"YYYY-MM-DD")&amp;"|"&amp;$B264)</f>
        <v/>
      </c>
      <c r="P264" s="3"/>
      <c r="Q264" s="3"/>
      <c r="R264" s="3"/>
      <c r="S264" s="3"/>
      <c r="T264" s="3"/>
      <c r="U264" s="3"/>
      <c r="V264" s="3"/>
      <c r="W264" s="3"/>
      <c r="X264" s="3"/>
      <c r="Y264" s="3"/>
      <c r="Z264" s="3"/>
      <c r="AA264" s="3"/>
      <c r="AB264" s="3"/>
    </row>
    <row r="265" customFormat="false" ht="15" hidden="false" customHeight="false" outlineLevel="0" collapsed="false">
      <c r="A265" s="54"/>
      <c r="B265" s="52"/>
      <c r="C265" s="56"/>
      <c r="D265" s="56"/>
      <c r="E265" s="56"/>
      <c r="F265" s="56"/>
      <c r="G265" s="55"/>
      <c r="H265" s="56"/>
      <c r="I265" s="56"/>
      <c r="J265" s="56"/>
      <c r="K265" s="56"/>
      <c r="L265" s="56"/>
      <c r="M265" s="52"/>
      <c r="N265" s="53"/>
      <c r="O265" s="62" t="str">
        <f aca="false">IF($B265="","",TEXT($A265,"YYYY-MM-DD")&amp;"|"&amp;$B265)</f>
        <v/>
      </c>
      <c r="P265" s="3"/>
      <c r="Q265" s="3"/>
      <c r="R265" s="3"/>
      <c r="S265" s="3"/>
      <c r="T265" s="3"/>
      <c r="U265" s="3"/>
      <c r="V265" s="3"/>
      <c r="W265" s="3"/>
      <c r="X265" s="3"/>
      <c r="Y265" s="3"/>
      <c r="Z265" s="3"/>
      <c r="AA265" s="3"/>
      <c r="AB265" s="3"/>
    </row>
    <row r="266" customFormat="false" ht="15" hidden="false" customHeight="false" outlineLevel="0" collapsed="false">
      <c r="A266" s="48"/>
      <c r="B266" s="46"/>
      <c r="C266" s="50"/>
      <c r="D266" s="50"/>
      <c r="E266" s="50"/>
      <c r="F266" s="50"/>
      <c r="G266" s="49"/>
      <c r="H266" s="50"/>
      <c r="I266" s="50"/>
      <c r="J266" s="50"/>
      <c r="K266" s="50"/>
      <c r="L266" s="50"/>
      <c r="M266" s="46"/>
      <c r="N266" s="47"/>
      <c r="O266" s="62" t="str">
        <f aca="false">IF($B266="","",TEXT($A266,"YYYY-MM-DD")&amp;"|"&amp;$B266)</f>
        <v/>
      </c>
      <c r="P266" s="3"/>
      <c r="Q266" s="3"/>
      <c r="R266" s="3"/>
      <c r="S266" s="3"/>
      <c r="T266" s="3"/>
      <c r="U266" s="3"/>
      <c r="V266" s="3"/>
      <c r="W266" s="3"/>
      <c r="X266" s="3"/>
      <c r="Y266" s="3"/>
      <c r="Z266" s="3"/>
      <c r="AA266" s="3"/>
      <c r="AB266" s="3"/>
    </row>
    <row r="267" customFormat="false" ht="15" hidden="false" customHeight="false" outlineLevel="0" collapsed="false">
      <c r="A267" s="54"/>
      <c r="B267" s="52"/>
      <c r="C267" s="56"/>
      <c r="D267" s="56"/>
      <c r="E267" s="56"/>
      <c r="F267" s="56"/>
      <c r="G267" s="55"/>
      <c r="H267" s="56"/>
      <c r="I267" s="56"/>
      <c r="J267" s="56"/>
      <c r="K267" s="56"/>
      <c r="L267" s="56"/>
      <c r="M267" s="52"/>
      <c r="N267" s="53"/>
      <c r="O267" s="62" t="str">
        <f aca="false">IF($B267="","",TEXT($A267,"YYYY-MM-DD")&amp;"|"&amp;$B267)</f>
        <v/>
      </c>
      <c r="P267" s="3"/>
      <c r="Q267" s="3"/>
      <c r="R267" s="3"/>
      <c r="S267" s="3"/>
      <c r="T267" s="3"/>
      <c r="U267" s="3"/>
      <c r="V267" s="3"/>
      <c r="W267" s="3"/>
      <c r="X267" s="3"/>
      <c r="Y267" s="3"/>
      <c r="Z267" s="3"/>
      <c r="AA267" s="3"/>
      <c r="AB267" s="3"/>
    </row>
    <row r="268" customFormat="false" ht="15" hidden="false" customHeight="false" outlineLevel="0" collapsed="false">
      <c r="A268" s="48"/>
      <c r="B268" s="46"/>
      <c r="C268" s="50"/>
      <c r="D268" s="50"/>
      <c r="E268" s="50"/>
      <c r="F268" s="50"/>
      <c r="G268" s="49"/>
      <c r="H268" s="50"/>
      <c r="I268" s="50"/>
      <c r="J268" s="50"/>
      <c r="K268" s="50"/>
      <c r="L268" s="50"/>
      <c r="M268" s="46"/>
      <c r="N268" s="47"/>
      <c r="O268" s="62" t="str">
        <f aca="false">IF($B268="","",TEXT($A268,"YYYY-MM-DD")&amp;"|"&amp;$B268)</f>
        <v/>
      </c>
      <c r="P268" s="3"/>
      <c r="Q268" s="3"/>
      <c r="R268" s="3"/>
      <c r="S268" s="3"/>
      <c r="T268" s="3"/>
      <c r="U268" s="3"/>
      <c r="V268" s="3"/>
      <c r="W268" s="3"/>
      <c r="X268" s="3"/>
      <c r="Y268" s="3"/>
      <c r="Z268" s="3"/>
      <c r="AA268" s="3"/>
      <c r="AB268" s="3"/>
    </row>
    <row r="269" customFormat="false" ht="15" hidden="false" customHeight="false" outlineLevel="0" collapsed="false">
      <c r="A269" s="54"/>
      <c r="B269" s="52"/>
      <c r="C269" s="56"/>
      <c r="D269" s="56"/>
      <c r="E269" s="56"/>
      <c r="F269" s="56"/>
      <c r="G269" s="55"/>
      <c r="H269" s="56"/>
      <c r="I269" s="56"/>
      <c r="J269" s="56"/>
      <c r="K269" s="56"/>
      <c r="L269" s="56"/>
      <c r="M269" s="52"/>
      <c r="N269" s="53"/>
      <c r="O269" s="62" t="str">
        <f aca="false">IF($B269="","",TEXT($A269,"YYYY-MM-DD")&amp;"|"&amp;$B269)</f>
        <v/>
      </c>
      <c r="P269" s="3"/>
      <c r="Q269" s="3"/>
      <c r="R269" s="3"/>
      <c r="S269" s="3"/>
      <c r="T269" s="3"/>
      <c r="U269" s="3"/>
      <c r="V269" s="3"/>
      <c r="W269" s="3"/>
      <c r="X269" s="3"/>
      <c r="Y269" s="3"/>
      <c r="Z269" s="3"/>
      <c r="AA269" s="3"/>
      <c r="AB269" s="3"/>
    </row>
    <row r="270" customFormat="false" ht="15" hidden="false" customHeight="false" outlineLevel="0" collapsed="false">
      <c r="A270" s="48"/>
      <c r="B270" s="46"/>
      <c r="C270" s="50"/>
      <c r="D270" s="50"/>
      <c r="E270" s="50"/>
      <c r="F270" s="50"/>
      <c r="G270" s="49"/>
      <c r="H270" s="50"/>
      <c r="I270" s="50"/>
      <c r="J270" s="50"/>
      <c r="K270" s="50"/>
      <c r="L270" s="50"/>
      <c r="M270" s="46"/>
      <c r="N270" s="47"/>
      <c r="O270" s="62" t="str">
        <f aca="false">IF($B270="","",TEXT($A270,"YYYY-MM-DD")&amp;"|"&amp;$B270)</f>
        <v/>
      </c>
      <c r="P270" s="3"/>
      <c r="Q270" s="3"/>
      <c r="R270" s="3"/>
      <c r="S270" s="3"/>
      <c r="T270" s="3"/>
      <c r="U270" s="3"/>
      <c r="V270" s="3"/>
      <c r="W270" s="3"/>
      <c r="X270" s="3"/>
      <c r="Y270" s="3"/>
      <c r="Z270" s="3"/>
      <c r="AA270" s="3"/>
      <c r="AB270" s="3"/>
    </row>
    <row r="271" customFormat="false" ht="15" hidden="false" customHeight="false" outlineLevel="0" collapsed="false">
      <c r="A271" s="54"/>
      <c r="B271" s="52"/>
      <c r="C271" s="56"/>
      <c r="D271" s="56"/>
      <c r="E271" s="56"/>
      <c r="F271" s="56"/>
      <c r="G271" s="55"/>
      <c r="H271" s="56"/>
      <c r="I271" s="56"/>
      <c r="J271" s="56"/>
      <c r="K271" s="56"/>
      <c r="L271" s="56"/>
      <c r="M271" s="52"/>
      <c r="N271" s="53"/>
      <c r="O271" s="62" t="str">
        <f aca="false">IF($B271="","",TEXT($A271,"YYYY-MM-DD")&amp;"|"&amp;$B271)</f>
        <v/>
      </c>
      <c r="P271" s="3"/>
      <c r="Q271" s="3"/>
      <c r="R271" s="3"/>
      <c r="S271" s="3"/>
      <c r="T271" s="3"/>
      <c r="U271" s="3"/>
      <c r="V271" s="3"/>
      <c r="W271" s="3"/>
      <c r="X271" s="3"/>
      <c r="Y271" s="3"/>
      <c r="Z271" s="3"/>
      <c r="AA271" s="3"/>
      <c r="AB271" s="3"/>
    </row>
    <row r="272" customFormat="false" ht="15" hidden="false" customHeight="false" outlineLevel="0" collapsed="false">
      <c r="A272" s="48"/>
      <c r="B272" s="46"/>
      <c r="C272" s="50"/>
      <c r="D272" s="50"/>
      <c r="E272" s="50"/>
      <c r="F272" s="50"/>
      <c r="G272" s="49"/>
      <c r="H272" s="50"/>
      <c r="I272" s="50"/>
      <c r="J272" s="50"/>
      <c r="K272" s="50"/>
      <c r="L272" s="50"/>
      <c r="M272" s="46"/>
      <c r="N272" s="47"/>
      <c r="O272" s="62" t="str">
        <f aca="false">IF($B272="","",TEXT($A272,"YYYY-MM-DD")&amp;"|"&amp;$B272)</f>
        <v/>
      </c>
      <c r="P272" s="3"/>
      <c r="Q272" s="3"/>
      <c r="R272" s="3"/>
      <c r="S272" s="3"/>
      <c r="T272" s="3"/>
      <c r="U272" s="3"/>
      <c r="V272" s="3"/>
      <c r="W272" s="3"/>
      <c r="X272" s="3"/>
      <c r="Y272" s="3"/>
      <c r="Z272" s="3"/>
      <c r="AA272" s="3"/>
      <c r="AB272" s="3"/>
    </row>
    <row r="273" customFormat="false" ht="15" hidden="false" customHeight="false" outlineLevel="0" collapsed="false">
      <c r="A273" s="54"/>
      <c r="B273" s="52"/>
      <c r="C273" s="56"/>
      <c r="D273" s="56"/>
      <c r="E273" s="56"/>
      <c r="F273" s="56"/>
      <c r="G273" s="55"/>
      <c r="H273" s="56"/>
      <c r="I273" s="56"/>
      <c r="J273" s="56"/>
      <c r="K273" s="56"/>
      <c r="L273" s="56"/>
      <c r="M273" s="52"/>
      <c r="N273" s="53"/>
      <c r="O273" s="62" t="str">
        <f aca="false">IF($B273="","",TEXT($A273,"YYYY-MM-DD")&amp;"|"&amp;$B273)</f>
        <v/>
      </c>
      <c r="P273" s="3"/>
      <c r="Q273" s="3"/>
      <c r="R273" s="3"/>
      <c r="S273" s="3"/>
      <c r="T273" s="3"/>
      <c r="U273" s="3"/>
      <c r="V273" s="3"/>
      <c r="W273" s="3"/>
      <c r="X273" s="3"/>
      <c r="Y273" s="3"/>
      <c r="Z273" s="3"/>
      <c r="AA273" s="3"/>
      <c r="AB273" s="3"/>
    </row>
    <row r="274" customFormat="false" ht="15" hidden="false" customHeight="false" outlineLevel="0" collapsed="false">
      <c r="A274" s="48"/>
      <c r="B274" s="46"/>
      <c r="C274" s="50"/>
      <c r="D274" s="50"/>
      <c r="E274" s="50"/>
      <c r="F274" s="50"/>
      <c r="G274" s="49"/>
      <c r="H274" s="50"/>
      <c r="I274" s="50"/>
      <c r="J274" s="50"/>
      <c r="K274" s="50"/>
      <c r="L274" s="50"/>
      <c r="M274" s="46"/>
      <c r="N274" s="47"/>
      <c r="O274" s="62" t="str">
        <f aca="false">IF($B274="","",TEXT($A274,"YYYY-MM-DD")&amp;"|"&amp;$B274)</f>
        <v/>
      </c>
      <c r="P274" s="3"/>
      <c r="Q274" s="3"/>
      <c r="R274" s="3"/>
      <c r="S274" s="3"/>
      <c r="T274" s="3"/>
      <c r="U274" s="3"/>
      <c r="V274" s="3"/>
      <c r="W274" s="3"/>
      <c r="X274" s="3"/>
      <c r="Y274" s="3"/>
      <c r="Z274" s="3"/>
      <c r="AA274" s="3"/>
      <c r="AB274" s="3"/>
    </row>
    <row r="275" customFormat="false" ht="15" hidden="false" customHeight="false" outlineLevel="0" collapsed="false">
      <c r="A275" s="54"/>
      <c r="B275" s="52"/>
      <c r="C275" s="56"/>
      <c r="D275" s="56"/>
      <c r="E275" s="56"/>
      <c r="F275" s="56"/>
      <c r="G275" s="55"/>
      <c r="H275" s="56"/>
      <c r="I275" s="56"/>
      <c r="J275" s="56"/>
      <c r="K275" s="56"/>
      <c r="L275" s="56"/>
      <c r="M275" s="52"/>
      <c r="N275" s="53"/>
      <c r="O275" s="62" t="str">
        <f aca="false">IF($B275="","",TEXT($A275,"YYYY-MM-DD")&amp;"|"&amp;$B275)</f>
        <v/>
      </c>
      <c r="P275" s="3"/>
      <c r="Q275" s="3"/>
      <c r="R275" s="3"/>
      <c r="S275" s="3"/>
      <c r="T275" s="3"/>
      <c r="U275" s="3"/>
      <c r="V275" s="3"/>
      <c r="W275" s="3"/>
      <c r="X275" s="3"/>
      <c r="Y275" s="3"/>
      <c r="Z275" s="3"/>
      <c r="AA275" s="3"/>
      <c r="AB275" s="3"/>
    </row>
    <row r="276" customFormat="false" ht="15" hidden="false" customHeight="false" outlineLevel="0" collapsed="false">
      <c r="A276" s="48"/>
      <c r="B276" s="46"/>
      <c r="C276" s="50"/>
      <c r="D276" s="50"/>
      <c r="E276" s="50"/>
      <c r="F276" s="50"/>
      <c r="G276" s="49"/>
      <c r="H276" s="50"/>
      <c r="I276" s="50"/>
      <c r="J276" s="50"/>
      <c r="K276" s="50"/>
      <c r="L276" s="50"/>
      <c r="M276" s="46"/>
      <c r="N276" s="47"/>
      <c r="O276" s="62" t="str">
        <f aca="false">IF($B276="","",TEXT($A276,"YYYY-MM-DD")&amp;"|"&amp;$B276)</f>
        <v/>
      </c>
      <c r="P276" s="3"/>
      <c r="Q276" s="3"/>
      <c r="R276" s="3"/>
      <c r="S276" s="3"/>
      <c r="T276" s="3"/>
      <c r="U276" s="3"/>
      <c r="V276" s="3"/>
      <c r="W276" s="3"/>
      <c r="X276" s="3"/>
      <c r="Y276" s="3"/>
      <c r="Z276" s="3"/>
      <c r="AA276" s="3"/>
      <c r="AB276" s="3"/>
    </row>
    <row r="277" customFormat="false" ht="15" hidden="false" customHeight="false" outlineLevel="0" collapsed="false">
      <c r="A277" s="54"/>
      <c r="B277" s="52"/>
      <c r="C277" s="56"/>
      <c r="D277" s="56"/>
      <c r="E277" s="56"/>
      <c r="F277" s="56"/>
      <c r="G277" s="55"/>
      <c r="H277" s="56"/>
      <c r="I277" s="56"/>
      <c r="J277" s="56"/>
      <c r="K277" s="56"/>
      <c r="L277" s="56"/>
      <c r="M277" s="52"/>
      <c r="N277" s="53"/>
      <c r="O277" s="62" t="str">
        <f aca="false">IF($B277="","",TEXT($A277,"YYYY-MM-DD")&amp;"|"&amp;$B277)</f>
        <v/>
      </c>
      <c r="P277" s="3"/>
      <c r="Q277" s="3"/>
      <c r="R277" s="3"/>
      <c r="S277" s="3"/>
      <c r="T277" s="3"/>
      <c r="U277" s="3"/>
      <c r="V277" s="3"/>
      <c r="W277" s="3"/>
      <c r="X277" s="3"/>
      <c r="Y277" s="3"/>
      <c r="Z277" s="3"/>
      <c r="AA277" s="3"/>
      <c r="AB277" s="3"/>
    </row>
    <row r="278" customFormat="false" ht="15" hidden="false" customHeight="false" outlineLevel="0" collapsed="false">
      <c r="A278" s="48"/>
      <c r="B278" s="46"/>
      <c r="C278" s="50"/>
      <c r="D278" s="50"/>
      <c r="E278" s="50"/>
      <c r="F278" s="50"/>
      <c r="G278" s="49"/>
      <c r="H278" s="50"/>
      <c r="I278" s="50"/>
      <c r="J278" s="50"/>
      <c r="K278" s="50"/>
      <c r="L278" s="50"/>
      <c r="M278" s="46"/>
      <c r="N278" s="47"/>
      <c r="O278" s="62" t="str">
        <f aca="false">IF($B278="","",TEXT($A278,"YYYY-MM-DD")&amp;"|"&amp;$B278)</f>
        <v/>
      </c>
      <c r="P278" s="3"/>
      <c r="Q278" s="3"/>
      <c r="R278" s="3"/>
      <c r="S278" s="3"/>
      <c r="T278" s="3"/>
      <c r="U278" s="3"/>
      <c r="V278" s="3"/>
      <c r="W278" s="3"/>
      <c r="X278" s="3"/>
      <c r="Y278" s="3"/>
      <c r="Z278" s="3"/>
      <c r="AA278" s="3"/>
      <c r="AB278" s="3"/>
    </row>
    <row r="279" customFormat="false" ht="15" hidden="false" customHeight="false" outlineLevel="0" collapsed="false">
      <c r="A279" s="54"/>
      <c r="B279" s="52"/>
      <c r="C279" s="56"/>
      <c r="D279" s="56"/>
      <c r="E279" s="56"/>
      <c r="F279" s="56"/>
      <c r="G279" s="55"/>
      <c r="H279" s="56"/>
      <c r="I279" s="56"/>
      <c r="J279" s="56"/>
      <c r="K279" s="56"/>
      <c r="L279" s="56"/>
      <c r="M279" s="52"/>
      <c r="N279" s="53"/>
      <c r="O279" s="62" t="str">
        <f aca="false">IF($B279="","",TEXT($A279,"YYYY-MM-DD")&amp;"|"&amp;$B279)</f>
        <v/>
      </c>
      <c r="P279" s="3"/>
      <c r="Q279" s="3"/>
      <c r="R279" s="3"/>
      <c r="S279" s="3"/>
      <c r="T279" s="3"/>
      <c r="U279" s="3"/>
      <c r="V279" s="3"/>
      <c r="W279" s="3"/>
      <c r="X279" s="3"/>
      <c r="Y279" s="3"/>
      <c r="Z279" s="3"/>
      <c r="AA279" s="3"/>
      <c r="AB279" s="3"/>
    </row>
    <row r="280" customFormat="false" ht="15" hidden="false" customHeight="false" outlineLevel="0" collapsed="false">
      <c r="A280" s="48"/>
      <c r="B280" s="46"/>
      <c r="C280" s="50"/>
      <c r="D280" s="50"/>
      <c r="E280" s="50"/>
      <c r="F280" s="50"/>
      <c r="G280" s="49"/>
      <c r="H280" s="50"/>
      <c r="I280" s="50"/>
      <c r="J280" s="50"/>
      <c r="K280" s="50"/>
      <c r="L280" s="50"/>
      <c r="M280" s="46"/>
      <c r="N280" s="47"/>
      <c r="O280" s="62" t="str">
        <f aca="false">IF($B280="","",TEXT($A280,"YYYY-MM-DD")&amp;"|"&amp;$B280)</f>
        <v/>
      </c>
      <c r="P280" s="3"/>
      <c r="Q280" s="3"/>
      <c r="R280" s="3"/>
      <c r="S280" s="3"/>
      <c r="T280" s="3"/>
      <c r="U280" s="3"/>
      <c r="V280" s="3"/>
      <c r="W280" s="3"/>
      <c r="X280" s="3"/>
      <c r="Y280" s="3"/>
      <c r="Z280" s="3"/>
      <c r="AA280" s="3"/>
      <c r="AB280" s="3"/>
    </row>
    <row r="281" customFormat="false" ht="15" hidden="false" customHeight="false" outlineLevel="0" collapsed="false">
      <c r="A281" s="54"/>
      <c r="B281" s="52"/>
      <c r="C281" s="56"/>
      <c r="D281" s="56"/>
      <c r="E281" s="56"/>
      <c r="F281" s="56"/>
      <c r="G281" s="55"/>
      <c r="H281" s="56"/>
      <c r="I281" s="56"/>
      <c r="J281" s="56"/>
      <c r="K281" s="56"/>
      <c r="L281" s="56"/>
      <c r="M281" s="52"/>
      <c r="N281" s="53"/>
      <c r="O281" s="62" t="str">
        <f aca="false">IF($B281="","",TEXT($A281,"YYYY-MM-DD")&amp;"|"&amp;$B281)</f>
        <v/>
      </c>
      <c r="P281" s="3"/>
      <c r="Q281" s="3"/>
      <c r="R281" s="3"/>
      <c r="S281" s="3"/>
      <c r="T281" s="3"/>
      <c r="U281" s="3"/>
      <c r="V281" s="3"/>
      <c r="W281" s="3"/>
      <c r="X281" s="3"/>
      <c r="Y281" s="3"/>
      <c r="Z281" s="3"/>
      <c r="AA281" s="3"/>
      <c r="AB281" s="3"/>
    </row>
    <row r="282" customFormat="false" ht="15" hidden="false" customHeight="false" outlineLevel="0" collapsed="false">
      <c r="A282" s="48"/>
      <c r="B282" s="46"/>
      <c r="C282" s="50"/>
      <c r="D282" s="50"/>
      <c r="E282" s="50"/>
      <c r="F282" s="50"/>
      <c r="G282" s="49"/>
      <c r="H282" s="50"/>
      <c r="I282" s="50"/>
      <c r="J282" s="50"/>
      <c r="K282" s="50"/>
      <c r="L282" s="50"/>
      <c r="M282" s="46"/>
      <c r="N282" s="47"/>
      <c r="O282" s="62" t="str">
        <f aca="false">IF($B282="","",TEXT($A282,"YYYY-MM-DD")&amp;"|"&amp;$B282)</f>
        <v/>
      </c>
      <c r="P282" s="3"/>
      <c r="Q282" s="3"/>
      <c r="R282" s="3"/>
      <c r="S282" s="3"/>
      <c r="T282" s="3"/>
      <c r="U282" s="3"/>
      <c r="V282" s="3"/>
      <c r="W282" s="3"/>
      <c r="X282" s="3"/>
      <c r="Y282" s="3"/>
      <c r="Z282" s="3"/>
      <c r="AA282" s="3"/>
      <c r="AB282" s="3"/>
    </row>
    <row r="283" customFormat="false" ht="15" hidden="false" customHeight="false" outlineLevel="0" collapsed="false">
      <c r="A283" s="54"/>
      <c r="B283" s="52"/>
      <c r="C283" s="56"/>
      <c r="D283" s="56"/>
      <c r="E283" s="56"/>
      <c r="F283" s="56"/>
      <c r="G283" s="55"/>
      <c r="H283" s="56"/>
      <c r="I283" s="56"/>
      <c r="J283" s="56"/>
      <c r="K283" s="56"/>
      <c r="L283" s="56"/>
      <c r="M283" s="52"/>
      <c r="N283" s="53"/>
      <c r="O283" s="62" t="str">
        <f aca="false">IF($B283="","",TEXT($A283,"YYYY-MM-DD")&amp;"|"&amp;$B283)</f>
        <v/>
      </c>
      <c r="P283" s="3"/>
      <c r="Q283" s="3"/>
      <c r="R283" s="3"/>
      <c r="S283" s="3"/>
      <c r="T283" s="3"/>
      <c r="U283" s="3"/>
      <c r="V283" s="3"/>
      <c r="W283" s="3"/>
      <c r="X283" s="3"/>
      <c r="Y283" s="3"/>
      <c r="Z283" s="3"/>
      <c r="AA283" s="3"/>
      <c r="AB283" s="3"/>
    </row>
    <row r="284" customFormat="false" ht="15" hidden="false" customHeight="false" outlineLevel="0" collapsed="false">
      <c r="A284" s="48"/>
      <c r="B284" s="46"/>
      <c r="C284" s="50"/>
      <c r="D284" s="50"/>
      <c r="E284" s="50"/>
      <c r="F284" s="50"/>
      <c r="G284" s="49"/>
      <c r="H284" s="50"/>
      <c r="I284" s="50"/>
      <c r="J284" s="50"/>
      <c r="K284" s="50"/>
      <c r="L284" s="50"/>
      <c r="M284" s="46"/>
      <c r="N284" s="47"/>
      <c r="O284" s="62" t="str">
        <f aca="false">IF($B284="","",TEXT($A284,"YYYY-MM-DD")&amp;"|"&amp;$B284)</f>
        <v/>
      </c>
      <c r="P284" s="3"/>
      <c r="Q284" s="3"/>
      <c r="R284" s="3"/>
      <c r="S284" s="3"/>
      <c r="T284" s="3"/>
      <c r="U284" s="3"/>
      <c r="V284" s="3"/>
      <c r="W284" s="3"/>
      <c r="X284" s="3"/>
      <c r="Y284" s="3"/>
      <c r="Z284" s="3"/>
      <c r="AA284" s="3"/>
      <c r="AB284" s="3"/>
    </row>
    <row r="285" customFormat="false" ht="15" hidden="false" customHeight="false" outlineLevel="0" collapsed="false">
      <c r="A285" s="54"/>
      <c r="B285" s="52"/>
      <c r="C285" s="56"/>
      <c r="D285" s="56"/>
      <c r="E285" s="56"/>
      <c r="F285" s="56"/>
      <c r="G285" s="55"/>
      <c r="H285" s="56"/>
      <c r="I285" s="56"/>
      <c r="J285" s="56"/>
      <c r="K285" s="56"/>
      <c r="L285" s="56"/>
      <c r="M285" s="52"/>
      <c r="N285" s="53"/>
      <c r="O285" s="62" t="str">
        <f aca="false">IF($B285="","",TEXT($A285,"YYYY-MM-DD")&amp;"|"&amp;$B285)</f>
        <v/>
      </c>
      <c r="P285" s="3"/>
      <c r="Q285" s="3"/>
      <c r="R285" s="3"/>
      <c r="S285" s="3"/>
      <c r="T285" s="3"/>
      <c r="U285" s="3"/>
      <c r="V285" s="3"/>
      <c r="W285" s="3"/>
      <c r="X285" s="3"/>
      <c r="Y285" s="3"/>
      <c r="Z285" s="3"/>
      <c r="AA285" s="3"/>
      <c r="AB285" s="3"/>
    </row>
    <row r="286" customFormat="false" ht="15" hidden="false" customHeight="false" outlineLevel="0" collapsed="false">
      <c r="A286" s="48"/>
      <c r="B286" s="46"/>
      <c r="C286" s="50"/>
      <c r="D286" s="50"/>
      <c r="E286" s="50"/>
      <c r="F286" s="50"/>
      <c r="G286" s="49"/>
      <c r="H286" s="50"/>
      <c r="I286" s="50"/>
      <c r="J286" s="50"/>
      <c r="K286" s="50"/>
      <c r="L286" s="50"/>
      <c r="M286" s="46"/>
      <c r="N286" s="47"/>
      <c r="O286" s="62" t="str">
        <f aca="false">IF($B286="","",TEXT($A286,"YYYY-MM-DD")&amp;"|"&amp;$B286)</f>
        <v/>
      </c>
      <c r="P286" s="3"/>
      <c r="Q286" s="3"/>
      <c r="R286" s="3"/>
      <c r="S286" s="3"/>
      <c r="T286" s="3"/>
      <c r="U286" s="3"/>
      <c r="V286" s="3"/>
      <c r="W286" s="3"/>
      <c r="X286" s="3"/>
      <c r="Y286" s="3"/>
      <c r="Z286" s="3"/>
      <c r="AA286" s="3"/>
      <c r="AB286" s="3"/>
    </row>
    <row r="287" customFormat="false" ht="15" hidden="false" customHeight="false" outlineLevel="0" collapsed="false">
      <c r="A287" s="54"/>
      <c r="B287" s="52"/>
      <c r="C287" s="56"/>
      <c r="D287" s="56"/>
      <c r="E287" s="56"/>
      <c r="F287" s="56"/>
      <c r="G287" s="55"/>
      <c r="H287" s="56"/>
      <c r="I287" s="56"/>
      <c r="J287" s="56"/>
      <c r="K287" s="56"/>
      <c r="L287" s="56"/>
      <c r="M287" s="52"/>
      <c r="N287" s="53"/>
      <c r="O287" s="62" t="str">
        <f aca="false">IF($B287="","",TEXT($A287,"YYYY-MM-DD")&amp;"|"&amp;$B287)</f>
        <v/>
      </c>
      <c r="P287" s="3"/>
      <c r="Q287" s="3"/>
      <c r="R287" s="3"/>
      <c r="S287" s="3"/>
      <c r="T287" s="3"/>
      <c r="U287" s="3"/>
      <c r="V287" s="3"/>
      <c r="W287" s="3"/>
      <c r="X287" s="3"/>
      <c r="Y287" s="3"/>
      <c r="Z287" s="3"/>
      <c r="AA287" s="3"/>
      <c r="AB287" s="3"/>
    </row>
    <row r="288" customFormat="false" ht="15" hidden="false" customHeight="false" outlineLevel="0" collapsed="false">
      <c r="A288" s="48"/>
      <c r="B288" s="46"/>
      <c r="C288" s="50"/>
      <c r="D288" s="50"/>
      <c r="E288" s="50"/>
      <c r="F288" s="50"/>
      <c r="G288" s="49"/>
      <c r="H288" s="50"/>
      <c r="I288" s="50"/>
      <c r="J288" s="50"/>
      <c r="K288" s="50"/>
      <c r="L288" s="50"/>
      <c r="M288" s="46"/>
      <c r="N288" s="47"/>
      <c r="O288" s="62" t="str">
        <f aca="false">IF($B288="","",TEXT($A288,"YYYY-MM-DD")&amp;"|"&amp;$B288)</f>
        <v/>
      </c>
      <c r="P288" s="3"/>
      <c r="Q288" s="3"/>
      <c r="R288" s="3"/>
      <c r="S288" s="3"/>
      <c r="T288" s="3"/>
      <c r="U288" s="3"/>
      <c r="V288" s="3"/>
      <c r="W288" s="3"/>
      <c r="X288" s="3"/>
      <c r="Y288" s="3"/>
      <c r="Z288" s="3"/>
      <c r="AA288" s="3"/>
      <c r="AB288" s="3"/>
    </row>
    <row r="289" customFormat="false" ht="15" hidden="false" customHeight="false" outlineLevel="0" collapsed="false">
      <c r="A289" s="54"/>
      <c r="B289" s="52"/>
      <c r="C289" s="56"/>
      <c r="D289" s="56"/>
      <c r="E289" s="56"/>
      <c r="F289" s="56"/>
      <c r="G289" s="55"/>
      <c r="H289" s="56"/>
      <c r="I289" s="56"/>
      <c r="J289" s="56"/>
      <c r="K289" s="56"/>
      <c r="L289" s="56"/>
      <c r="M289" s="52"/>
      <c r="N289" s="53"/>
      <c r="O289" s="62" t="str">
        <f aca="false">IF($B289="","",TEXT($A289,"YYYY-MM-DD")&amp;"|"&amp;$B289)</f>
        <v/>
      </c>
      <c r="P289" s="3"/>
      <c r="Q289" s="3"/>
      <c r="R289" s="3"/>
      <c r="S289" s="3"/>
      <c r="T289" s="3"/>
      <c r="U289" s="3"/>
      <c r="V289" s="3"/>
      <c r="W289" s="3"/>
      <c r="X289" s="3"/>
      <c r="Y289" s="3"/>
      <c r="Z289" s="3"/>
      <c r="AA289" s="3"/>
      <c r="AB289" s="3"/>
    </row>
    <row r="290" customFormat="false" ht="15" hidden="false" customHeight="false" outlineLevel="0" collapsed="false">
      <c r="A290" s="48"/>
      <c r="B290" s="46"/>
      <c r="C290" s="50"/>
      <c r="D290" s="50"/>
      <c r="E290" s="50"/>
      <c r="F290" s="50"/>
      <c r="G290" s="49"/>
      <c r="H290" s="50"/>
      <c r="I290" s="50"/>
      <c r="J290" s="50"/>
      <c r="K290" s="50"/>
      <c r="L290" s="50"/>
      <c r="M290" s="46"/>
      <c r="N290" s="47"/>
      <c r="O290" s="62" t="str">
        <f aca="false">IF($B290="","",TEXT($A290,"YYYY-MM-DD")&amp;"|"&amp;$B290)</f>
        <v/>
      </c>
      <c r="P290" s="3"/>
      <c r="Q290" s="3"/>
      <c r="R290" s="3"/>
      <c r="S290" s="3"/>
      <c r="T290" s="3"/>
      <c r="U290" s="3"/>
      <c r="V290" s="3"/>
      <c r="W290" s="3"/>
      <c r="X290" s="3"/>
      <c r="Y290" s="3"/>
      <c r="Z290" s="3"/>
      <c r="AA290" s="3"/>
      <c r="AB290" s="3"/>
    </row>
    <row r="291" customFormat="false" ht="15" hidden="false" customHeight="false" outlineLevel="0" collapsed="false">
      <c r="A291" s="54"/>
      <c r="B291" s="52"/>
      <c r="C291" s="56"/>
      <c r="D291" s="56"/>
      <c r="E291" s="56"/>
      <c r="F291" s="56"/>
      <c r="G291" s="55"/>
      <c r="H291" s="56"/>
      <c r="I291" s="56"/>
      <c r="J291" s="56"/>
      <c r="K291" s="56"/>
      <c r="L291" s="56"/>
      <c r="M291" s="52"/>
      <c r="N291" s="53"/>
      <c r="O291" s="62" t="str">
        <f aca="false">IF($B291="","",TEXT($A291,"YYYY-MM-DD")&amp;"|"&amp;$B291)</f>
        <v/>
      </c>
      <c r="P291" s="3"/>
      <c r="Q291" s="3"/>
      <c r="R291" s="3"/>
      <c r="S291" s="3"/>
      <c r="T291" s="3"/>
      <c r="U291" s="3"/>
      <c r="V291" s="3"/>
      <c r="W291" s="3"/>
      <c r="X291" s="3"/>
      <c r="Y291" s="3"/>
      <c r="Z291" s="3"/>
      <c r="AA291" s="3"/>
      <c r="AB291" s="3"/>
    </row>
    <row r="292" customFormat="false" ht="15" hidden="false" customHeight="false" outlineLevel="0" collapsed="false">
      <c r="A292" s="48"/>
      <c r="B292" s="46"/>
      <c r="C292" s="50"/>
      <c r="D292" s="50"/>
      <c r="E292" s="50"/>
      <c r="F292" s="50"/>
      <c r="G292" s="49"/>
      <c r="H292" s="50"/>
      <c r="I292" s="50"/>
      <c r="J292" s="50"/>
      <c r="K292" s="50"/>
      <c r="L292" s="50"/>
      <c r="M292" s="46"/>
      <c r="N292" s="47"/>
      <c r="O292" s="62" t="str">
        <f aca="false">IF($B292="","",TEXT($A292,"YYYY-MM-DD")&amp;"|"&amp;$B292)</f>
        <v/>
      </c>
      <c r="P292" s="3"/>
      <c r="Q292" s="3"/>
      <c r="R292" s="3"/>
      <c r="S292" s="3"/>
      <c r="T292" s="3"/>
      <c r="U292" s="3"/>
      <c r="V292" s="3"/>
      <c r="W292" s="3"/>
      <c r="X292" s="3"/>
      <c r="Y292" s="3"/>
      <c r="Z292" s="3"/>
      <c r="AA292" s="3"/>
      <c r="AB292" s="3"/>
    </row>
    <row r="293" customFormat="false" ht="15" hidden="false" customHeight="false" outlineLevel="0" collapsed="false">
      <c r="A293" s="54"/>
      <c r="B293" s="52"/>
      <c r="C293" s="56"/>
      <c r="D293" s="56"/>
      <c r="E293" s="56"/>
      <c r="F293" s="56"/>
      <c r="G293" s="55"/>
      <c r="H293" s="56"/>
      <c r="I293" s="56"/>
      <c r="J293" s="56"/>
      <c r="K293" s="56"/>
      <c r="L293" s="56"/>
      <c r="M293" s="52"/>
      <c r="N293" s="53"/>
      <c r="O293" s="62" t="str">
        <f aca="false">IF($B293="","",TEXT($A293,"YYYY-MM-DD")&amp;"|"&amp;$B293)</f>
        <v/>
      </c>
      <c r="P293" s="3"/>
      <c r="Q293" s="3"/>
      <c r="R293" s="3"/>
      <c r="S293" s="3"/>
      <c r="T293" s="3"/>
      <c r="U293" s="3"/>
      <c r="V293" s="3"/>
      <c r="W293" s="3"/>
      <c r="X293" s="3"/>
      <c r="Y293" s="3"/>
      <c r="Z293" s="3"/>
      <c r="AA293" s="3"/>
      <c r="AB293" s="3"/>
    </row>
    <row r="294" customFormat="false" ht="15" hidden="false" customHeight="false" outlineLevel="0" collapsed="false">
      <c r="A294" s="48"/>
      <c r="B294" s="46"/>
      <c r="C294" s="50"/>
      <c r="D294" s="50"/>
      <c r="E294" s="50"/>
      <c r="F294" s="50"/>
      <c r="G294" s="49"/>
      <c r="H294" s="50"/>
      <c r="I294" s="50"/>
      <c r="J294" s="50"/>
      <c r="K294" s="50"/>
      <c r="L294" s="50"/>
      <c r="M294" s="46"/>
      <c r="N294" s="47"/>
      <c r="O294" s="62" t="str">
        <f aca="false">IF($B294="","",TEXT($A294,"YYYY-MM-DD")&amp;"|"&amp;$B294)</f>
        <v/>
      </c>
      <c r="P294" s="3"/>
      <c r="Q294" s="3"/>
      <c r="R294" s="3"/>
      <c r="S294" s="3"/>
      <c r="T294" s="3"/>
      <c r="U294" s="3"/>
      <c r="V294" s="3"/>
      <c r="W294" s="3"/>
      <c r="X294" s="3"/>
      <c r="Y294" s="3"/>
      <c r="Z294" s="3"/>
      <c r="AA294" s="3"/>
      <c r="AB294" s="3"/>
    </row>
    <row r="295" customFormat="false" ht="15" hidden="false" customHeight="false" outlineLevel="0" collapsed="false">
      <c r="A295" s="54"/>
      <c r="B295" s="52"/>
      <c r="C295" s="56"/>
      <c r="D295" s="56"/>
      <c r="E295" s="56"/>
      <c r="F295" s="56"/>
      <c r="G295" s="55"/>
      <c r="H295" s="56"/>
      <c r="I295" s="56"/>
      <c r="J295" s="56"/>
      <c r="K295" s="56"/>
      <c r="L295" s="56"/>
      <c r="M295" s="52"/>
      <c r="N295" s="53"/>
      <c r="O295" s="62" t="str">
        <f aca="false">IF($B295="","",TEXT($A295,"YYYY-MM-DD")&amp;"|"&amp;$B295)</f>
        <v/>
      </c>
      <c r="P295" s="3"/>
      <c r="Q295" s="3"/>
      <c r="R295" s="3"/>
      <c r="S295" s="3"/>
      <c r="T295" s="3"/>
      <c r="U295" s="3"/>
      <c r="V295" s="3"/>
      <c r="W295" s="3"/>
      <c r="X295" s="3"/>
      <c r="Y295" s="3"/>
      <c r="Z295" s="3"/>
      <c r="AA295" s="3"/>
      <c r="AB295" s="3"/>
    </row>
    <row r="296" customFormat="false" ht="15" hidden="false" customHeight="false" outlineLevel="0" collapsed="false">
      <c r="A296" s="48"/>
      <c r="B296" s="46"/>
      <c r="C296" s="50"/>
      <c r="D296" s="50"/>
      <c r="E296" s="50"/>
      <c r="F296" s="50"/>
      <c r="G296" s="49"/>
      <c r="H296" s="50"/>
      <c r="I296" s="50"/>
      <c r="J296" s="50"/>
      <c r="K296" s="50"/>
      <c r="L296" s="50"/>
      <c r="M296" s="46"/>
      <c r="N296" s="47"/>
      <c r="O296" s="62" t="str">
        <f aca="false">IF($B296="","",TEXT($A296,"YYYY-MM-DD")&amp;"|"&amp;$B296)</f>
        <v/>
      </c>
      <c r="P296" s="3"/>
      <c r="Q296" s="3"/>
      <c r="R296" s="3"/>
      <c r="S296" s="3"/>
      <c r="T296" s="3"/>
      <c r="U296" s="3"/>
      <c r="V296" s="3"/>
      <c r="W296" s="3"/>
      <c r="X296" s="3"/>
      <c r="Y296" s="3"/>
      <c r="Z296" s="3"/>
      <c r="AA296" s="3"/>
      <c r="AB296" s="3"/>
    </row>
    <row r="297" customFormat="false" ht="15" hidden="false" customHeight="false" outlineLevel="0" collapsed="false">
      <c r="A297" s="54"/>
      <c r="B297" s="52"/>
      <c r="C297" s="56"/>
      <c r="D297" s="56"/>
      <c r="E297" s="56"/>
      <c r="F297" s="56"/>
      <c r="G297" s="55"/>
      <c r="H297" s="56"/>
      <c r="I297" s="56"/>
      <c r="J297" s="56"/>
      <c r="K297" s="56"/>
      <c r="L297" s="56"/>
      <c r="M297" s="52"/>
      <c r="N297" s="53"/>
      <c r="O297" s="62" t="str">
        <f aca="false">IF($B297="","",TEXT($A297,"YYYY-MM-DD")&amp;"|"&amp;$B297)</f>
        <v/>
      </c>
      <c r="P297" s="3"/>
      <c r="Q297" s="3"/>
      <c r="R297" s="3"/>
      <c r="S297" s="3"/>
      <c r="T297" s="3"/>
      <c r="U297" s="3"/>
      <c r="V297" s="3"/>
      <c r="W297" s="3"/>
      <c r="X297" s="3"/>
      <c r="Y297" s="3"/>
      <c r="Z297" s="3"/>
      <c r="AA297" s="3"/>
      <c r="AB297" s="3"/>
    </row>
    <row r="298" customFormat="false" ht="15" hidden="false" customHeight="false" outlineLevel="0" collapsed="false">
      <c r="A298" s="48"/>
      <c r="B298" s="46"/>
      <c r="C298" s="50"/>
      <c r="D298" s="50"/>
      <c r="E298" s="50"/>
      <c r="F298" s="50"/>
      <c r="G298" s="49"/>
      <c r="H298" s="50"/>
      <c r="I298" s="50"/>
      <c r="J298" s="50"/>
      <c r="K298" s="50"/>
      <c r="L298" s="50"/>
      <c r="M298" s="46"/>
      <c r="N298" s="47"/>
      <c r="O298" s="62" t="str">
        <f aca="false">IF($B298="","",TEXT($A298,"YYYY-MM-DD")&amp;"|"&amp;$B298)</f>
        <v/>
      </c>
      <c r="P298" s="3"/>
      <c r="Q298" s="3"/>
      <c r="R298" s="3"/>
      <c r="S298" s="3"/>
      <c r="T298" s="3"/>
      <c r="U298" s="3"/>
      <c r="V298" s="3"/>
      <c r="W298" s="3"/>
      <c r="X298" s="3"/>
      <c r="Y298" s="3"/>
      <c r="Z298" s="3"/>
      <c r="AA298" s="3"/>
      <c r="AB298" s="3"/>
    </row>
    <row r="299" customFormat="false" ht="15" hidden="false" customHeight="false" outlineLevel="0" collapsed="false">
      <c r="A299" s="54"/>
      <c r="B299" s="52"/>
      <c r="C299" s="56"/>
      <c r="D299" s="56"/>
      <c r="E299" s="56"/>
      <c r="F299" s="56"/>
      <c r="G299" s="55"/>
      <c r="H299" s="56"/>
      <c r="I299" s="56"/>
      <c r="J299" s="56"/>
      <c r="K299" s="56"/>
      <c r="L299" s="56"/>
      <c r="M299" s="52"/>
      <c r="N299" s="53"/>
      <c r="O299" s="62" t="str">
        <f aca="false">IF($B299="","",TEXT($A299,"YYYY-MM-DD")&amp;"|"&amp;$B299)</f>
        <v/>
      </c>
      <c r="P299" s="3"/>
      <c r="Q299" s="3"/>
      <c r="R299" s="3"/>
      <c r="S299" s="3"/>
      <c r="T299" s="3"/>
      <c r="U299" s="3"/>
      <c r="V299" s="3"/>
      <c r="W299" s="3"/>
      <c r="X299" s="3"/>
      <c r="Y299" s="3"/>
      <c r="Z299" s="3"/>
      <c r="AA299" s="3"/>
      <c r="AB299" s="3"/>
    </row>
    <row r="300" customFormat="false" ht="15" hidden="false" customHeight="false" outlineLevel="0" collapsed="false">
      <c r="A300" s="48"/>
      <c r="B300" s="46"/>
      <c r="C300" s="50"/>
      <c r="D300" s="50"/>
      <c r="E300" s="50"/>
      <c r="F300" s="50"/>
      <c r="G300" s="49"/>
      <c r="H300" s="50"/>
      <c r="I300" s="50"/>
      <c r="J300" s="50"/>
      <c r="K300" s="50"/>
      <c r="L300" s="50"/>
      <c r="M300" s="46"/>
      <c r="N300" s="47"/>
      <c r="O300" s="62" t="str">
        <f aca="false">IF($B300="","",TEXT($A300,"YYYY-MM-DD")&amp;"|"&amp;$B300)</f>
        <v/>
      </c>
      <c r="P300" s="3"/>
      <c r="Q300" s="3"/>
      <c r="R300" s="3"/>
      <c r="S300" s="3"/>
      <c r="T300" s="3"/>
      <c r="U300" s="3"/>
      <c r="V300" s="3"/>
      <c r="W300" s="3"/>
      <c r="X300" s="3"/>
      <c r="Y300" s="3"/>
      <c r="Z300" s="3"/>
      <c r="AA300" s="3"/>
      <c r="AB300" s="3"/>
    </row>
    <row r="301" customFormat="false" ht="15" hidden="false" customHeight="false" outlineLevel="0" collapsed="false">
      <c r="A301" s="54"/>
      <c r="B301" s="52"/>
      <c r="C301" s="56"/>
      <c r="D301" s="56"/>
      <c r="E301" s="56"/>
      <c r="F301" s="56"/>
      <c r="G301" s="55"/>
      <c r="H301" s="56"/>
      <c r="I301" s="56"/>
      <c r="J301" s="56"/>
      <c r="K301" s="56"/>
      <c r="L301" s="56"/>
      <c r="M301" s="52"/>
      <c r="N301" s="53"/>
      <c r="O301" s="62" t="str">
        <f aca="false">IF($B301="","",TEXT($A301,"YYYY-MM-DD")&amp;"|"&amp;$B301)</f>
        <v/>
      </c>
      <c r="P301" s="3"/>
      <c r="Q301" s="3"/>
      <c r="R301" s="3"/>
      <c r="S301" s="3"/>
      <c r="T301" s="3"/>
      <c r="U301" s="3"/>
      <c r="V301" s="3"/>
      <c r="W301" s="3"/>
      <c r="X301" s="3"/>
      <c r="Y301" s="3"/>
      <c r="Z301" s="3"/>
      <c r="AA301" s="3"/>
      <c r="AB301" s="3"/>
    </row>
    <row r="302" customFormat="false" ht="15" hidden="false" customHeight="false" outlineLevel="0" collapsed="false">
      <c r="A302" s="48"/>
      <c r="B302" s="46"/>
      <c r="C302" s="50"/>
      <c r="D302" s="50"/>
      <c r="E302" s="50"/>
      <c r="F302" s="50"/>
      <c r="G302" s="49"/>
      <c r="H302" s="50"/>
      <c r="I302" s="50"/>
      <c r="J302" s="50"/>
      <c r="K302" s="50"/>
      <c r="L302" s="50"/>
      <c r="M302" s="46"/>
      <c r="N302" s="47"/>
      <c r="O302" s="62" t="str">
        <f aca="false">IF($B302="","",TEXT($A302,"YYYY-MM-DD")&amp;"|"&amp;$B302)</f>
        <v/>
      </c>
      <c r="P302" s="3"/>
      <c r="Q302" s="3"/>
      <c r="R302" s="3"/>
      <c r="S302" s="3"/>
      <c r="T302" s="3"/>
      <c r="U302" s="3"/>
      <c r="V302" s="3"/>
      <c r="W302" s="3"/>
      <c r="X302" s="3"/>
      <c r="Y302" s="3"/>
      <c r="Z302" s="3"/>
      <c r="AA302" s="3"/>
      <c r="AB302" s="3"/>
    </row>
    <row r="303" customFormat="false" ht="15" hidden="false" customHeight="false" outlineLevel="0" collapsed="false">
      <c r="A303" s="54"/>
      <c r="B303" s="52"/>
      <c r="C303" s="56"/>
      <c r="D303" s="56"/>
      <c r="E303" s="56"/>
      <c r="F303" s="56"/>
      <c r="G303" s="55"/>
      <c r="H303" s="56"/>
      <c r="I303" s="56"/>
      <c r="J303" s="56"/>
      <c r="K303" s="56"/>
      <c r="L303" s="56"/>
      <c r="M303" s="52"/>
      <c r="N303" s="53"/>
      <c r="O303" s="62" t="str">
        <f aca="false">IF($B303="","",TEXT($A303,"YYYY-MM-DD")&amp;"|"&amp;$B303)</f>
        <v/>
      </c>
      <c r="P303" s="3"/>
      <c r="Q303" s="3"/>
      <c r="R303" s="3"/>
      <c r="S303" s="3"/>
      <c r="T303" s="3"/>
      <c r="U303" s="3"/>
      <c r="V303" s="3"/>
      <c r="W303" s="3"/>
      <c r="X303" s="3"/>
      <c r="Y303" s="3"/>
      <c r="Z303" s="3"/>
      <c r="AA303" s="3"/>
      <c r="AB303" s="3"/>
    </row>
    <row r="304" customFormat="false" ht="15" hidden="false" customHeight="false" outlineLevel="0" collapsed="false">
      <c r="A304" s="48"/>
      <c r="B304" s="46"/>
      <c r="C304" s="50"/>
      <c r="D304" s="50"/>
      <c r="E304" s="50"/>
      <c r="F304" s="50"/>
      <c r="G304" s="49"/>
      <c r="H304" s="50"/>
      <c r="I304" s="50"/>
      <c r="J304" s="50"/>
      <c r="K304" s="50"/>
      <c r="L304" s="50"/>
      <c r="M304" s="46"/>
      <c r="N304" s="47"/>
      <c r="O304" s="62" t="str">
        <f aca="false">IF($B304="","",TEXT($A304,"YYYY-MM-DD")&amp;"|"&amp;$B304)</f>
        <v/>
      </c>
      <c r="P304" s="3"/>
      <c r="Q304" s="3"/>
      <c r="R304" s="3"/>
      <c r="S304" s="3"/>
      <c r="T304" s="3"/>
      <c r="U304" s="3"/>
      <c r="V304" s="3"/>
      <c r="W304" s="3"/>
      <c r="X304" s="3"/>
      <c r="Y304" s="3"/>
      <c r="Z304" s="3"/>
      <c r="AA304" s="3"/>
      <c r="AB304" s="3"/>
    </row>
    <row r="305" customFormat="false" ht="15" hidden="false" customHeight="false" outlineLevel="0" collapsed="false">
      <c r="A305" s="54"/>
      <c r="B305" s="52"/>
      <c r="C305" s="56"/>
      <c r="D305" s="56"/>
      <c r="E305" s="56"/>
      <c r="F305" s="56"/>
      <c r="G305" s="55"/>
      <c r="H305" s="56"/>
      <c r="I305" s="56"/>
      <c r="J305" s="56"/>
      <c r="K305" s="56"/>
      <c r="L305" s="56"/>
      <c r="M305" s="52"/>
      <c r="N305" s="53"/>
      <c r="O305" s="62" t="str">
        <f aca="false">IF($B305="","",TEXT($A305,"YYYY-MM-DD")&amp;"|"&amp;$B305)</f>
        <v/>
      </c>
      <c r="P305" s="3"/>
      <c r="Q305" s="3"/>
      <c r="R305" s="3"/>
      <c r="S305" s="3"/>
      <c r="T305" s="3"/>
      <c r="U305" s="3"/>
      <c r="V305" s="3"/>
      <c r="W305" s="3"/>
      <c r="X305" s="3"/>
      <c r="Y305" s="3"/>
      <c r="Z305" s="3"/>
      <c r="AA305" s="3"/>
      <c r="AB305" s="3"/>
    </row>
    <row r="306" customFormat="false" ht="15" hidden="false" customHeight="false" outlineLevel="0" collapsed="false">
      <c r="A306" s="48"/>
      <c r="B306" s="46"/>
      <c r="C306" s="50"/>
      <c r="D306" s="50"/>
      <c r="E306" s="50"/>
      <c r="F306" s="50"/>
      <c r="G306" s="49"/>
      <c r="H306" s="50"/>
      <c r="I306" s="50"/>
      <c r="J306" s="50"/>
      <c r="K306" s="50"/>
      <c r="L306" s="50"/>
      <c r="M306" s="46"/>
      <c r="N306" s="47"/>
      <c r="O306" s="62" t="str">
        <f aca="false">IF($B306="","",TEXT($A306,"YYYY-MM-DD")&amp;"|"&amp;$B306)</f>
        <v/>
      </c>
      <c r="P306" s="3"/>
      <c r="Q306" s="3"/>
      <c r="R306" s="3"/>
      <c r="S306" s="3"/>
      <c r="T306" s="3"/>
      <c r="U306" s="3"/>
      <c r="V306" s="3"/>
      <c r="W306" s="3"/>
      <c r="X306" s="3"/>
      <c r="Y306" s="3"/>
      <c r="Z306" s="3"/>
      <c r="AA306" s="3"/>
      <c r="AB306" s="3"/>
    </row>
    <row r="307" customFormat="false" ht="15" hidden="false" customHeight="false" outlineLevel="0" collapsed="false">
      <c r="A307" s="54"/>
      <c r="B307" s="52"/>
      <c r="C307" s="56"/>
      <c r="D307" s="56"/>
      <c r="E307" s="56"/>
      <c r="F307" s="56"/>
      <c r="G307" s="55"/>
      <c r="H307" s="56"/>
      <c r="I307" s="56"/>
      <c r="J307" s="56"/>
      <c r="K307" s="56"/>
      <c r="L307" s="56"/>
      <c r="M307" s="52"/>
      <c r="N307" s="53"/>
      <c r="O307" s="62" t="str">
        <f aca="false">IF($B307="","",TEXT($A307,"YYYY-MM-DD")&amp;"|"&amp;$B307)</f>
        <v/>
      </c>
      <c r="P307" s="3"/>
      <c r="Q307" s="3"/>
      <c r="R307" s="3"/>
      <c r="S307" s="3"/>
      <c r="T307" s="3"/>
      <c r="U307" s="3"/>
      <c r="V307" s="3"/>
      <c r="W307" s="3"/>
      <c r="X307" s="3"/>
      <c r="Y307" s="3"/>
      <c r="Z307" s="3"/>
      <c r="AA307" s="3"/>
      <c r="AB307" s="3"/>
    </row>
    <row r="308" customFormat="false" ht="15" hidden="false" customHeight="false" outlineLevel="0" collapsed="false">
      <c r="A308" s="48"/>
      <c r="B308" s="46"/>
      <c r="C308" s="50"/>
      <c r="D308" s="50"/>
      <c r="E308" s="50"/>
      <c r="F308" s="50"/>
      <c r="G308" s="49"/>
      <c r="H308" s="50"/>
      <c r="I308" s="50"/>
      <c r="J308" s="50"/>
      <c r="K308" s="50"/>
      <c r="L308" s="50"/>
      <c r="M308" s="46"/>
      <c r="N308" s="47"/>
      <c r="O308" s="62" t="str">
        <f aca="false">IF($B308="","",TEXT($A308,"YYYY-MM-DD")&amp;"|"&amp;$B308)</f>
        <v/>
      </c>
      <c r="P308" s="3"/>
      <c r="Q308" s="3"/>
      <c r="R308" s="3"/>
      <c r="S308" s="3"/>
      <c r="T308" s="3"/>
      <c r="U308" s="3"/>
      <c r="V308" s="3"/>
      <c r="W308" s="3"/>
      <c r="X308" s="3"/>
      <c r="Y308" s="3"/>
      <c r="Z308" s="3"/>
      <c r="AA308" s="3"/>
      <c r="AB308" s="3"/>
    </row>
    <row r="309" customFormat="false" ht="15" hidden="false" customHeight="false" outlineLevel="0" collapsed="false">
      <c r="A309" s="54"/>
      <c r="B309" s="52"/>
      <c r="C309" s="56"/>
      <c r="D309" s="56"/>
      <c r="E309" s="56"/>
      <c r="F309" s="56"/>
      <c r="G309" s="55"/>
      <c r="H309" s="56"/>
      <c r="I309" s="56"/>
      <c r="J309" s="56"/>
      <c r="K309" s="56"/>
      <c r="L309" s="56"/>
      <c r="M309" s="52"/>
      <c r="N309" s="53"/>
      <c r="O309" s="62" t="str">
        <f aca="false">IF($B309="","",TEXT($A309,"YYYY-MM-DD")&amp;"|"&amp;$B309)</f>
        <v/>
      </c>
      <c r="P309" s="3"/>
      <c r="Q309" s="3"/>
      <c r="R309" s="3"/>
      <c r="S309" s="3"/>
      <c r="T309" s="3"/>
      <c r="U309" s="3"/>
      <c r="V309" s="3"/>
      <c r="W309" s="3"/>
      <c r="X309" s="3"/>
      <c r="Y309" s="3"/>
      <c r="Z309" s="3"/>
      <c r="AA309" s="3"/>
      <c r="AB309" s="3"/>
    </row>
    <row r="310" customFormat="false" ht="15" hidden="false" customHeight="false" outlineLevel="0" collapsed="false">
      <c r="A310" s="48"/>
      <c r="B310" s="46"/>
      <c r="C310" s="50"/>
      <c r="D310" s="50"/>
      <c r="E310" s="50"/>
      <c r="F310" s="50"/>
      <c r="G310" s="49"/>
      <c r="H310" s="50"/>
      <c r="I310" s="50"/>
      <c r="J310" s="50"/>
      <c r="K310" s="50"/>
      <c r="L310" s="50"/>
      <c r="M310" s="46"/>
      <c r="N310" s="47"/>
      <c r="O310" s="62" t="str">
        <f aca="false">IF($B310="","",TEXT($A310,"YYYY-MM-DD")&amp;"|"&amp;$B310)</f>
        <v/>
      </c>
      <c r="P310" s="3"/>
      <c r="Q310" s="3"/>
      <c r="R310" s="3"/>
      <c r="S310" s="3"/>
      <c r="T310" s="3"/>
      <c r="U310" s="3"/>
      <c r="V310" s="3"/>
      <c r="W310" s="3"/>
      <c r="X310" s="3"/>
      <c r="Y310" s="3"/>
      <c r="Z310" s="3"/>
      <c r="AA310" s="3"/>
      <c r="AB310" s="3"/>
    </row>
    <row r="311" customFormat="false" ht="15" hidden="false" customHeight="false" outlineLevel="0" collapsed="false">
      <c r="A311" s="54"/>
      <c r="B311" s="52"/>
      <c r="C311" s="56"/>
      <c r="D311" s="56"/>
      <c r="E311" s="56"/>
      <c r="F311" s="56"/>
      <c r="G311" s="55"/>
      <c r="H311" s="56"/>
      <c r="I311" s="56"/>
      <c r="J311" s="56"/>
      <c r="K311" s="56"/>
      <c r="L311" s="56"/>
      <c r="M311" s="52"/>
      <c r="N311" s="53"/>
      <c r="O311" s="62" t="str">
        <f aca="false">IF($B311="","",TEXT($A311,"YYYY-MM-DD")&amp;"|"&amp;$B311)</f>
        <v/>
      </c>
      <c r="P311" s="3"/>
      <c r="Q311" s="3"/>
      <c r="R311" s="3"/>
      <c r="S311" s="3"/>
      <c r="T311" s="3"/>
      <c r="U311" s="3"/>
      <c r="V311" s="3"/>
      <c r="W311" s="3"/>
      <c r="X311" s="3"/>
      <c r="Y311" s="3"/>
      <c r="Z311" s="3"/>
      <c r="AA311" s="3"/>
      <c r="AB311" s="3"/>
    </row>
    <row r="312" customFormat="false" ht="15" hidden="false" customHeight="false" outlineLevel="0" collapsed="false">
      <c r="A312" s="48"/>
      <c r="B312" s="46"/>
      <c r="C312" s="50"/>
      <c r="D312" s="50"/>
      <c r="E312" s="50"/>
      <c r="F312" s="50"/>
      <c r="G312" s="49"/>
      <c r="H312" s="50"/>
      <c r="I312" s="50"/>
      <c r="J312" s="50"/>
      <c r="K312" s="50"/>
      <c r="L312" s="50"/>
      <c r="M312" s="46"/>
      <c r="N312" s="47"/>
      <c r="O312" s="62" t="str">
        <f aca="false">IF($B312="","",TEXT($A312,"YYYY-MM-DD")&amp;"|"&amp;$B312)</f>
        <v/>
      </c>
      <c r="P312" s="3"/>
      <c r="Q312" s="3"/>
      <c r="R312" s="3"/>
      <c r="S312" s="3"/>
      <c r="T312" s="3"/>
      <c r="U312" s="3"/>
      <c r="V312" s="3"/>
      <c r="W312" s="3"/>
      <c r="X312" s="3"/>
      <c r="Y312" s="3"/>
      <c r="Z312" s="3"/>
      <c r="AA312" s="3"/>
      <c r="AB312" s="3"/>
    </row>
    <row r="313" customFormat="false" ht="15" hidden="false" customHeight="false" outlineLevel="0" collapsed="false">
      <c r="A313" s="54"/>
      <c r="B313" s="52"/>
      <c r="C313" s="56"/>
      <c r="D313" s="56"/>
      <c r="E313" s="56"/>
      <c r="F313" s="56"/>
      <c r="G313" s="55"/>
      <c r="H313" s="56"/>
      <c r="I313" s="56"/>
      <c r="J313" s="56"/>
      <c r="K313" s="56"/>
      <c r="L313" s="56"/>
      <c r="M313" s="52"/>
      <c r="N313" s="53"/>
      <c r="O313" s="62" t="str">
        <f aca="false">IF($B313="","",TEXT($A313,"YYYY-MM-DD")&amp;"|"&amp;$B313)</f>
        <v/>
      </c>
      <c r="P313" s="3"/>
      <c r="Q313" s="3"/>
      <c r="R313" s="3"/>
      <c r="S313" s="3"/>
      <c r="T313" s="3"/>
      <c r="U313" s="3"/>
      <c r="V313" s="3"/>
      <c r="W313" s="3"/>
      <c r="X313" s="3"/>
      <c r="Y313" s="3"/>
      <c r="Z313" s="3"/>
      <c r="AA313" s="3"/>
      <c r="AB313" s="3"/>
    </row>
    <row r="314" customFormat="false" ht="15" hidden="false" customHeight="false" outlineLevel="0" collapsed="false">
      <c r="A314" s="48"/>
      <c r="B314" s="46"/>
      <c r="C314" s="50"/>
      <c r="D314" s="50"/>
      <c r="E314" s="50"/>
      <c r="F314" s="50"/>
      <c r="G314" s="49"/>
      <c r="H314" s="50"/>
      <c r="I314" s="50"/>
      <c r="J314" s="50"/>
      <c r="K314" s="50"/>
      <c r="L314" s="50"/>
      <c r="M314" s="46"/>
      <c r="N314" s="47"/>
      <c r="O314" s="62" t="str">
        <f aca="false">IF($B314="","",TEXT($A314,"YYYY-MM-DD")&amp;"|"&amp;$B314)</f>
        <v/>
      </c>
      <c r="P314" s="3"/>
      <c r="Q314" s="3"/>
      <c r="R314" s="3"/>
      <c r="S314" s="3"/>
      <c r="T314" s="3"/>
      <c r="U314" s="3"/>
      <c r="V314" s="3"/>
      <c r="W314" s="3"/>
      <c r="X314" s="3"/>
      <c r="Y314" s="3"/>
      <c r="Z314" s="3"/>
      <c r="AA314" s="3"/>
      <c r="AB314" s="3"/>
    </row>
    <row r="315" customFormat="false" ht="15" hidden="false" customHeight="false" outlineLevel="0" collapsed="false">
      <c r="A315" s="54"/>
      <c r="B315" s="52"/>
      <c r="C315" s="56"/>
      <c r="D315" s="56"/>
      <c r="E315" s="56"/>
      <c r="F315" s="56"/>
      <c r="G315" s="55"/>
      <c r="H315" s="56"/>
      <c r="I315" s="56"/>
      <c r="J315" s="56"/>
      <c r="K315" s="56"/>
      <c r="L315" s="56"/>
      <c r="M315" s="52"/>
      <c r="N315" s="53"/>
      <c r="O315" s="62" t="str">
        <f aca="false">IF($B315="","",TEXT($A315,"YYYY-MM-DD")&amp;"|"&amp;$B315)</f>
        <v/>
      </c>
      <c r="P315" s="3"/>
      <c r="Q315" s="3"/>
      <c r="R315" s="3"/>
      <c r="S315" s="3"/>
      <c r="T315" s="3"/>
      <c r="U315" s="3"/>
      <c r="V315" s="3"/>
      <c r="W315" s="3"/>
      <c r="X315" s="3"/>
      <c r="Y315" s="3"/>
      <c r="Z315" s="3"/>
      <c r="AA315" s="3"/>
      <c r="AB315" s="3"/>
    </row>
    <row r="316" customFormat="false" ht="15" hidden="false" customHeight="false" outlineLevel="0" collapsed="false">
      <c r="A316" s="48"/>
      <c r="B316" s="46"/>
      <c r="C316" s="50"/>
      <c r="D316" s="50"/>
      <c r="E316" s="50"/>
      <c r="F316" s="50"/>
      <c r="G316" s="49"/>
      <c r="H316" s="50"/>
      <c r="I316" s="50"/>
      <c r="J316" s="50"/>
      <c r="K316" s="50"/>
      <c r="L316" s="50"/>
      <c r="M316" s="46"/>
      <c r="N316" s="47"/>
      <c r="O316" s="62" t="str">
        <f aca="false">IF($B316="","",TEXT($A316,"YYYY-MM-DD")&amp;"|"&amp;$B316)</f>
        <v/>
      </c>
      <c r="P316" s="3"/>
      <c r="Q316" s="3"/>
      <c r="R316" s="3"/>
      <c r="S316" s="3"/>
      <c r="T316" s="3"/>
      <c r="U316" s="3"/>
      <c r="V316" s="3"/>
      <c r="W316" s="3"/>
      <c r="X316" s="3"/>
      <c r="Y316" s="3"/>
      <c r="Z316" s="3"/>
      <c r="AA316" s="3"/>
      <c r="AB316" s="3"/>
    </row>
    <row r="317" customFormat="false" ht="15" hidden="false" customHeight="false" outlineLevel="0" collapsed="false">
      <c r="A317" s="54"/>
      <c r="B317" s="52"/>
      <c r="C317" s="56"/>
      <c r="D317" s="56"/>
      <c r="E317" s="56"/>
      <c r="F317" s="56"/>
      <c r="G317" s="55"/>
      <c r="H317" s="56"/>
      <c r="I317" s="56"/>
      <c r="J317" s="56"/>
      <c r="K317" s="56"/>
      <c r="L317" s="56"/>
      <c r="M317" s="52"/>
      <c r="N317" s="53"/>
      <c r="O317" s="62" t="str">
        <f aca="false">IF($B317="","",TEXT($A317,"YYYY-MM-DD")&amp;"|"&amp;$B317)</f>
        <v/>
      </c>
      <c r="P317" s="3"/>
      <c r="Q317" s="3"/>
      <c r="R317" s="3"/>
      <c r="S317" s="3"/>
      <c r="T317" s="3"/>
      <c r="U317" s="3"/>
      <c r="V317" s="3"/>
      <c r="W317" s="3"/>
      <c r="X317" s="3"/>
      <c r="Y317" s="3"/>
      <c r="Z317" s="3"/>
      <c r="AA317" s="3"/>
      <c r="AB317" s="3"/>
    </row>
    <row r="318" customFormat="false" ht="15" hidden="false" customHeight="false" outlineLevel="0" collapsed="false">
      <c r="A318" s="48"/>
      <c r="B318" s="46"/>
      <c r="C318" s="50"/>
      <c r="D318" s="50"/>
      <c r="E318" s="50"/>
      <c r="F318" s="50"/>
      <c r="G318" s="49"/>
      <c r="H318" s="50"/>
      <c r="I318" s="50"/>
      <c r="J318" s="50"/>
      <c r="K318" s="50"/>
      <c r="L318" s="50"/>
      <c r="M318" s="46"/>
      <c r="N318" s="47"/>
      <c r="O318" s="62" t="str">
        <f aca="false">IF($B318="","",TEXT($A318,"YYYY-MM-DD")&amp;"|"&amp;$B318)</f>
        <v/>
      </c>
      <c r="P318" s="3"/>
      <c r="Q318" s="3"/>
      <c r="R318" s="3"/>
      <c r="S318" s="3"/>
      <c r="T318" s="3"/>
      <c r="U318" s="3"/>
      <c r="V318" s="3"/>
      <c r="W318" s="3"/>
      <c r="X318" s="3"/>
      <c r="Y318" s="3"/>
      <c r="Z318" s="3"/>
      <c r="AA318" s="3"/>
      <c r="AB318" s="3"/>
    </row>
    <row r="319" customFormat="false" ht="15" hidden="false" customHeight="false" outlineLevel="0" collapsed="false">
      <c r="A319" s="54"/>
      <c r="B319" s="52"/>
      <c r="C319" s="56"/>
      <c r="D319" s="56"/>
      <c r="E319" s="56"/>
      <c r="F319" s="56"/>
      <c r="G319" s="55"/>
      <c r="H319" s="56"/>
      <c r="I319" s="56"/>
      <c r="J319" s="56"/>
      <c r="K319" s="56"/>
      <c r="L319" s="56"/>
      <c r="M319" s="52"/>
      <c r="N319" s="53"/>
      <c r="O319" s="62" t="str">
        <f aca="false">IF($B319="","",TEXT($A319,"YYYY-MM-DD")&amp;"|"&amp;$B319)</f>
        <v/>
      </c>
      <c r="P319" s="3"/>
      <c r="Q319" s="3"/>
      <c r="R319" s="3"/>
      <c r="S319" s="3"/>
      <c r="T319" s="3"/>
      <c r="U319" s="3"/>
      <c r="V319" s="3"/>
      <c r="W319" s="3"/>
      <c r="X319" s="3"/>
      <c r="Y319" s="3"/>
      <c r="Z319" s="3"/>
      <c r="AA319" s="3"/>
      <c r="AB319" s="3"/>
    </row>
    <row r="320" customFormat="false" ht="15" hidden="false" customHeight="false" outlineLevel="0" collapsed="false">
      <c r="A320" s="48"/>
      <c r="B320" s="46"/>
      <c r="C320" s="50"/>
      <c r="D320" s="50"/>
      <c r="E320" s="50"/>
      <c r="F320" s="50"/>
      <c r="G320" s="49"/>
      <c r="H320" s="50"/>
      <c r="I320" s="50"/>
      <c r="J320" s="50"/>
      <c r="K320" s="50"/>
      <c r="L320" s="50"/>
      <c r="M320" s="46"/>
      <c r="N320" s="47"/>
      <c r="O320" s="62" t="str">
        <f aca="false">IF($B320="","",TEXT($A320,"YYYY-MM-DD")&amp;"|"&amp;$B320)</f>
        <v/>
      </c>
      <c r="P320" s="3"/>
      <c r="Q320" s="3"/>
      <c r="R320" s="3"/>
      <c r="S320" s="3"/>
      <c r="T320" s="3"/>
      <c r="U320" s="3"/>
      <c r="V320" s="3"/>
      <c r="W320" s="3"/>
      <c r="X320" s="3"/>
      <c r="Y320" s="3"/>
      <c r="Z320" s="3"/>
      <c r="AA320" s="3"/>
      <c r="AB320" s="3"/>
    </row>
    <row r="321" customFormat="false" ht="15" hidden="false" customHeight="false" outlineLevel="0" collapsed="false">
      <c r="A321" s="54"/>
      <c r="B321" s="52"/>
      <c r="C321" s="56"/>
      <c r="D321" s="56"/>
      <c r="E321" s="56"/>
      <c r="F321" s="56"/>
      <c r="G321" s="55"/>
      <c r="H321" s="56"/>
      <c r="I321" s="56"/>
      <c r="J321" s="56"/>
      <c r="K321" s="56"/>
      <c r="L321" s="56"/>
      <c r="M321" s="52"/>
      <c r="N321" s="53"/>
      <c r="O321" s="62" t="str">
        <f aca="false">IF($B321="","",TEXT($A321,"YYYY-MM-DD")&amp;"|"&amp;$B321)</f>
        <v/>
      </c>
      <c r="P321" s="3"/>
      <c r="Q321" s="3"/>
      <c r="R321" s="3"/>
      <c r="S321" s="3"/>
      <c r="T321" s="3"/>
      <c r="U321" s="3"/>
      <c r="V321" s="3"/>
      <c r="W321" s="3"/>
      <c r="X321" s="3"/>
      <c r="Y321" s="3"/>
      <c r="Z321" s="3"/>
      <c r="AA321" s="3"/>
      <c r="AB321" s="3"/>
    </row>
    <row r="322" customFormat="false" ht="15" hidden="false" customHeight="false" outlineLevel="0" collapsed="false">
      <c r="A322" s="48"/>
      <c r="B322" s="46"/>
      <c r="C322" s="50"/>
      <c r="D322" s="50"/>
      <c r="E322" s="50"/>
      <c r="F322" s="50"/>
      <c r="G322" s="49"/>
      <c r="H322" s="50"/>
      <c r="I322" s="50"/>
      <c r="J322" s="50"/>
      <c r="K322" s="50"/>
      <c r="L322" s="50"/>
      <c r="M322" s="46"/>
      <c r="N322" s="47"/>
      <c r="O322" s="62" t="str">
        <f aca="false">IF($B322="","",TEXT($A322,"YYYY-MM-DD")&amp;"|"&amp;$B322)</f>
        <v/>
      </c>
      <c r="P322" s="3"/>
      <c r="Q322" s="3"/>
      <c r="R322" s="3"/>
      <c r="S322" s="3"/>
      <c r="T322" s="3"/>
      <c r="U322" s="3"/>
      <c r="V322" s="3"/>
      <c r="W322" s="3"/>
      <c r="X322" s="3"/>
      <c r="Y322" s="3"/>
      <c r="Z322" s="3"/>
      <c r="AA322" s="3"/>
      <c r="AB322" s="3"/>
    </row>
    <row r="323" customFormat="false" ht="15" hidden="false" customHeight="false" outlineLevel="0" collapsed="false">
      <c r="A323" s="54"/>
      <c r="B323" s="52"/>
      <c r="C323" s="56"/>
      <c r="D323" s="56"/>
      <c r="E323" s="56"/>
      <c r="F323" s="56"/>
      <c r="G323" s="55"/>
      <c r="H323" s="56"/>
      <c r="I323" s="56"/>
      <c r="J323" s="56"/>
      <c r="K323" s="56"/>
      <c r="L323" s="56"/>
      <c r="M323" s="52"/>
      <c r="N323" s="53"/>
      <c r="O323" s="62" t="str">
        <f aca="false">IF($B323="","",TEXT($A323,"YYYY-MM-DD")&amp;"|"&amp;$B323)</f>
        <v/>
      </c>
      <c r="P323" s="3"/>
      <c r="Q323" s="3"/>
      <c r="R323" s="3"/>
      <c r="S323" s="3"/>
      <c r="T323" s="3"/>
      <c r="U323" s="3"/>
      <c r="V323" s="3"/>
      <c r="W323" s="3"/>
      <c r="X323" s="3"/>
      <c r="Y323" s="3"/>
      <c r="Z323" s="3"/>
      <c r="AA323" s="3"/>
      <c r="AB323" s="3"/>
    </row>
    <row r="324" customFormat="false" ht="15" hidden="false" customHeight="false" outlineLevel="0" collapsed="false">
      <c r="A324" s="48"/>
      <c r="B324" s="46"/>
      <c r="C324" s="50"/>
      <c r="D324" s="50"/>
      <c r="E324" s="50"/>
      <c r="F324" s="50"/>
      <c r="G324" s="49"/>
      <c r="H324" s="50"/>
      <c r="I324" s="50"/>
      <c r="J324" s="50"/>
      <c r="K324" s="50"/>
      <c r="L324" s="50"/>
      <c r="M324" s="46"/>
      <c r="N324" s="47"/>
      <c r="O324" s="62" t="str">
        <f aca="false">IF($B324="","",TEXT($A324,"YYYY-MM-DD")&amp;"|"&amp;$B324)</f>
        <v/>
      </c>
      <c r="P324" s="3"/>
      <c r="Q324" s="3"/>
      <c r="R324" s="3"/>
      <c r="S324" s="3"/>
      <c r="T324" s="3"/>
      <c r="U324" s="3"/>
      <c r="V324" s="3"/>
      <c r="W324" s="3"/>
      <c r="X324" s="3"/>
      <c r="Y324" s="3"/>
      <c r="Z324" s="3"/>
      <c r="AA324" s="3"/>
      <c r="AB324" s="3"/>
    </row>
    <row r="325" customFormat="false" ht="15" hidden="false" customHeight="false" outlineLevel="0" collapsed="false">
      <c r="A325" s="54"/>
      <c r="B325" s="52"/>
      <c r="C325" s="56"/>
      <c r="D325" s="56"/>
      <c r="E325" s="56"/>
      <c r="F325" s="56"/>
      <c r="G325" s="55"/>
      <c r="H325" s="56"/>
      <c r="I325" s="56"/>
      <c r="J325" s="56"/>
      <c r="K325" s="56"/>
      <c r="L325" s="56"/>
      <c r="M325" s="52"/>
      <c r="N325" s="53"/>
      <c r="O325" s="62" t="str">
        <f aca="false">IF($B325="","",TEXT($A325,"YYYY-MM-DD")&amp;"|"&amp;$B325)</f>
        <v/>
      </c>
      <c r="P325" s="3"/>
      <c r="Q325" s="3"/>
      <c r="R325" s="3"/>
      <c r="S325" s="3"/>
      <c r="T325" s="3"/>
      <c r="U325" s="3"/>
      <c r="V325" s="3"/>
      <c r="W325" s="3"/>
      <c r="X325" s="3"/>
      <c r="Y325" s="3"/>
      <c r="Z325" s="3"/>
      <c r="AA325" s="3"/>
      <c r="AB325" s="3"/>
    </row>
    <row r="326" customFormat="false" ht="15" hidden="false" customHeight="false" outlineLevel="0" collapsed="false">
      <c r="A326" s="48"/>
      <c r="B326" s="46"/>
      <c r="C326" s="50"/>
      <c r="D326" s="50"/>
      <c r="E326" s="50"/>
      <c r="F326" s="50"/>
      <c r="G326" s="49"/>
      <c r="H326" s="50"/>
      <c r="I326" s="50"/>
      <c r="J326" s="50"/>
      <c r="K326" s="50"/>
      <c r="L326" s="50"/>
      <c r="M326" s="46"/>
      <c r="N326" s="47"/>
      <c r="O326" s="62" t="str">
        <f aca="false">IF($B326="","",TEXT($A326,"YYYY-MM-DD")&amp;"|"&amp;$B326)</f>
        <v/>
      </c>
      <c r="P326" s="3"/>
      <c r="Q326" s="3"/>
      <c r="R326" s="3"/>
      <c r="S326" s="3"/>
      <c r="T326" s="3"/>
      <c r="U326" s="3"/>
      <c r="V326" s="3"/>
      <c r="W326" s="3"/>
      <c r="X326" s="3"/>
      <c r="Y326" s="3"/>
      <c r="Z326" s="3"/>
      <c r="AA326" s="3"/>
      <c r="AB326" s="3"/>
    </row>
    <row r="327" customFormat="false" ht="15" hidden="false" customHeight="false" outlineLevel="0" collapsed="false">
      <c r="A327" s="54"/>
      <c r="B327" s="52"/>
      <c r="C327" s="56"/>
      <c r="D327" s="56"/>
      <c r="E327" s="56"/>
      <c r="F327" s="56"/>
      <c r="G327" s="55"/>
      <c r="H327" s="56"/>
      <c r="I327" s="56"/>
      <c r="J327" s="56"/>
      <c r="K327" s="56"/>
      <c r="L327" s="56"/>
      <c r="M327" s="52"/>
      <c r="N327" s="53"/>
      <c r="O327" s="62" t="str">
        <f aca="false">IF($B327="","",TEXT($A327,"YYYY-MM-DD")&amp;"|"&amp;$B327)</f>
        <v/>
      </c>
      <c r="P327" s="3"/>
      <c r="Q327" s="3"/>
      <c r="R327" s="3"/>
      <c r="S327" s="3"/>
      <c r="T327" s="3"/>
      <c r="U327" s="3"/>
      <c r="V327" s="3"/>
      <c r="W327" s="3"/>
      <c r="X327" s="3"/>
      <c r="Y327" s="3"/>
      <c r="Z327" s="3"/>
      <c r="AA327" s="3"/>
      <c r="AB327" s="3"/>
    </row>
    <row r="328" customFormat="false" ht="15" hidden="false" customHeight="false" outlineLevel="0" collapsed="false">
      <c r="A328" s="48"/>
      <c r="B328" s="46"/>
      <c r="C328" s="50"/>
      <c r="D328" s="50"/>
      <c r="E328" s="50"/>
      <c r="F328" s="50"/>
      <c r="G328" s="49"/>
      <c r="H328" s="50"/>
      <c r="I328" s="50"/>
      <c r="J328" s="50"/>
      <c r="K328" s="50"/>
      <c r="L328" s="50"/>
      <c r="M328" s="46"/>
      <c r="N328" s="47"/>
      <c r="O328" s="62" t="str">
        <f aca="false">IF($B328="","",TEXT($A328,"YYYY-MM-DD")&amp;"|"&amp;$B328)</f>
        <v/>
      </c>
      <c r="P328" s="3"/>
      <c r="Q328" s="3"/>
      <c r="R328" s="3"/>
      <c r="S328" s="3"/>
      <c r="T328" s="3"/>
      <c r="U328" s="3"/>
      <c r="V328" s="3"/>
      <c r="W328" s="3"/>
      <c r="X328" s="3"/>
      <c r="Y328" s="3"/>
      <c r="Z328" s="3"/>
      <c r="AA328" s="3"/>
      <c r="AB328" s="3"/>
    </row>
    <row r="329" customFormat="false" ht="15" hidden="false" customHeight="false" outlineLevel="0" collapsed="false">
      <c r="A329" s="54"/>
      <c r="B329" s="52"/>
      <c r="C329" s="56"/>
      <c r="D329" s="56"/>
      <c r="E329" s="56"/>
      <c r="F329" s="56"/>
      <c r="G329" s="55"/>
      <c r="H329" s="56"/>
      <c r="I329" s="56"/>
      <c r="J329" s="56"/>
      <c r="K329" s="56"/>
      <c r="L329" s="56"/>
      <c r="M329" s="52"/>
      <c r="N329" s="53"/>
      <c r="O329" s="62" t="str">
        <f aca="false">IF($B329="","",TEXT($A329,"YYYY-MM-DD")&amp;"|"&amp;$B329)</f>
        <v/>
      </c>
      <c r="P329" s="3"/>
      <c r="Q329" s="3"/>
      <c r="R329" s="3"/>
      <c r="S329" s="3"/>
      <c r="T329" s="3"/>
      <c r="U329" s="3"/>
      <c r="V329" s="3"/>
      <c r="W329" s="3"/>
      <c r="X329" s="3"/>
      <c r="Y329" s="3"/>
      <c r="Z329" s="3"/>
      <c r="AA329" s="3"/>
      <c r="AB329" s="3"/>
    </row>
    <row r="330" customFormat="false" ht="15" hidden="false" customHeight="false" outlineLevel="0" collapsed="false">
      <c r="A330" s="48"/>
      <c r="B330" s="46"/>
      <c r="C330" s="50"/>
      <c r="D330" s="50"/>
      <c r="E330" s="50"/>
      <c r="F330" s="50"/>
      <c r="G330" s="49"/>
      <c r="H330" s="50"/>
      <c r="I330" s="50"/>
      <c r="J330" s="50"/>
      <c r="K330" s="50"/>
      <c r="L330" s="50"/>
      <c r="M330" s="46"/>
      <c r="N330" s="47"/>
      <c r="O330" s="62" t="str">
        <f aca="false">IF($B330="","",TEXT($A330,"YYYY-MM-DD")&amp;"|"&amp;$B330)</f>
        <v/>
      </c>
      <c r="P330" s="3"/>
      <c r="Q330" s="3"/>
      <c r="R330" s="3"/>
      <c r="S330" s="3"/>
      <c r="T330" s="3"/>
      <c r="U330" s="3"/>
      <c r="V330" s="3"/>
      <c r="W330" s="3"/>
      <c r="X330" s="3"/>
      <c r="Y330" s="3"/>
      <c r="Z330" s="3"/>
      <c r="AA330" s="3"/>
      <c r="AB330" s="3"/>
    </row>
    <row r="331" customFormat="false" ht="15" hidden="false" customHeight="false" outlineLevel="0" collapsed="false">
      <c r="A331" s="54"/>
      <c r="B331" s="52"/>
      <c r="C331" s="56"/>
      <c r="D331" s="56"/>
      <c r="E331" s="56"/>
      <c r="F331" s="56"/>
      <c r="G331" s="55"/>
      <c r="H331" s="56"/>
      <c r="I331" s="56"/>
      <c r="J331" s="56"/>
      <c r="K331" s="56"/>
      <c r="L331" s="56"/>
      <c r="M331" s="52"/>
      <c r="N331" s="53"/>
      <c r="O331" s="62" t="str">
        <f aca="false">IF($B331="","",TEXT($A331,"YYYY-MM-DD")&amp;"|"&amp;$B331)</f>
        <v/>
      </c>
      <c r="P331" s="3"/>
      <c r="Q331" s="3"/>
      <c r="R331" s="3"/>
      <c r="S331" s="3"/>
      <c r="T331" s="3"/>
      <c r="U331" s="3"/>
      <c r="V331" s="3"/>
      <c r="W331" s="3"/>
      <c r="X331" s="3"/>
      <c r="Y331" s="3"/>
      <c r="Z331" s="3"/>
      <c r="AA331" s="3"/>
      <c r="AB331" s="3"/>
    </row>
    <row r="332" customFormat="false" ht="15" hidden="false" customHeight="false" outlineLevel="0" collapsed="false">
      <c r="A332" s="48"/>
      <c r="B332" s="46"/>
      <c r="C332" s="50"/>
      <c r="D332" s="50"/>
      <c r="E332" s="50"/>
      <c r="F332" s="50"/>
      <c r="G332" s="49"/>
      <c r="H332" s="50"/>
      <c r="I332" s="50"/>
      <c r="J332" s="50"/>
      <c r="K332" s="50"/>
      <c r="L332" s="50"/>
      <c r="M332" s="46"/>
      <c r="N332" s="47"/>
      <c r="O332" s="62" t="str">
        <f aca="false">IF($B332="","",TEXT($A332,"YYYY-MM-DD")&amp;"|"&amp;$B332)</f>
        <v/>
      </c>
      <c r="P332" s="3"/>
      <c r="Q332" s="3"/>
      <c r="R332" s="3"/>
      <c r="S332" s="3"/>
      <c r="T332" s="3"/>
      <c r="U332" s="3"/>
      <c r="V332" s="3"/>
      <c r="W332" s="3"/>
      <c r="X332" s="3"/>
      <c r="Y332" s="3"/>
      <c r="Z332" s="3"/>
      <c r="AA332" s="3"/>
      <c r="AB332" s="3"/>
    </row>
    <row r="333" customFormat="false" ht="15" hidden="false" customHeight="false" outlineLevel="0" collapsed="false">
      <c r="A333" s="54"/>
      <c r="B333" s="52"/>
      <c r="C333" s="56"/>
      <c r="D333" s="56"/>
      <c r="E333" s="56"/>
      <c r="F333" s="56"/>
      <c r="G333" s="55"/>
      <c r="H333" s="56"/>
      <c r="I333" s="56"/>
      <c r="J333" s="56"/>
      <c r="K333" s="56"/>
      <c r="L333" s="56"/>
      <c r="M333" s="52"/>
      <c r="N333" s="53"/>
      <c r="O333" s="62" t="str">
        <f aca="false">IF($B333="","",TEXT($A333,"YYYY-MM-DD")&amp;"|"&amp;$B333)</f>
        <v/>
      </c>
      <c r="P333" s="3"/>
      <c r="Q333" s="3"/>
      <c r="R333" s="3"/>
      <c r="S333" s="3"/>
      <c r="T333" s="3"/>
      <c r="U333" s="3"/>
      <c r="V333" s="3"/>
      <c r="W333" s="3"/>
      <c r="X333" s="3"/>
      <c r="Y333" s="3"/>
      <c r="Z333" s="3"/>
      <c r="AA333" s="3"/>
      <c r="AB333" s="3"/>
    </row>
    <row r="334" customFormat="false" ht="15" hidden="false" customHeight="false" outlineLevel="0" collapsed="false">
      <c r="A334" s="48"/>
      <c r="B334" s="46"/>
      <c r="C334" s="50"/>
      <c r="D334" s="50"/>
      <c r="E334" s="50"/>
      <c r="F334" s="50"/>
      <c r="G334" s="49"/>
      <c r="H334" s="50"/>
      <c r="I334" s="50"/>
      <c r="J334" s="50"/>
      <c r="K334" s="50"/>
      <c r="L334" s="50"/>
      <c r="M334" s="46"/>
      <c r="N334" s="47"/>
      <c r="O334" s="62" t="str">
        <f aca="false">IF($B334="","",TEXT($A334,"YYYY-MM-DD")&amp;"|"&amp;$B334)</f>
        <v/>
      </c>
      <c r="P334" s="3"/>
      <c r="Q334" s="3"/>
      <c r="R334" s="3"/>
      <c r="S334" s="3"/>
      <c r="T334" s="3"/>
      <c r="U334" s="3"/>
      <c r="V334" s="3"/>
      <c r="W334" s="3"/>
      <c r="X334" s="3"/>
      <c r="Y334" s="3"/>
      <c r="Z334" s="3"/>
      <c r="AA334" s="3"/>
      <c r="AB334" s="3"/>
    </row>
    <row r="335" customFormat="false" ht="15" hidden="false" customHeight="false" outlineLevel="0" collapsed="false">
      <c r="A335" s="54"/>
      <c r="B335" s="52"/>
      <c r="C335" s="56"/>
      <c r="D335" s="56"/>
      <c r="E335" s="56"/>
      <c r="F335" s="56"/>
      <c r="G335" s="55"/>
      <c r="H335" s="56"/>
      <c r="I335" s="56"/>
      <c r="J335" s="56"/>
      <c r="K335" s="56"/>
      <c r="L335" s="56"/>
      <c r="M335" s="52"/>
      <c r="N335" s="53"/>
      <c r="O335" s="62" t="str">
        <f aca="false">IF($B335="","",TEXT($A335,"YYYY-MM-DD")&amp;"|"&amp;$B335)</f>
        <v/>
      </c>
      <c r="P335" s="3"/>
      <c r="Q335" s="3"/>
      <c r="R335" s="3"/>
      <c r="S335" s="3"/>
      <c r="T335" s="3"/>
      <c r="U335" s="3"/>
      <c r="V335" s="3"/>
      <c r="W335" s="3"/>
      <c r="X335" s="3"/>
      <c r="Y335" s="3"/>
      <c r="Z335" s="3"/>
      <c r="AA335" s="3"/>
      <c r="AB335" s="3"/>
    </row>
    <row r="336" customFormat="false" ht="15" hidden="false" customHeight="false" outlineLevel="0" collapsed="false">
      <c r="A336" s="48"/>
      <c r="B336" s="46"/>
      <c r="C336" s="50"/>
      <c r="D336" s="50"/>
      <c r="E336" s="50"/>
      <c r="F336" s="50"/>
      <c r="G336" s="49"/>
      <c r="H336" s="50"/>
      <c r="I336" s="50"/>
      <c r="J336" s="50"/>
      <c r="K336" s="50"/>
      <c r="L336" s="50"/>
      <c r="M336" s="46"/>
      <c r="N336" s="47"/>
      <c r="O336" s="62" t="str">
        <f aca="false">IF($B336="","",TEXT($A336,"YYYY-MM-DD")&amp;"|"&amp;$B336)</f>
        <v/>
      </c>
      <c r="P336" s="3"/>
      <c r="Q336" s="3"/>
      <c r="R336" s="3"/>
      <c r="S336" s="3"/>
      <c r="T336" s="3"/>
      <c r="U336" s="3"/>
      <c r="V336" s="3"/>
      <c r="W336" s="3"/>
      <c r="X336" s="3"/>
      <c r="Y336" s="3"/>
      <c r="Z336" s="3"/>
      <c r="AA336" s="3"/>
      <c r="AB336" s="3"/>
    </row>
    <row r="337" customFormat="false" ht="15" hidden="false" customHeight="false" outlineLevel="0" collapsed="false">
      <c r="A337" s="54"/>
      <c r="B337" s="52"/>
      <c r="C337" s="56"/>
      <c r="D337" s="56"/>
      <c r="E337" s="56"/>
      <c r="F337" s="56"/>
      <c r="G337" s="55"/>
      <c r="H337" s="56"/>
      <c r="I337" s="56"/>
      <c r="J337" s="56"/>
      <c r="K337" s="56"/>
      <c r="L337" s="56"/>
      <c r="M337" s="52"/>
      <c r="N337" s="53"/>
      <c r="O337" s="62" t="str">
        <f aca="false">IF($B337="","",TEXT($A337,"YYYY-MM-DD")&amp;"|"&amp;$B337)</f>
        <v/>
      </c>
      <c r="P337" s="3"/>
      <c r="Q337" s="3"/>
      <c r="R337" s="3"/>
      <c r="S337" s="3"/>
      <c r="T337" s="3"/>
      <c r="U337" s="3"/>
      <c r="V337" s="3"/>
      <c r="W337" s="3"/>
      <c r="X337" s="3"/>
      <c r="Y337" s="3"/>
      <c r="Z337" s="3"/>
      <c r="AA337" s="3"/>
      <c r="AB337" s="3"/>
    </row>
    <row r="338" customFormat="false" ht="15" hidden="false" customHeight="false" outlineLevel="0" collapsed="false">
      <c r="A338" s="48"/>
      <c r="B338" s="46"/>
      <c r="C338" s="50"/>
      <c r="D338" s="50"/>
      <c r="E338" s="50"/>
      <c r="F338" s="50"/>
      <c r="G338" s="49"/>
      <c r="H338" s="50"/>
      <c r="I338" s="50"/>
      <c r="J338" s="50"/>
      <c r="K338" s="50"/>
      <c r="L338" s="50"/>
      <c r="M338" s="46"/>
      <c r="N338" s="47"/>
      <c r="O338" s="62" t="str">
        <f aca="false">IF($B338="","",TEXT($A338,"YYYY-MM-DD")&amp;"|"&amp;$B338)</f>
        <v/>
      </c>
      <c r="P338" s="3"/>
      <c r="Q338" s="3"/>
      <c r="R338" s="3"/>
      <c r="S338" s="3"/>
      <c r="T338" s="3"/>
      <c r="U338" s="3"/>
      <c r="V338" s="3"/>
      <c r="W338" s="3"/>
      <c r="X338" s="3"/>
      <c r="Y338" s="3"/>
      <c r="Z338" s="3"/>
      <c r="AA338" s="3"/>
      <c r="AB338" s="3"/>
    </row>
    <row r="339" customFormat="false" ht="15" hidden="false" customHeight="false" outlineLevel="0" collapsed="false">
      <c r="A339" s="54"/>
      <c r="B339" s="52"/>
      <c r="C339" s="56"/>
      <c r="D339" s="56"/>
      <c r="E339" s="56"/>
      <c r="F339" s="56"/>
      <c r="G339" s="55"/>
      <c r="H339" s="56"/>
      <c r="I339" s="56"/>
      <c r="J339" s="56"/>
      <c r="K339" s="56"/>
      <c r="L339" s="56"/>
      <c r="M339" s="52"/>
      <c r="N339" s="53"/>
      <c r="O339" s="62" t="str">
        <f aca="false">IF($B339="","",TEXT($A339,"YYYY-MM-DD")&amp;"|"&amp;$B339)</f>
        <v/>
      </c>
      <c r="P339" s="3"/>
      <c r="Q339" s="3"/>
      <c r="R339" s="3"/>
      <c r="S339" s="3"/>
      <c r="T339" s="3"/>
      <c r="U339" s="3"/>
      <c r="V339" s="3"/>
      <c r="W339" s="3"/>
      <c r="X339" s="3"/>
      <c r="Y339" s="3"/>
      <c r="Z339" s="3"/>
      <c r="AA339" s="3"/>
      <c r="AB339" s="3"/>
    </row>
    <row r="340" customFormat="false" ht="15" hidden="false" customHeight="false" outlineLevel="0" collapsed="false">
      <c r="A340" s="48"/>
      <c r="B340" s="46"/>
      <c r="C340" s="50"/>
      <c r="D340" s="50"/>
      <c r="E340" s="50"/>
      <c r="F340" s="50"/>
      <c r="G340" s="49"/>
      <c r="H340" s="50"/>
      <c r="I340" s="50"/>
      <c r="J340" s="50"/>
      <c r="K340" s="50"/>
      <c r="L340" s="50"/>
      <c r="M340" s="46"/>
      <c r="N340" s="47"/>
      <c r="O340" s="62" t="str">
        <f aca="false">IF($B340="","",TEXT($A340,"YYYY-MM-DD")&amp;"|"&amp;$B340)</f>
        <v/>
      </c>
      <c r="P340" s="3"/>
      <c r="Q340" s="3"/>
      <c r="R340" s="3"/>
      <c r="S340" s="3"/>
      <c r="T340" s="3"/>
      <c r="U340" s="3"/>
      <c r="V340" s="3"/>
      <c r="W340" s="3"/>
      <c r="X340" s="3"/>
      <c r="Y340" s="3"/>
      <c r="Z340" s="3"/>
      <c r="AA340" s="3"/>
      <c r="AB340" s="3"/>
    </row>
    <row r="341" customFormat="false" ht="15" hidden="false" customHeight="false" outlineLevel="0" collapsed="false">
      <c r="A341" s="54"/>
      <c r="B341" s="52"/>
      <c r="C341" s="56"/>
      <c r="D341" s="56"/>
      <c r="E341" s="56"/>
      <c r="F341" s="56"/>
      <c r="G341" s="55"/>
      <c r="H341" s="56"/>
      <c r="I341" s="56"/>
      <c r="J341" s="56"/>
      <c r="K341" s="56"/>
      <c r="L341" s="56"/>
      <c r="M341" s="52"/>
      <c r="N341" s="53"/>
      <c r="O341" s="62" t="str">
        <f aca="false">IF($B341="","",TEXT($A341,"YYYY-MM-DD")&amp;"|"&amp;$B341)</f>
        <v/>
      </c>
      <c r="P341" s="3"/>
      <c r="Q341" s="3"/>
      <c r="R341" s="3"/>
      <c r="S341" s="3"/>
      <c r="T341" s="3"/>
      <c r="U341" s="3"/>
      <c r="V341" s="3"/>
      <c r="W341" s="3"/>
      <c r="X341" s="3"/>
      <c r="Y341" s="3"/>
      <c r="Z341" s="3"/>
      <c r="AA341" s="3"/>
      <c r="AB341" s="3"/>
    </row>
    <row r="342" customFormat="false" ht="15" hidden="false" customHeight="false" outlineLevel="0" collapsed="false">
      <c r="A342" s="48"/>
      <c r="B342" s="46"/>
      <c r="C342" s="50"/>
      <c r="D342" s="50"/>
      <c r="E342" s="50"/>
      <c r="F342" s="50"/>
      <c r="G342" s="49"/>
      <c r="H342" s="50"/>
      <c r="I342" s="50"/>
      <c r="J342" s="50"/>
      <c r="K342" s="50"/>
      <c r="L342" s="50"/>
      <c r="M342" s="46"/>
      <c r="N342" s="47"/>
      <c r="O342" s="62" t="str">
        <f aca="false">IF($B342="","",TEXT($A342,"YYYY-MM-DD")&amp;"|"&amp;$B342)</f>
        <v/>
      </c>
      <c r="P342" s="3"/>
      <c r="Q342" s="3"/>
      <c r="R342" s="3"/>
      <c r="S342" s="3"/>
      <c r="T342" s="3"/>
      <c r="U342" s="3"/>
      <c r="V342" s="3"/>
      <c r="W342" s="3"/>
      <c r="X342" s="3"/>
      <c r="Y342" s="3"/>
      <c r="Z342" s="3"/>
      <c r="AA342" s="3"/>
      <c r="AB342" s="3"/>
    </row>
    <row r="343" customFormat="false" ht="15" hidden="false" customHeight="false" outlineLevel="0" collapsed="false">
      <c r="A343" s="54"/>
      <c r="B343" s="52"/>
      <c r="C343" s="56"/>
      <c r="D343" s="56"/>
      <c r="E343" s="56"/>
      <c r="F343" s="56"/>
      <c r="G343" s="55"/>
      <c r="H343" s="56"/>
      <c r="I343" s="56"/>
      <c r="J343" s="56"/>
      <c r="K343" s="56"/>
      <c r="L343" s="56"/>
      <c r="M343" s="52"/>
      <c r="N343" s="53"/>
      <c r="O343" s="62" t="str">
        <f aca="false">IF($B343="","",TEXT($A343,"YYYY-MM-DD")&amp;"|"&amp;$B343)</f>
        <v/>
      </c>
      <c r="P343" s="3"/>
      <c r="Q343" s="3"/>
      <c r="R343" s="3"/>
      <c r="S343" s="3"/>
      <c r="T343" s="3"/>
      <c r="U343" s="3"/>
      <c r="V343" s="3"/>
      <c r="W343" s="3"/>
      <c r="X343" s="3"/>
      <c r="Y343" s="3"/>
      <c r="Z343" s="3"/>
      <c r="AA343" s="3"/>
      <c r="AB343" s="3"/>
    </row>
    <row r="344" customFormat="false" ht="15" hidden="false" customHeight="false" outlineLevel="0" collapsed="false">
      <c r="A344" s="48"/>
      <c r="B344" s="46"/>
      <c r="C344" s="50"/>
      <c r="D344" s="50"/>
      <c r="E344" s="50"/>
      <c r="F344" s="50"/>
      <c r="G344" s="49"/>
      <c r="H344" s="50"/>
      <c r="I344" s="50"/>
      <c r="J344" s="50"/>
      <c r="K344" s="50"/>
      <c r="L344" s="50"/>
      <c r="M344" s="46"/>
      <c r="N344" s="47"/>
      <c r="O344" s="62" t="str">
        <f aca="false">IF($B344="","",TEXT($A344,"YYYY-MM-DD")&amp;"|"&amp;$B344)</f>
        <v/>
      </c>
      <c r="P344" s="3"/>
      <c r="Q344" s="3"/>
      <c r="R344" s="3"/>
      <c r="S344" s="3"/>
      <c r="T344" s="3"/>
      <c r="U344" s="3"/>
      <c r="V344" s="3"/>
      <c r="W344" s="3"/>
      <c r="X344" s="3"/>
      <c r="Y344" s="3"/>
      <c r="Z344" s="3"/>
      <c r="AA344" s="3"/>
      <c r="AB344" s="3"/>
    </row>
    <row r="345" customFormat="false" ht="15" hidden="false" customHeight="false" outlineLevel="0" collapsed="false">
      <c r="A345" s="54"/>
      <c r="B345" s="52"/>
      <c r="C345" s="56"/>
      <c r="D345" s="56"/>
      <c r="E345" s="56"/>
      <c r="F345" s="56"/>
      <c r="G345" s="55"/>
      <c r="H345" s="56"/>
      <c r="I345" s="56"/>
      <c r="J345" s="56"/>
      <c r="K345" s="56"/>
      <c r="L345" s="56"/>
      <c r="M345" s="52"/>
      <c r="N345" s="53"/>
      <c r="O345" s="62" t="str">
        <f aca="false">IF($B345="","",TEXT($A345,"YYYY-MM-DD")&amp;"|"&amp;$B345)</f>
        <v/>
      </c>
      <c r="P345" s="3"/>
      <c r="Q345" s="3"/>
      <c r="R345" s="3"/>
      <c r="S345" s="3"/>
      <c r="T345" s="3"/>
      <c r="U345" s="3"/>
      <c r="V345" s="3"/>
      <c r="W345" s="3"/>
      <c r="X345" s="3"/>
      <c r="Y345" s="3"/>
      <c r="Z345" s="3"/>
      <c r="AA345" s="3"/>
      <c r="AB345" s="3"/>
    </row>
    <row r="346" customFormat="false" ht="15" hidden="false" customHeight="false" outlineLevel="0" collapsed="false">
      <c r="A346" s="48"/>
      <c r="B346" s="46"/>
      <c r="C346" s="50"/>
      <c r="D346" s="50"/>
      <c r="E346" s="50"/>
      <c r="F346" s="50"/>
      <c r="G346" s="49"/>
      <c r="H346" s="50"/>
      <c r="I346" s="50"/>
      <c r="J346" s="50"/>
      <c r="K346" s="50"/>
      <c r="L346" s="50"/>
      <c r="M346" s="46"/>
      <c r="N346" s="47"/>
      <c r="O346" s="62" t="str">
        <f aca="false">IF($B346="","",TEXT($A346,"YYYY-MM-DD")&amp;"|"&amp;$B346)</f>
        <v/>
      </c>
      <c r="P346" s="3"/>
      <c r="Q346" s="3"/>
      <c r="R346" s="3"/>
      <c r="S346" s="3"/>
      <c r="T346" s="3"/>
      <c r="U346" s="3"/>
      <c r="V346" s="3"/>
      <c r="W346" s="3"/>
      <c r="X346" s="3"/>
      <c r="Y346" s="3"/>
      <c r="Z346" s="3"/>
      <c r="AA346" s="3"/>
      <c r="AB346" s="3"/>
    </row>
    <row r="347" customFormat="false" ht="15" hidden="false" customHeight="false" outlineLevel="0" collapsed="false">
      <c r="A347" s="54"/>
      <c r="B347" s="52"/>
      <c r="C347" s="56"/>
      <c r="D347" s="56"/>
      <c r="E347" s="56"/>
      <c r="F347" s="56"/>
      <c r="G347" s="55"/>
      <c r="H347" s="56"/>
      <c r="I347" s="56"/>
      <c r="J347" s="56"/>
      <c r="K347" s="56"/>
      <c r="L347" s="56"/>
      <c r="M347" s="52"/>
      <c r="N347" s="53"/>
      <c r="O347" s="62" t="str">
        <f aca="false">IF($B347="","",TEXT($A347,"YYYY-MM-DD")&amp;"|"&amp;$B347)</f>
        <v/>
      </c>
      <c r="P347" s="3"/>
      <c r="Q347" s="3"/>
      <c r="R347" s="3"/>
      <c r="S347" s="3"/>
      <c r="T347" s="3"/>
      <c r="U347" s="3"/>
      <c r="V347" s="3"/>
      <c r="W347" s="3"/>
      <c r="X347" s="3"/>
      <c r="Y347" s="3"/>
      <c r="Z347" s="3"/>
      <c r="AA347" s="3"/>
      <c r="AB347" s="3"/>
    </row>
    <row r="348" customFormat="false" ht="15" hidden="false" customHeight="false" outlineLevel="0" collapsed="false">
      <c r="A348" s="48"/>
      <c r="B348" s="46"/>
      <c r="C348" s="50"/>
      <c r="D348" s="50"/>
      <c r="E348" s="50"/>
      <c r="F348" s="50"/>
      <c r="G348" s="49"/>
      <c r="H348" s="50"/>
      <c r="I348" s="50"/>
      <c r="J348" s="50"/>
      <c r="K348" s="50"/>
      <c r="L348" s="50"/>
      <c r="M348" s="46"/>
      <c r="N348" s="47"/>
      <c r="O348" s="62" t="str">
        <f aca="false">IF($B348="","",TEXT($A348,"YYYY-MM-DD")&amp;"|"&amp;$B348)</f>
        <v/>
      </c>
      <c r="P348" s="3"/>
      <c r="Q348" s="3"/>
      <c r="R348" s="3"/>
      <c r="S348" s="3"/>
      <c r="T348" s="3"/>
      <c r="U348" s="3"/>
      <c r="V348" s="3"/>
      <c r="W348" s="3"/>
      <c r="X348" s="3"/>
      <c r="Y348" s="3"/>
      <c r="Z348" s="3"/>
      <c r="AA348" s="3"/>
      <c r="AB348" s="3"/>
    </row>
    <row r="349" customFormat="false" ht="15" hidden="false" customHeight="false" outlineLevel="0" collapsed="false">
      <c r="A349" s="54"/>
      <c r="B349" s="52"/>
      <c r="C349" s="56"/>
      <c r="D349" s="56"/>
      <c r="E349" s="56"/>
      <c r="F349" s="56"/>
      <c r="G349" s="55"/>
      <c r="H349" s="56"/>
      <c r="I349" s="56"/>
      <c r="J349" s="56"/>
      <c r="K349" s="56"/>
      <c r="L349" s="56"/>
      <c r="M349" s="52"/>
      <c r="N349" s="53"/>
      <c r="O349" s="62" t="str">
        <f aca="false">IF($B349="","",TEXT($A349,"YYYY-MM-DD")&amp;"|"&amp;$B349)</f>
        <v/>
      </c>
      <c r="P349" s="3"/>
      <c r="Q349" s="3"/>
      <c r="R349" s="3"/>
      <c r="S349" s="3"/>
      <c r="T349" s="3"/>
      <c r="U349" s="3"/>
      <c r="V349" s="3"/>
      <c r="W349" s="3"/>
      <c r="X349" s="3"/>
      <c r="Y349" s="3"/>
      <c r="Z349" s="3"/>
      <c r="AA349" s="3"/>
      <c r="AB349" s="3"/>
    </row>
    <row r="350" customFormat="false" ht="15" hidden="false" customHeight="false" outlineLevel="0" collapsed="false">
      <c r="A350" s="48"/>
      <c r="B350" s="46"/>
      <c r="C350" s="50"/>
      <c r="D350" s="50"/>
      <c r="E350" s="50"/>
      <c r="F350" s="50"/>
      <c r="G350" s="49"/>
      <c r="H350" s="50"/>
      <c r="I350" s="50"/>
      <c r="J350" s="50"/>
      <c r="K350" s="50"/>
      <c r="L350" s="50"/>
      <c r="M350" s="46"/>
      <c r="N350" s="47"/>
      <c r="O350" s="62" t="str">
        <f aca="false">IF($B350="","",TEXT($A350,"YYYY-MM-DD")&amp;"|"&amp;$B350)</f>
        <v/>
      </c>
      <c r="P350" s="3"/>
      <c r="Q350" s="3"/>
      <c r="R350" s="3"/>
      <c r="S350" s="3"/>
      <c r="T350" s="3"/>
      <c r="U350" s="3"/>
      <c r="V350" s="3"/>
      <c r="W350" s="3"/>
      <c r="X350" s="3"/>
      <c r="Y350" s="3"/>
      <c r="Z350" s="3"/>
      <c r="AA350" s="3"/>
      <c r="AB350" s="3"/>
    </row>
    <row r="351" customFormat="false" ht="15" hidden="false" customHeight="false" outlineLevel="0" collapsed="false">
      <c r="A351" s="54"/>
      <c r="B351" s="52"/>
      <c r="C351" s="56"/>
      <c r="D351" s="56"/>
      <c r="E351" s="56"/>
      <c r="F351" s="56"/>
      <c r="G351" s="55"/>
      <c r="H351" s="56"/>
      <c r="I351" s="56"/>
      <c r="J351" s="56"/>
      <c r="K351" s="56"/>
      <c r="L351" s="56"/>
      <c r="M351" s="52"/>
      <c r="N351" s="53"/>
      <c r="O351" s="62" t="str">
        <f aca="false">IF($B351="","",TEXT($A351,"YYYY-MM-DD")&amp;"|"&amp;$B351)</f>
        <v/>
      </c>
      <c r="P351" s="3"/>
      <c r="Q351" s="3"/>
      <c r="R351" s="3"/>
      <c r="S351" s="3"/>
      <c r="T351" s="3"/>
      <c r="U351" s="3"/>
      <c r="V351" s="3"/>
      <c r="W351" s="3"/>
      <c r="X351" s="3"/>
      <c r="Y351" s="3"/>
      <c r="Z351" s="3"/>
      <c r="AA351" s="3"/>
      <c r="AB351" s="3"/>
    </row>
    <row r="352" customFormat="false" ht="15" hidden="false" customHeight="false" outlineLevel="0" collapsed="false">
      <c r="A352" s="48"/>
      <c r="B352" s="46"/>
      <c r="C352" s="50"/>
      <c r="D352" s="50"/>
      <c r="E352" s="50"/>
      <c r="F352" s="50"/>
      <c r="G352" s="49"/>
      <c r="H352" s="50"/>
      <c r="I352" s="50"/>
      <c r="J352" s="50"/>
      <c r="K352" s="50"/>
      <c r="L352" s="50"/>
      <c r="M352" s="46"/>
      <c r="N352" s="47"/>
      <c r="O352" s="62" t="str">
        <f aca="false">IF($B352="","",TEXT($A352,"YYYY-MM-DD")&amp;"|"&amp;$B352)</f>
        <v/>
      </c>
      <c r="P352" s="3"/>
      <c r="Q352" s="3"/>
      <c r="R352" s="3"/>
      <c r="S352" s="3"/>
      <c r="T352" s="3"/>
      <c r="U352" s="3"/>
      <c r="V352" s="3"/>
      <c r="W352" s="3"/>
      <c r="X352" s="3"/>
      <c r="Y352" s="3"/>
      <c r="Z352" s="3"/>
      <c r="AA352" s="3"/>
      <c r="AB352" s="3"/>
    </row>
    <row r="353" customFormat="false" ht="15" hidden="false" customHeight="false" outlineLevel="0" collapsed="false">
      <c r="A353" s="54"/>
      <c r="B353" s="52"/>
      <c r="C353" s="56"/>
      <c r="D353" s="56"/>
      <c r="E353" s="56"/>
      <c r="F353" s="56"/>
      <c r="G353" s="55"/>
      <c r="H353" s="56"/>
      <c r="I353" s="56"/>
      <c r="J353" s="56"/>
      <c r="K353" s="56"/>
      <c r="L353" s="56"/>
      <c r="M353" s="52"/>
      <c r="N353" s="53"/>
      <c r="O353" s="62" t="str">
        <f aca="false">IF($B353="","",TEXT($A353,"YYYY-MM-DD")&amp;"|"&amp;$B353)</f>
        <v/>
      </c>
      <c r="P353" s="3"/>
      <c r="Q353" s="3"/>
      <c r="R353" s="3"/>
      <c r="S353" s="3"/>
      <c r="T353" s="3"/>
      <c r="U353" s="3"/>
      <c r="V353" s="3"/>
      <c r="W353" s="3"/>
      <c r="X353" s="3"/>
      <c r="Y353" s="3"/>
      <c r="Z353" s="3"/>
      <c r="AA353" s="3"/>
      <c r="AB353" s="3"/>
    </row>
    <row r="354" customFormat="false" ht="15" hidden="false" customHeight="false" outlineLevel="0" collapsed="false">
      <c r="A354" s="48"/>
      <c r="B354" s="46"/>
      <c r="C354" s="50"/>
      <c r="D354" s="50"/>
      <c r="E354" s="50"/>
      <c r="F354" s="50"/>
      <c r="G354" s="49"/>
      <c r="H354" s="50"/>
      <c r="I354" s="50"/>
      <c r="J354" s="50"/>
      <c r="K354" s="50"/>
      <c r="L354" s="50"/>
      <c r="M354" s="46"/>
      <c r="N354" s="47"/>
      <c r="O354" s="62" t="str">
        <f aca="false">IF($B354="","",TEXT($A354,"YYYY-MM-DD")&amp;"|"&amp;$B354)</f>
        <v/>
      </c>
      <c r="P354" s="3"/>
      <c r="Q354" s="3"/>
      <c r="R354" s="3"/>
      <c r="S354" s="3"/>
      <c r="T354" s="3"/>
      <c r="U354" s="3"/>
      <c r="V354" s="3"/>
      <c r="W354" s="3"/>
      <c r="X354" s="3"/>
      <c r="Y354" s="3"/>
      <c r="Z354" s="3"/>
      <c r="AA354" s="3"/>
      <c r="AB354" s="3"/>
    </row>
    <row r="355" customFormat="false" ht="15" hidden="false" customHeight="false" outlineLevel="0" collapsed="false">
      <c r="A355" s="54"/>
      <c r="B355" s="52"/>
      <c r="C355" s="56"/>
      <c r="D355" s="56"/>
      <c r="E355" s="56"/>
      <c r="F355" s="56"/>
      <c r="G355" s="55"/>
      <c r="H355" s="56"/>
      <c r="I355" s="56"/>
      <c r="J355" s="56"/>
      <c r="K355" s="56"/>
      <c r="L355" s="56"/>
      <c r="M355" s="52"/>
      <c r="N355" s="53"/>
      <c r="O355" s="62" t="str">
        <f aca="false">IF($B355="","",TEXT($A355,"YYYY-MM-DD")&amp;"|"&amp;$B355)</f>
        <v/>
      </c>
      <c r="P355" s="3"/>
      <c r="Q355" s="3"/>
      <c r="R355" s="3"/>
      <c r="S355" s="3"/>
      <c r="T355" s="3"/>
      <c r="U355" s="3"/>
      <c r="V355" s="3"/>
      <c r="W355" s="3"/>
      <c r="X355" s="3"/>
      <c r="Y355" s="3"/>
      <c r="Z355" s="3"/>
      <c r="AA355" s="3"/>
      <c r="AB355" s="3"/>
    </row>
    <row r="356" customFormat="false" ht="15" hidden="false" customHeight="false" outlineLevel="0" collapsed="false">
      <c r="A356" s="48"/>
      <c r="B356" s="46"/>
      <c r="C356" s="50"/>
      <c r="D356" s="50"/>
      <c r="E356" s="50"/>
      <c r="F356" s="50"/>
      <c r="G356" s="49"/>
      <c r="H356" s="50"/>
      <c r="I356" s="50"/>
      <c r="J356" s="50"/>
      <c r="K356" s="50"/>
      <c r="L356" s="50"/>
      <c r="M356" s="46"/>
      <c r="N356" s="47"/>
      <c r="O356" s="62" t="str">
        <f aca="false">IF($B356="","",TEXT($A356,"YYYY-MM-DD")&amp;"|"&amp;$B356)</f>
        <v/>
      </c>
      <c r="P356" s="3"/>
      <c r="Q356" s="3"/>
      <c r="R356" s="3"/>
      <c r="S356" s="3"/>
      <c r="T356" s="3"/>
      <c r="U356" s="3"/>
      <c r="V356" s="3"/>
      <c r="W356" s="3"/>
      <c r="X356" s="3"/>
      <c r="Y356" s="3"/>
      <c r="Z356" s="3"/>
      <c r="AA356" s="3"/>
      <c r="AB356" s="3"/>
    </row>
    <row r="357" customFormat="false" ht="15" hidden="false" customHeight="false" outlineLevel="0" collapsed="false">
      <c r="A357" s="54"/>
      <c r="B357" s="52"/>
      <c r="C357" s="56"/>
      <c r="D357" s="56"/>
      <c r="E357" s="56"/>
      <c r="F357" s="56"/>
      <c r="G357" s="55"/>
      <c r="H357" s="56"/>
      <c r="I357" s="56"/>
      <c r="J357" s="56"/>
      <c r="K357" s="56"/>
      <c r="L357" s="56"/>
      <c r="M357" s="52"/>
      <c r="N357" s="53"/>
      <c r="O357" s="62" t="str">
        <f aca="false">IF($B357="","",TEXT($A357,"YYYY-MM-DD")&amp;"|"&amp;$B357)</f>
        <v/>
      </c>
      <c r="P357" s="3"/>
      <c r="Q357" s="3"/>
      <c r="R357" s="3"/>
      <c r="S357" s="3"/>
      <c r="T357" s="3"/>
      <c r="U357" s="3"/>
      <c r="V357" s="3"/>
      <c r="W357" s="3"/>
      <c r="X357" s="3"/>
      <c r="Y357" s="3"/>
      <c r="Z357" s="3"/>
      <c r="AA357" s="3"/>
      <c r="AB357" s="3"/>
    </row>
    <row r="358" customFormat="false" ht="15" hidden="false" customHeight="false" outlineLevel="0" collapsed="false">
      <c r="A358" s="48"/>
      <c r="B358" s="46"/>
      <c r="C358" s="50"/>
      <c r="D358" s="50"/>
      <c r="E358" s="50"/>
      <c r="F358" s="50"/>
      <c r="G358" s="49"/>
      <c r="H358" s="50"/>
      <c r="I358" s="50"/>
      <c r="J358" s="50"/>
      <c r="K358" s="50"/>
      <c r="L358" s="50"/>
      <c r="M358" s="46"/>
      <c r="N358" s="47"/>
      <c r="O358" s="62" t="str">
        <f aca="false">IF($B358="","",TEXT($A358,"YYYY-MM-DD")&amp;"|"&amp;$B358)</f>
        <v/>
      </c>
      <c r="P358" s="3"/>
      <c r="Q358" s="3"/>
      <c r="R358" s="3"/>
      <c r="S358" s="3"/>
      <c r="T358" s="3"/>
      <c r="U358" s="3"/>
      <c r="V358" s="3"/>
      <c r="W358" s="3"/>
      <c r="X358" s="3"/>
      <c r="Y358" s="3"/>
      <c r="Z358" s="3"/>
      <c r="AA358" s="3"/>
      <c r="AB358" s="3"/>
    </row>
    <row r="359" customFormat="false" ht="15" hidden="false" customHeight="false" outlineLevel="0" collapsed="false">
      <c r="A359" s="54"/>
      <c r="B359" s="52"/>
      <c r="C359" s="56"/>
      <c r="D359" s="56"/>
      <c r="E359" s="56"/>
      <c r="F359" s="56"/>
      <c r="G359" s="55"/>
      <c r="H359" s="56"/>
      <c r="I359" s="56"/>
      <c r="J359" s="56"/>
      <c r="K359" s="56"/>
      <c r="L359" s="56"/>
      <c r="M359" s="52"/>
      <c r="N359" s="53"/>
      <c r="O359" s="62" t="str">
        <f aca="false">IF($B359="","",TEXT($A359,"YYYY-MM-DD")&amp;"|"&amp;$B359)</f>
        <v/>
      </c>
      <c r="P359" s="3"/>
      <c r="Q359" s="3"/>
      <c r="R359" s="3"/>
      <c r="S359" s="3"/>
      <c r="T359" s="3"/>
      <c r="U359" s="3"/>
      <c r="V359" s="3"/>
      <c r="W359" s="3"/>
      <c r="X359" s="3"/>
      <c r="Y359" s="3"/>
      <c r="Z359" s="3"/>
      <c r="AA359" s="3"/>
      <c r="AB359" s="3"/>
    </row>
    <row r="360" customFormat="false" ht="15" hidden="false" customHeight="false" outlineLevel="0" collapsed="false">
      <c r="A360" s="48"/>
      <c r="B360" s="46"/>
      <c r="C360" s="50"/>
      <c r="D360" s="50"/>
      <c r="E360" s="50"/>
      <c r="F360" s="50"/>
      <c r="G360" s="49"/>
      <c r="H360" s="50"/>
      <c r="I360" s="50"/>
      <c r="J360" s="50"/>
      <c r="K360" s="50"/>
      <c r="L360" s="50"/>
      <c r="M360" s="46"/>
      <c r="N360" s="47"/>
      <c r="O360" s="62" t="str">
        <f aca="false">IF($B360="","",TEXT($A360,"YYYY-MM-DD")&amp;"|"&amp;$B360)</f>
        <v/>
      </c>
      <c r="P360" s="3"/>
      <c r="Q360" s="3"/>
      <c r="R360" s="3"/>
      <c r="S360" s="3"/>
      <c r="T360" s="3"/>
      <c r="U360" s="3"/>
      <c r="V360" s="3"/>
      <c r="W360" s="3"/>
      <c r="X360" s="3"/>
      <c r="Y360" s="3"/>
      <c r="Z360" s="3"/>
      <c r="AA360" s="3"/>
      <c r="AB360" s="3"/>
    </row>
    <row r="361" customFormat="false" ht="15" hidden="false" customHeight="false" outlineLevel="0" collapsed="false">
      <c r="A361" s="54"/>
      <c r="B361" s="52"/>
      <c r="C361" s="56"/>
      <c r="D361" s="56"/>
      <c r="E361" s="56"/>
      <c r="F361" s="56"/>
      <c r="G361" s="55"/>
      <c r="H361" s="56"/>
      <c r="I361" s="56"/>
      <c r="J361" s="56"/>
      <c r="K361" s="56"/>
      <c r="L361" s="56"/>
      <c r="M361" s="52"/>
      <c r="N361" s="53"/>
      <c r="O361" s="62" t="str">
        <f aca="false">IF($B361="","",TEXT($A361,"YYYY-MM-DD")&amp;"|"&amp;$B361)</f>
        <v/>
      </c>
      <c r="P361" s="3"/>
      <c r="Q361" s="3"/>
      <c r="R361" s="3"/>
      <c r="S361" s="3"/>
      <c r="T361" s="3"/>
      <c r="U361" s="3"/>
      <c r="V361" s="3"/>
      <c r="W361" s="3"/>
      <c r="X361" s="3"/>
      <c r="Y361" s="3"/>
      <c r="Z361" s="3"/>
      <c r="AA361" s="3"/>
      <c r="AB361" s="3"/>
    </row>
    <row r="362" customFormat="false" ht="15" hidden="false" customHeight="false" outlineLevel="0" collapsed="false">
      <c r="A362" s="48"/>
      <c r="B362" s="46"/>
      <c r="C362" s="50"/>
      <c r="D362" s="50"/>
      <c r="E362" s="50"/>
      <c r="F362" s="50"/>
      <c r="G362" s="49"/>
      <c r="H362" s="50"/>
      <c r="I362" s="50"/>
      <c r="J362" s="50"/>
      <c r="K362" s="50"/>
      <c r="L362" s="50"/>
      <c r="M362" s="46"/>
      <c r="N362" s="47"/>
      <c r="O362" s="62" t="str">
        <f aca="false">IF($B362="","",TEXT($A362,"YYYY-MM-DD")&amp;"|"&amp;$B362)</f>
        <v/>
      </c>
      <c r="P362" s="3"/>
      <c r="Q362" s="3"/>
      <c r="R362" s="3"/>
      <c r="S362" s="3"/>
      <c r="T362" s="3"/>
      <c r="U362" s="3"/>
      <c r="V362" s="3"/>
      <c r="W362" s="3"/>
      <c r="X362" s="3"/>
      <c r="Y362" s="3"/>
      <c r="Z362" s="3"/>
      <c r="AA362" s="3"/>
      <c r="AB362" s="3"/>
    </row>
    <row r="363" customFormat="false" ht="15" hidden="false" customHeight="false" outlineLevel="0" collapsed="false">
      <c r="A363" s="54"/>
      <c r="B363" s="52"/>
      <c r="C363" s="56"/>
      <c r="D363" s="56"/>
      <c r="E363" s="56"/>
      <c r="F363" s="56"/>
      <c r="G363" s="55"/>
      <c r="H363" s="56"/>
      <c r="I363" s="56"/>
      <c r="J363" s="56"/>
      <c r="K363" s="56"/>
      <c r="L363" s="56"/>
      <c r="M363" s="52"/>
      <c r="N363" s="53"/>
      <c r="O363" s="62" t="str">
        <f aca="false">IF($B363="","",TEXT($A363,"YYYY-MM-DD")&amp;"|"&amp;$B363)</f>
        <v/>
      </c>
      <c r="P363" s="3"/>
      <c r="Q363" s="3"/>
      <c r="R363" s="3"/>
      <c r="S363" s="3"/>
      <c r="T363" s="3"/>
      <c r="U363" s="3"/>
      <c r="V363" s="3"/>
      <c r="W363" s="3"/>
      <c r="X363" s="3"/>
      <c r="Y363" s="3"/>
      <c r="Z363" s="3"/>
      <c r="AA363" s="3"/>
      <c r="AB363" s="3"/>
    </row>
    <row r="364" customFormat="false" ht="15" hidden="false" customHeight="false" outlineLevel="0" collapsed="false">
      <c r="A364" s="48"/>
      <c r="B364" s="46"/>
      <c r="C364" s="50"/>
      <c r="D364" s="50"/>
      <c r="E364" s="50"/>
      <c r="F364" s="50"/>
      <c r="G364" s="49"/>
      <c r="H364" s="50"/>
      <c r="I364" s="50"/>
      <c r="J364" s="50"/>
      <c r="K364" s="50"/>
      <c r="L364" s="50"/>
      <c r="M364" s="46"/>
      <c r="N364" s="47"/>
      <c r="O364" s="62" t="str">
        <f aca="false">IF($B364="","",TEXT($A364,"YYYY-MM-DD")&amp;"|"&amp;$B364)</f>
        <v/>
      </c>
      <c r="P364" s="3"/>
      <c r="Q364" s="3"/>
      <c r="R364" s="3"/>
      <c r="S364" s="3"/>
      <c r="T364" s="3"/>
      <c r="U364" s="3"/>
      <c r="V364" s="3"/>
      <c r="W364" s="3"/>
      <c r="X364" s="3"/>
      <c r="Y364" s="3"/>
      <c r="Z364" s="3"/>
      <c r="AA364" s="3"/>
      <c r="AB364" s="3"/>
    </row>
    <row r="365" customFormat="false" ht="15" hidden="false" customHeight="false" outlineLevel="0" collapsed="false">
      <c r="A365" s="54"/>
      <c r="B365" s="52"/>
      <c r="C365" s="56"/>
      <c r="D365" s="56"/>
      <c r="E365" s="56"/>
      <c r="F365" s="56"/>
      <c r="G365" s="55"/>
      <c r="H365" s="56"/>
      <c r="I365" s="56"/>
      <c r="J365" s="56"/>
      <c r="K365" s="56"/>
      <c r="L365" s="56"/>
      <c r="M365" s="52"/>
      <c r="N365" s="53"/>
      <c r="O365" s="62" t="str">
        <f aca="false">IF($B365="","",TEXT($A365,"YYYY-MM-DD")&amp;"|"&amp;$B365)</f>
        <v/>
      </c>
      <c r="P365" s="3"/>
      <c r="Q365" s="3"/>
      <c r="R365" s="3"/>
      <c r="S365" s="3"/>
      <c r="T365" s="3"/>
      <c r="U365" s="3"/>
      <c r="V365" s="3"/>
      <c r="W365" s="3"/>
      <c r="X365" s="3"/>
      <c r="Y365" s="3"/>
      <c r="Z365" s="3"/>
      <c r="AA365" s="3"/>
      <c r="AB365" s="3"/>
    </row>
    <row r="366" customFormat="false" ht="15" hidden="false" customHeight="false" outlineLevel="0" collapsed="false">
      <c r="A366" s="48"/>
      <c r="B366" s="46"/>
      <c r="C366" s="50"/>
      <c r="D366" s="50"/>
      <c r="E366" s="50"/>
      <c r="F366" s="50"/>
      <c r="G366" s="49"/>
      <c r="H366" s="50"/>
      <c r="I366" s="50"/>
      <c r="J366" s="50"/>
      <c r="K366" s="50"/>
      <c r="L366" s="50"/>
      <c r="M366" s="46"/>
      <c r="N366" s="47"/>
      <c r="O366" s="62" t="str">
        <f aca="false">IF($B366="","",TEXT($A366,"YYYY-MM-DD")&amp;"|"&amp;$B366)</f>
        <v/>
      </c>
      <c r="P366" s="3"/>
      <c r="Q366" s="3"/>
      <c r="R366" s="3"/>
      <c r="S366" s="3"/>
      <c r="T366" s="3"/>
      <c r="U366" s="3"/>
      <c r="V366" s="3"/>
      <c r="W366" s="3"/>
      <c r="X366" s="3"/>
      <c r="Y366" s="3"/>
      <c r="Z366" s="3"/>
      <c r="AA366" s="3"/>
      <c r="AB366" s="3"/>
    </row>
    <row r="367" customFormat="false" ht="15" hidden="false" customHeight="false" outlineLevel="0" collapsed="false">
      <c r="A367" s="54"/>
      <c r="B367" s="52"/>
      <c r="C367" s="56"/>
      <c r="D367" s="56"/>
      <c r="E367" s="56"/>
      <c r="F367" s="56"/>
      <c r="G367" s="55"/>
      <c r="H367" s="56"/>
      <c r="I367" s="56"/>
      <c r="J367" s="56"/>
      <c r="K367" s="56"/>
      <c r="L367" s="56"/>
      <c r="M367" s="52"/>
      <c r="N367" s="53"/>
      <c r="O367" s="62" t="str">
        <f aca="false">IF($B367="","",TEXT($A367,"YYYY-MM-DD")&amp;"|"&amp;$B367)</f>
        <v/>
      </c>
      <c r="P367" s="3"/>
      <c r="Q367" s="3"/>
      <c r="R367" s="3"/>
      <c r="S367" s="3"/>
      <c r="T367" s="3"/>
      <c r="U367" s="3"/>
      <c r="V367" s="3"/>
      <c r="W367" s="3"/>
      <c r="X367" s="3"/>
      <c r="Y367" s="3"/>
      <c r="Z367" s="3"/>
      <c r="AA367" s="3"/>
      <c r="AB367" s="3"/>
    </row>
    <row r="368" customFormat="false" ht="15" hidden="false" customHeight="false" outlineLevel="0" collapsed="false">
      <c r="A368" s="48"/>
      <c r="B368" s="46"/>
      <c r="C368" s="50"/>
      <c r="D368" s="50"/>
      <c r="E368" s="50"/>
      <c r="F368" s="50"/>
      <c r="G368" s="49"/>
      <c r="H368" s="50"/>
      <c r="I368" s="50"/>
      <c r="J368" s="50"/>
      <c r="K368" s="50"/>
      <c r="L368" s="50"/>
      <c r="M368" s="46"/>
      <c r="N368" s="47"/>
      <c r="O368" s="62" t="str">
        <f aca="false">IF($B368="","",TEXT($A368,"YYYY-MM-DD")&amp;"|"&amp;$B368)</f>
        <v/>
      </c>
      <c r="P368" s="3"/>
      <c r="Q368" s="3"/>
      <c r="R368" s="3"/>
      <c r="S368" s="3"/>
      <c r="T368" s="3"/>
      <c r="U368" s="3"/>
      <c r="V368" s="3"/>
      <c r="W368" s="3"/>
      <c r="X368" s="3"/>
      <c r="Y368" s="3"/>
      <c r="Z368" s="3"/>
      <c r="AA368" s="3"/>
      <c r="AB368" s="3"/>
    </row>
    <row r="369" customFormat="false" ht="15" hidden="false" customHeight="false" outlineLevel="0" collapsed="false">
      <c r="A369" s="54"/>
      <c r="B369" s="52"/>
      <c r="C369" s="56"/>
      <c r="D369" s="56"/>
      <c r="E369" s="56"/>
      <c r="F369" s="56"/>
      <c r="G369" s="55"/>
      <c r="H369" s="56"/>
      <c r="I369" s="56"/>
      <c r="J369" s="56"/>
      <c r="K369" s="56"/>
      <c r="L369" s="56"/>
      <c r="M369" s="52"/>
      <c r="N369" s="53"/>
      <c r="O369" s="62" t="str">
        <f aca="false">IF($B369="","",TEXT($A369,"YYYY-MM-DD")&amp;"|"&amp;$B369)</f>
        <v/>
      </c>
      <c r="P369" s="3"/>
      <c r="Q369" s="3"/>
      <c r="R369" s="3"/>
      <c r="S369" s="3"/>
      <c r="T369" s="3"/>
      <c r="U369" s="3"/>
      <c r="V369" s="3"/>
      <c r="W369" s="3"/>
      <c r="X369" s="3"/>
      <c r="Y369" s="3"/>
      <c r="Z369" s="3"/>
      <c r="AA369" s="3"/>
      <c r="AB369" s="3"/>
    </row>
    <row r="370" customFormat="false" ht="15" hidden="false" customHeight="false" outlineLevel="0" collapsed="false">
      <c r="A370" s="48"/>
      <c r="B370" s="46"/>
      <c r="C370" s="50"/>
      <c r="D370" s="50"/>
      <c r="E370" s="50"/>
      <c r="F370" s="50"/>
      <c r="G370" s="49"/>
      <c r="H370" s="50"/>
      <c r="I370" s="50"/>
      <c r="J370" s="50"/>
      <c r="K370" s="50"/>
      <c r="L370" s="50"/>
      <c r="M370" s="46"/>
      <c r="N370" s="47"/>
      <c r="O370" s="62" t="str">
        <f aca="false">IF($B370="","",TEXT($A370,"YYYY-MM-DD")&amp;"|"&amp;$B370)</f>
        <v/>
      </c>
      <c r="P370" s="3"/>
      <c r="Q370" s="3"/>
      <c r="R370" s="3"/>
      <c r="S370" s="3"/>
      <c r="T370" s="3"/>
      <c r="U370" s="3"/>
      <c r="V370" s="3"/>
      <c r="W370" s="3"/>
      <c r="X370" s="3"/>
      <c r="Y370" s="3"/>
      <c r="Z370" s="3"/>
      <c r="AA370" s="3"/>
      <c r="AB370" s="3"/>
    </row>
    <row r="371" customFormat="false" ht="15" hidden="false" customHeight="false" outlineLevel="0" collapsed="false">
      <c r="A371" s="54"/>
      <c r="B371" s="52"/>
      <c r="C371" s="56"/>
      <c r="D371" s="56"/>
      <c r="E371" s="56"/>
      <c r="F371" s="56"/>
      <c r="G371" s="55"/>
      <c r="H371" s="56"/>
      <c r="I371" s="56"/>
      <c r="J371" s="56"/>
      <c r="K371" s="56"/>
      <c r="L371" s="56"/>
      <c r="M371" s="52"/>
      <c r="N371" s="53"/>
      <c r="O371" s="62" t="str">
        <f aca="false">IF($B371="","",TEXT($A371,"YYYY-MM-DD")&amp;"|"&amp;$B371)</f>
        <v/>
      </c>
      <c r="P371" s="3"/>
      <c r="Q371" s="3"/>
      <c r="R371" s="3"/>
      <c r="S371" s="3"/>
      <c r="T371" s="3"/>
      <c r="U371" s="3"/>
      <c r="V371" s="3"/>
      <c r="W371" s="3"/>
      <c r="X371" s="3"/>
      <c r="Y371" s="3"/>
      <c r="Z371" s="3"/>
      <c r="AA371" s="3"/>
      <c r="AB371" s="3"/>
    </row>
    <row r="372" customFormat="false" ht="15" hidden="false" customHeight="false" outlineLevel="0" collapsed="false">
      <c r="A372" s="48"/>
      <c r="B372" s="46"/>
      <c r="C372" s="50"/>
      <c r="D372" s="50"/>
      <c r="E372" s="50"/>
      <c r="F372" s="50"/>
      <c r="G372" s="49"/>
      <c r="H372" s="50"/>
      <c r="I372" s="50"/>
      <c r="J372" s="50"/>
      <c r="K372" s="50"/>
      <c r="L372" s="50"/>
      <c r="M372" s="46"/>
      <c r="N372" s="47"/>
      <c r="O372" s="62" t="str">
        <f aca="false">IF($B372="","",TEXT($A372,"YYYY-MM-DD")&amp;"|"&amp;$B372)</f>
        <v/>
      </c>
      <c r="P372" s="3"/>
      <c r="Q372" s="3"/>
      <c r="R372" s="3"/>
      <c r="S372" s="3"/>
      <c r="T372" s="3"/>
      <c r="U372" s="3"/>
      <c r="V372" s="3"/>
      <c r="W372" s="3"/>
      <c r="X372" s="3"/>
      <c r="Y372" s="3"/>
      <c r="Z372" s="3"/>
      <c r="AA372" s="3"/>
      <c r="AB372" s="3"/>
    </row>
    <row r="373" customFormat="false" ht="15" hidden="false" customHeight="false" outlineLevel="0" collapsed="false">
      <c r="A373" s="54"/>
      <c r="B373" s="52"/>
      <c r="C373" s="56"/>
      <c r="D373" s="56"/>
      <c r="E373" s="56"/>
      <c r="F373" s="56"/>
      <c r="G373" s="55"/>
      <c r="H373" s="56"/>
      <c r="I373" s="56"/>
      <c r="J373" s="56"/>
      <c r="K373" s="56"/>
      <c r="L373" s="56"/>
      <c r="M373" s="52"/>
      <c r="N373" s="53"/>
      <c r="O373" s="62" t="str">
        <f aca="false">IF($B373="","",TEXT($A373,"YYYY-MM-DD")&amp;"|"&amp;$B373)</f>
        <v/>
      </c>
      <c r="P373" s="3"/>
      <c r="Q373" s="3"/>
      <c r="R373" s="3"/>
      <c r="S373" s="3"/>
      <c r="T373" s="3"/>
      <c r="U373" s="3"/>
      <c r="V373" s="3"/>
      <c r="W373" s="3"/>
      <c r="X373" s="3"/>
      <c r="Y373" s="3"/>
      <c r="Z373" s="3"/>
      <c r="AA373" s="3"/>
      <c r="AB373" s="3"/>
    </row>
    <row r="374" customFormat="false" ht="15" hidden="false" customHeight="false" outlineLevel="0" collapsed="false">
      <c r="A374" s="48"/>
      <c r="B374" s="46"/>
      <c r="C374" s="50"/>
      <c r="D374" s="50"/>
      <c r="E374" s="50"/>
      <c r="F374" s="50"/>
      <c r="G374" s="49"/>
      <c r="H374" s="50"/>
      <c r="I374" s="50"/>
      <c r="J374" s="50"/>
      <c r="K374" s="50"/>
      <c r="L374" s="50"/>
      <c r="M374" s="46"/>
      <c r="N374" s="47"/>
      <c r="O374" s="62" t="str">
        <f aca="false">IF($B374="","",TEXT($A374,"YYYY-MM-DD")&amp;"|"&amp;$B374)</f>
        <v/>
      </c>
      <c r="P374" s="3"/>
      <c r="Q374" s="3"/>
      <c r="R374" s="3"/>
      <c r="S374" s="3"/>
      <c r="T374" s="3"/>
      <c r="U374" s="3"/>
      <c r="V374" s="3"/>
      <c r="W374" s="3"/>
      <c r="X374" s="3"/>
      <c r="Y374" s="3"/>
      <c r="Z374" s="3"/>
      <c r="AA374" s="3"/>
      <c r="AB374" s="3"/>
    </row>
    <row r="375" customFormat="false" ht="15" hidden="false" customHeight="false" outlineLevel="0" collapsed="false">
      <c r="A375" s="54"/>
      <c r="B375" s="52"/>
      <c r="C375" s="56"/>
      <c r="D375" s="56"/>
      <c r="E375" s="56"/>
      <c r="F375" s="56"/>
      <c r="G375" s="55"/>
      <c r="H375" s="56"/>
      <c r="I375" s="56"/>
      <c r="J375" s="56"/>
      <c r="K375" s="56"/>
      <c r="L375" s="56"/>
      <c r="M375" s="52"/>
      <c r="N375" s="53"/>
      <c r="O375" s="62" t="str">
        <f aca="false">IF($B375="","",TEXT($A375,"YYYY-MM-DD")&amp;"|"&amp;$B375)</f>
        <v/>
      </c>
      <c r="P375" s="3"/>
      <c r="Q375" s="3"/>
      <c r="R375" s="3"/>
      <c r="S375" s="3"/>
      <c r="T375" s="3"/>
      <c r="U375" s="3"/>
      <c r="V375" s="3"/>
      <c r="W375" s="3"/>
      <c r="X375" s="3"/>
      <c r="Y375" s="3"/>
      <c r="Z375" s="3"/>
      <c r="AA375" s="3"/>
      <c r="AB375" s="3"/>
    </row>
    <row r="376" customFormat="false" ht="15" hidden="false" customHeight="false" outlineLevel="0" collapsed="false">
      <c r="A376" s="48"/>
      <c r="B376" s="46"/>
      <c r="C376" s="50"/>
      <c r="D376" s="50"/>
      <c r="E376" s="50"/>
      <c r="F376" s="50"/>
      <c r="G376" s="49"/>
      <c r="H376" s="50"/>
      <c r="I376" s="50"/>
      <c r="J376" s="50"/>
      <c r="K376" s="50"/>
      <c r="L376" s="50"/>
      <c r="M376" s="46"/>
      <c r="N376" s="47"/>
      <c r="O376" s="62" t="str">
        <f aca="false">IF($B376="","",TEXT($A376,"YYYY-MM-DD")&amp;"|"&amp;$B376)</f>
        <v/>
      </c>
      <c r="P376" s="3"/>
      <c r="Q376" s="3"/>
      <c r="R376" s="3"/>
      <c r="S376" s="3"/>
      <c r="T376" s="3"/>
      <c r="U376" s="3"/>
      <c r="V376" s="3"/>
      <c r="W376" s="3"/>
      <c r="X376" s="3"/>
      <c r="Y376" s="3"/>
      <c r="Z376" s="3"/>
      <c r="AA376" s="3"/>
      <c r="AB376" s="3"/>
    </row>
    <row r="377" customFormat="false" ht="15" hidden="false" customHeight="false" outlineLevel="0" collapsed="false">
      <c r="A377" s="54"/>
      <c r="B377" s="52"/>
      <c r="C377" s="56"/>
      <c r="D377" s="56"/>
      <c r="E377" s="56"/>
      <c r="F377" s="56"/>
      <c r="G377" s="55"/>
      <c r="H377" s="56"/>
      <c r="I377" s="56"/>
      <c r="J377" s="56"/>
      <c r="K377" s="56"/>
      <c r="L377" s="56"/>
      <c r="M377" s="52"/>
      <c r="N377" s="53"/>
      <c r="O377" s="62" t="str">
        <f aca="false">IF($B377="","",TEXT($A377,"YYYY-MM-DD")&amp;"|"&amp;$B377)</f>
        <v/>
      </c>
      <c r="P377" s="3"/>
      <c r="Q377" s="3"/>
      <c r="R377" s="3"/>
      <c r="S377" s="3"/>
      <c r="T377" s="3"/>
      <c r="U377" s="3"/>
      <c r="V377" s="3"/>
      <c r="W377" s="3"/>
      <c r="X377" s="3"/>
      <c r="Y377" s="3"/>
      <c r="Z377" s="3"/>
      <c r="AA377" s="3"/>
      <c r="AB377" s="3"/>
    </row>
    <row r="378" customFormat="false" ht="15" hidden="false" customHeight="false" outlineLevel="0" collapsed="false">
      <c r="A378" s="48"/>
      <c r="B378" s="46"/>
      <c r="C378" s="50"/>
      <c r="D378" s="50"/>
      <c r="E378" s="50"/>
      <c r="F378" s="50"/>
      <c r="G378" s="49"/>
      <c r="H378" s="50"/>
      <c r="I378" s="50"/>
      <c r="J378" s="50"/>
      <c r="K378" s="50"/>
      <c r="L378" s="50"/>
      <c r="M378" s="46"/>
      <c r="N378" s="47"/>
      <c r="O378" s="62" t="str">
        <f aca="false">IF($B378="","",TEXT($A378,"YYYY-MM-DD")&amp;"|"&amp;$B378)</f>
        <v/>
      </c>
      <c r="P378" s="3"/>
      <c r="Q378" s="3"/>
      <c r="R378" s="3"/>
      <c r="S378" s="3"/>
      <c r="T378" s="3"/>
      <c r="U378" s="3"/>
      <c r="V378" s="3"/>
      <c r="W378" s="3"/>
      <c r="X378" s="3"/>
      <c r="Y378" s="3"/>
      <c r="Z378" s="3"/>
      <c r="AA378" s="3"/>
      <c r="AB378" s="3"/>
    </row>
    <row r="379" customFormat="false" ht="15" hidden="false" customHeight="false" outlineLevel="0" collapsed="false">
      <c r="A379" s="54"/>
      <c r="B379" s="52"/>
      <c r="C379" s="56"/>
      <c r="D379" s="56"/>
      <c r="E379" s="56"/>
      <c r="F379" s="56"/>
      <c r="G379" s="55"/>
      <c r="H379" s="56"/>
      <c r="I379" s="56"/>
      <c r="J379" s="56"/>
      <c r="K379" s="56"/>
      <c r="L379" s="56"/>
      <c r="M379" s="52"/>
      <c r="N379" s="53"/>
      <c r="O379" s="62" t="str">
        <f aca="false">IF($B379="","",TEXT($A379,"YYYY-MM-DD")&amp;"|"&amp;$B379)</f>
        <v/>
      </c>
      <c r="P379" s="3"/>
      <c r="Q379" s="3"/>
      <c r="R379" s="3"/>
      <c r="S379" s="3"/>
      <c r="T379" s="3"/>
      <c r="U379" s="3"/>
      <c r="V379" s="3"/>
      <c r="W379" s="3"/>
      <c r="X379" s="3"/>
      <c r="Y379" s="3"/>
      <c r="Z379" s="3"/>
      <c r="AA379" s="3"/>
      <c r="AB379" s="3"/>
    </row>
    <row r="380" customFormat="false" ht="15" hidden="false" customHeight="false" outlineLevel="0" collapsed="false">
      <c r="A380" s="48"/>
      <c r="B380" s="46"/>
      <c r="C380" s="50"/>
      <c r="D380" s="50"/>
      <c r="E380" s="50"/>
      <c r="F380" s="50"/>
      <c r="G380" s="49"/>
      <c r="H380" s="50"/>
      <c r="I380" s="50"/>
      <c r="J380" s="50"/>
      <c r="K380" s="50"/>
      <c r="L380" s="50"/>
      <c r="M380" s="46"/>
      <c r="N380" s="47"/>
      <c r="O380" s="62" t="str">
        <f aca="false">IF($B380="","",TEXT($A380,"YYYY-MM-DD")&amp;"|"&amp;$B380)</f>
        <v/>
      </c>
      <c r="P380" s="3"/>
      <c r="Q380" s="3"/>
      <c r="R380" s="3"/>
      <c r="S380" s="3"/>
      <c r="T380" s="3"/>
      <c r="U380" s="3"/>
      <c r="V380" s="3"/>
      <c r="W380" s="3"/>
      <c r="X380" s="3"/>
      <c r="Y380" s="3"/>
      <c r="Z380" s="3"/>
      <c r="AA380" s="3"/>
      <c r="AB380" s="3"/>
    </row>
    <row r="381" customFormat="false" ht="15" hidden="false" customHeight="false" outlineLevel="0" collapsed="false">
      <c r="A381" s="54"/>
      <c r="B381" s="52"/>
      <c r="C381" s="56"/>
      <c r="D381" s="56"/>
      <c r="E381" s="56"/>
      <c r="F381" s="56"/>
      <c r="G381" s="55"/>
      <c r="H381" s="56"/>
      <c r="I381" s="56"/>
      <c r="J381" s="56"/>
      <c r="K381" s="56"/>
      <c r="L381" s="56"/>
      <c r="M381" s="52"/>
      <c r="N381" s="53"/>
      <c r="O381" s="62" t="str">
        <f aca="false">IF($B381="","",TEXT($A381,"YYYY-MM-DD")&amp;"|"&amp;$B381)</f>
        <v/>
      </c>
      <c r="P381" s="3"/>
      <c r="Q381" s="3"/>
      <c r="R381" s="3"/>
      <c r="S381" s="3"/>
      <c r="T381" s="3"/>
      <c r="U381" s="3"/>
      <c r="V381" s="3"/>
      <c r="W381" s="3"/>
      <c r="X381" s="3"/>
      <c r="Y381" s="3"/>
      <c r="Z381" s="3"/>
      <c r="AA381" s="3"/>
      <c r="AB381" s="3"/>
    </row>
    <row r="382" customFormat="false" ht="15" hidden="false" customHeight="false" outlineLevel="0" collapsed="false">
      <c r="A382" s="48"/>
      <c r="B382" s="46"/>
      <c r="C382" s="50"/>
      <c r="D382" s="50"/>
      <c r="E382" s="50"/>
      <c r="F382" s="50"/>
      <c r="G382" s="49"/>
      <c r="H382" s="50"/>
      <c r="I382" s="50"/>
      <c r="J382" s="50"/>
      <c r="K382" s="50"/>
      <c r="L382" s="50"/>
      <c r="M382" s="46"/>
      <c r="N382" s="47"/>
      <c r="O382" s="62" t="str">
        <f aca="false">IF($B382="","",TEXT($A382,"YYYY-MM-DD")&amp;"|"&amp;$B382)</f>
        <v/>
      </c>
      <c r="P382" s="3"/>
      <c r="Q382" s="3"/>
      <c r="R382" s="3"/>
      <c r="S382" s="3"/>
      <c r="T382" s="3"/>
      <c r="U382" s="3"/>
      <c r="V382" s="3"/>
      <c r="W382" s="3"/>
      <c r="X382" s="3"/>
      <c r="Y382" s="3"/>
      <c r="Z382" s="3"/>
      <c r="AA382" s="3"/>
      <c r="AB382" s="3"/>
    </row>
    <row r="383" customFormat="false" ht="15" hidden="false" customHeight="false" outlineLevel="0" collapsed="false">
      <c r="A383" s="54"/>
      <c r="B383" s="52"/>
      <c r="C383" s="56"/>
      <c r="D383" s="56"/>
      <c r="E383" s="56"/>
      <c r="F383" s="56"/>
      <c r="G383" s="55"/>
      <c r="H383" s="56"/>
      <c r="I383" s="56"/>
      <c r="J383" s="56"/>
      <c r="K383" s="56"/>
      <c r="L383" s="56"/>
      <c r="M383" s="52"/>
      <c r="N383" s="53"/>
      <c r="O383" s="62" t="str">
        <f aca="false">IF($B383="","",TEXT($A383,"YYYY-MM-DD")&amp;"|"&amp;$B383)</f>
        <v/>
      </c>
      <c r="P383" s="3"/>
      <c r="Q383" s="3"/>
      <c r="R383" s="3"/>
      <c r="S383" s="3"/>
      <c r="T383" s="3"/>
      <c r="U383" s="3"/>
      <c r="V383" s="3"/>
      <c r="W383" s="3"/>
      <c r="X383" s="3"/>
      <c r="Y383" s="3"/>
      <c r="Z383" s="3"/>
      <c r="AA383" s="3"/>
      <c r="AB383" s="3"/>
    </row>
    <row r="384" customFormat="false" ht="15" hidden="false" customHeight="false" outlineLevel="0" collapsed="false">
      <c r="A384" s="48"/>
      <c r="B384" s="46"/>
      <c r="C384" s="50"/>
      <c r="D384" s="50"/>
      <c r="E384" s="50"/>
      <c r="F384" s="50"/>
      <c r="G384" s="49"/>
      <c r="H384" s="50"/>
      <c r="I384" s="50"/>
      <c r="J384" s="50"/>
      <c r="K384" s="50"/>
      <c r="L384" s="50"/>
      <c r="M384" s="46"/>
      <c r="N384" s="47"/>
      <c r="O384" s="62" t="str">
        <f aca="false">IF($B384="","",TEXT($A384,"YYYY-MM-DD")&amp;"|"&amp;$B384)</f>
        <v/>
      </c>
      <c r="P384" s="3"/>
      <c r="Q384" s="3"/>
      <c r="R384" s="3"/>
      <c r="S384" s="3"/>
      <c r="T384" s="3"/>
      <c r="U384" s="3"/>
      <c r="V384" s="3"/>
      <c r="W384" s="3"/>
      <c r="X384" s="3"/>
      <c r="Y384" s="3"/>
      <c r="Z384" s="3"/>
      <c r="AA384" s="3"/>
      <c r="AB384" s="3"/>
    </row>
    <row r="385" customFormat="false" ht="15" hidden="false" customHeight="false" outlineLevel="0" collapsed="false">
      <c r="A385" s="54"/>
      <c r="B385" s="52"/>
      <c r="C385" s="56"/>
      <c r="D385" s="56"/>
      <c r="E385" s="56"/>
      <c r="F385" s="56"/>
      <c r="G385" s="55"/>
      <c r="H385" s="56"/>
      <c r="I385" s="56"/>
      <c r="J385" s="56"/>
      <c r="K385" s="56"/>
      <c r="L385" s="56"/>
      <c r="M385" s="52"/>
      <c r="N385" s="53"/>
      <c r="O385" s="62" t="str">
        <f aca="false">IF($B385="","",TEXT($A385,"YYYY-MM-DD")&amp;"|"&amp;$B385)</f>
        <v/>
      </c>
      <c r="P385" s="3"/>
      <c r="Q385" s="3"/>
      <c r="R385" s="3"/>
      <c r="S385" s="3"/>
      <c r="T385" s="3"/>
      <c r="U385" s="3"/>
      <c r="V385" s="3"/>
      <c r="W385" s="3"/>
      <c r="X385" s="3"/>
      <c r="Y385" s="3"/>
      <c r="Z385" s="3"/>
      <c r="AA385" s="3"/>
      <c r="AB385" s="3"/>
    </row>
    <row r="386" customFormat="false" ht="15" hidden="false" customHeight="false" outlineLevel="0" collapsed="false">
      <c r="A386" s="48"/>
      <c r="B386" s="46"/>
      <c r="C386" s="50"/>
      <c r="D386" s="50"/>
      <c r="E386" s="50"/>
      <c r="F386" s="50"/>
      <c r="G386" s="49"/>
      <c r="H386" s="50"/>
      <c r="I386" s="50"/>
      <c r="J386" s="50"/>
      <c r="K386" s="50"/>
      <c r="L386" s="50"/>
      <c r="M386" s="46"/>
      <c r="N386" s="47"/>
      <c r="O386" s="62" t="str">
        <f aca="false">IF($B386="","",TEXT($A386,"YYYY-MM-DD")&amp;"|"&amp;$B386)</f>
        <v/>
      </c>
      <c r="P386" s="3"/>
      <c r="Q386" s="3"/>
      <c r="R386" s="3"/>
      <c r="S386" s="3"/>
      <c r="T386" s="3"/>
      <c r="U386" s="3"/>
      <c r="V386" s="3"/>
      <c r="W386" s="3"/>
      <c r="X386" s="3"/>
      <c r="Y386" s="3"/>
      <c r="Z386" s="3"/>
      <c r="AA386" s="3"/>
      <c r="AB386" s="3"/>
    </row>
    <row r="387" customFormat="false" ht="15" hidden="false" customHeight="false" outlineLevel="0" collapsed="false">
      <c r="A387" s="54"/>
      <c r="B387" s="52"/>
      <c r="C387" s="56"/>
      <c r="D387" s="56"/>
      <c r="E387" s="56"/>
      <c r="F387" s="56"/>
      <c r="G387" s="55"/>
      <c r="H387" s="56"/>
      <c r="I387" s="56"/>
      <c r="J387" s="56"/>
      <c r="K387" s="56"/>
      <c r="L387" s="56"/>
      <c r="M387" s="52"/>
      <c r="N387" s="53"/>
      <c r="O387" s="62" t="str">
        <f aca="false">IF($B387="","",TEXT($A387,"YYYY-MM-DD")&amp;"|"&amp;$B387)</f>
        <v/>
      </c>
      <c r="P387" s="3"/>
      <c r="Q387" s="3"/>
      <c r="R387" s="3"/>
      <c r="S387" s="3"/>
      <c r="T387" s="3"/>
      <c r="U387" s="3"/>
      <c r="V387" s="3"/>
      <c r="W387" s="3"/>
      <c r="X387" s="3"/>
      <c r="Y387" s="3"/>
      <c r="Z387" s="3"/>
      <c r="AA387" s="3"/>
      <c r="AB387" s="3"/>
    </row>
    <row r="388" customFormat="false" ht="15" hidden="false" customHeight="false" outlineLevel="0" collapsed="false">
      <c r="A388" s="48"/>
      <c r="B388" s="46"/>
      <c r="C388" s="50"/>
      <c r="D388" s="50"/>
      <c r="E388" s="50"/>
      <c r="F388" s="50"/>
      <c r="G388" s="49"/>
      <c r="H388" s="50"/>
      <c r="I388" s="50"/>
      <c r="J388" s="50"/>
      <c r="K388" s="50"/>
      <c r="L388" s="50"/>
      <c r="M388" s="46"/>
      <c r="N388" s="47"/>
      <c r="O388" s="62" t="str">
        <f aca="false">IF($B388="","",TEXT($A388,"YYYY-MM-DD")&amp;"|"&amp;$B388)</f>
        <v/>
      </c>
      <c r="P388" s="3"/>
      <c r="Q388" s="3"/>
      <c r="R388" s="3"/>
      <c r="S388" s="3"/>
      <c r="T388" s="3"/>
      <c r="U388" s="3"/>
      <c r="V388" s="3"/>
      <c r="W388" s="3"/>
      <c r="X388" s="3"/>
      <c r="Y388" s="3"/>
      <c r="Z388" s="3"/>
      <c r="AA388" s="3"/>
      <c r="AB388" s="3"/>
    </row>
    <row r="389" customFormat="false" ht="15" hidden="false" customHeight="false" outlineLevel="0" collapsed="false">
      <c r="A389" s="54"/>
      <c r="B389" s="52"/>
      <c r="C389" s="56"/>
      <c r="D389" s="56"/>
      <c r="E389" s="56"/>
      <c r="F389" s="56"/>
      <c r="G389" s="55"/>
      <c r="H389" s="56"/>
      <c r="I389" s="56"/>
      <c r="J389" s="56"/>
      <c r="K389" s="56"/>
      <c r="L389" s="56"/>
      <c r="M389" s="52"/>
      <c r="N389" s="53"/>
      <c r="O389" s="62" t="str">
        <f aca="false">IF($B389="","",TEXT($A389,"YYYY-MM-DD")&amp;"|"&amp;$B389)</f>
        <v/>
      </c>
      <c r="P389" s="3"/>
      <c r="Q389" s="3"/>
      <c r="R389" s="3"/>
      <c r="S389" s="3"/>
      <c r="T389" s="3"/>
      <c r="U389" s="3"/>
      <c r="V389" s="3"/>
      <c r="W389" s="3"/>
      <c r="X389" s="3"/>
      <c r="Y389" s="3"/>
      <c r="Z389" s="3"/>
      <c r="AA389" s="3"/>
      <c r="AB389" s="3"/>
    </row>
    <row r="390" customFormat="false" ht="15" hidden="false" customHeight="false" outlineLevel="0" collapsed="false">
      <c r="A390" s="48"/>
      <c r="B390" s="46"/>
      <c r="C390" s="50"/>
      <c r="D390" s="50"/>
      <c r="E390" s="50"/>
      <c r="F390" s="50"/>
      <c r="G390" s="49"/>
      <c r="H390" s="50"/>
      <c r="I390" s="50"/>
      <c r="J390" s="50"/>
      <c r="K390" s="50"/>
      <c r="L390" s="50"/>
      <c r="M390" s="46"/>
      <c r="N390" s="47"/>
      <c r="O390" s="62" t="str">
        <f aca="false">IF($B390="","",TEXT($A390,"YYYY-MM-DD")&amp;"|"&amp;$B390)</f>
        <v/>
      </c>
      <c r="P390" s="3"/>
      <c r="Q390" s="3"/>
      <c r="R390" s="3"/>
      <c r="S390" s="3"/>
      <c r="T390" s="3"/>
      <c r="U390" s="3"/>
      <c r="V390" s="3"/>
      <c r="W390" s="3"/>
      <c r="X390" s="3"/>
      <c r="Y390" s="3"/>
      <c r="Z390" s="3"/>
      <c r="AA390" s="3"/>
      <c r="AB390" s="3"/>
    </row>
    <row r="391" customFormat="false" ht="15" hidden="false" customHeight="false" outlineLevel="0" collapsed="false">
      <c r="A391" s="54"/>
      <c r="B391" s="52"/>
      <c r="C391" s="56"/>
      <c r="D391" s="56"/>
      <c r="E391" s="56"/>
      <c r="F391" s="56"/>
      <c r="G391" s="55"/>
      <c r="H391" s="56"/>
      <c r="I391" s="56"/>
      <c r="J391" s="56"/>
      <c r="K391" s="56"/>
      <c r="L391" s="56"/>
      <c r="M391" s="52"/>
      <c r="N391" s="53"/>
      <c r="O391" s="62" t="str">
        <f aca="false">IF($B391="","",TEXT($A391,"YYYY-MM-DD")&amp;"|"&amp;$B391)</f>
        <v/>
      </c>
      <c r="P391" s="3"/>
      <c r="Q391" s="3"/>
      <c r="R391" s="3"/>
      <c r="S391" s="3"/>
      <c r="T391" s="3"/>
      <c r="U391" s="3"/>
      <c r="V391" s="3"/>
      <c r="W391" s="3"/>
      <c r="X391" s="3"/>
      <c r="Y391" s="3"/>
      <c r="Z391" s="3"/>
      <c r="AA391" s="3"/>
      <c r="AB391" s="3"/>
    </row>
    <row r="392" customFormat="false" ht="15" hidden="false" customHeight="false" outlineLevel="0" collapsed="false">
      <c r="A392" s="48"/>
      <c r="B392" s="46"/>
      <c r="C392" s="50"/>
      <c r="D392" s="50"/>
      <c r="E392" s="50"/>
      <c r="F392" s="50"/>
      <c r="G392" s="49"/>
      <c r="H392" s="50"/>
      <c r="I392" s="50"/>
      <c r="J392" s="50"/>
      <c r="K392" s="50"/>
      <c r="L392" s="50"/>
      <c r="M392" s="46"/>
      <c r="N392" s="47"/>
      <c r="O392" s="62" t="str">
        <f aca="false">IF($B392="","",TEXT($A392,"YYYY-MM-DD")&amp;"|"&amp;$B392)</f>
        <v/>
      </c>
      <c r="P392" s="3"/>
      <c r="Q392" s="3"/>
      <c r="R392" s="3"/>
      <c r="S392" s="3"/>
      <c r="T392" s="3"/>
      <c r="U392" s="3"/>
      <c r="V392" s="3"/>
      <c r="W392" s="3"/>
      <c r="X392" s="3"/>
      <c r="Y392" s="3"/>
      <c r="Z392" s="3"/>
      <c r="AA392" s="3"/>
      <c r="AB392" s="3"/>
    </row>
    <row r="393" customFormat="false" ht="15" hidden="false" customHeight="false" outlineLevel="0" collapsed="false">
      <c r="A393" s="54"/>
      <c r="B393" s="52"/>
      <c r="C393" s="56"/>
      <c r="D393" s="56"/>
      <c r="E393" s="56"/>
      <c r="F393" s="56"/>
      <c r="G393" s="55"/>
      <c r="H393" s="56"/>
      <c r="I393" s="56"/>
      <c r="J393" s="56"/>
      <c r="K393" s="56"/>
      <c r="L393" s="56"/>
      <c r="M393" s="52"/>
      <c r="N393" s="53"/>
      <c r="O393" s="62" t="str">
        <f aca="false">IF($B393="","",TEXT($A393,"YYYY-MM-DD")&amp;"|"&amp;$B393)</f>
        <v/>
      </c>
      <c r="P393" s="3"/>
      <c r="Q393" s="3"/>
      <c r="R393" s="3"/>
      <c r="S393" s="3"/>
      <c r="T393" s="3"/>
      <c r="U393" s="3"/>
      <c r="V393" s="3"/>
      <c r="W393" s="3"/>
      <c r="X393" s="3"/>
      <c r="Y393" s="3"/>
      <c r="Z393" s="3"/>
      <c r="AA393" s="3"/>
      <c r="AB393" s="3"/>
    </row>
    <row r="394" customFormat="false" ht="15" hidden="false" customHeight="false" outlineLevel="0" collapsed="false">
      <c r="A394" s="48"/>
      <c r="B394" s="46"/>
      <c r="C394" s="50"/>
      <c r="D394" s="50"/>
      <c r="E394" s="50"/>
      <c r="F394" s="50"/>
      <c r="G394" s="49"/>
      <c r="H394" s="50"/>
      <c r="I394" s="50"/>
      <c r="J394" s="50"/>
      <c r="K394" s="50"/>
      <c r="L394" s="50"/>
      <c r="M394" s="46"/>
      <c r="N394" s="47"/>
      <c r="O394" s="62" t="str">
        <f aca="false">IF($B394="","",TEXT($A394,"YYYY-MM-DD")&amp;"|"&amp;$B394)</f>
        <v/>
      </c>
      <c r="P394" s="3"/>
      <c r="Q394" s="3"/>
      <c r="R394" s="3"/>
      <c r="S394" s="3"/>
      <c r="T394" s="3"/>
      <c r="U394" s="3"/>
      <c r="V394" s="3"/>
      <c r="W394" s="3"/>
      <c r="X394" s="3"/>
      <c r="Y394" s="3"/>
      <c r="Z394" s="3"/>
      <c r="AA394" s="3"/>
      <c r="AB394" s="3"/>
    </row>
    <row r="395" customFormat="false" ht="15" hidden="false" customHeight="false" outlineLevel="0" collapsed="false">
      <c r="A395" s="54"/>
      <c r="B395" s="52"/>
      <c r="C395" s="56"/>
      <c r="D395" s="56"/>
      <c r="E395" s="56"/>
      <c r="F395" s="56"/>
      <c r="G395" s="55"/>
      <c r="H395" s="56"/>
      <c r="I395" s="56"/>
      <c r="J395" s="56"/>
      <c r="K395" s="56"/>
      <c r="L395" s="56"/>
      <c r="M395" s="52"/>
      <c r="N395" s="53"/>
      <c r="O395" s="62" t="str">
        <f aca="false">IF($B395="","",TEXT($A395,"YYYY-MM-DD")&amp;"|"&amp;$B395)</f>
        <v/>
      </c>
      <c r="P395" s="3"/>
      <c r="Q395" s="3"/>
      <c r="R395" s="3"/>
      <c r="S395" s="3"/>
      <c r="T395" s="3"/>
      <c r="U395" s="3"/>
      <c r="V395" s="3"/>
      <c r="W395" s="3"/>
      <c r="X395" s="3"/>
      <c r="Y395" s="3"/>
      <c r="Z395" s="3"/>
      <c r="AA395" s="3"/>
      <c r="AB395" s="3"/>
    </row>
    <row r="396" customFormat="false" ht="15" hidden="false" customHeight="false" outlineLevel="0" collapsed="false">
      <c r="A396" s="48"/>
      <c r="B396" s="46"/>
      <c r="C396" s="50"/>
      <c r="D396" s="50"/>
      <c r="E396" s="50"/>
      <c r="F396" s="50"/>
      <c r="G396" s="49"/>
      <c r="H396" s="50"/>
      <c r="I396" s="50"/>
      <c r="J396" s="50"/>
      <c r="K396" s="50"/>
      <c r="L396" s="50"/>
      <c r="M396" s="46"/>
      <c r="N396" s="47"/>
      <c r="O396" s="62" t="str">
        <f aca="false">IF($B396="","",TEXT($A396,"YYYY-MM-DD")&amp;"|"&amp;$B396)</f>
        <v/>
      </c>
      <c r="P396" s="3"/>
      <c r="Q396" s="3"/>
      <c r="R396" s="3"/>
      <c r="S396" s="3"/>
      <c r="T396" s="3"/>
      <c r="U396" s="3"/>
      <c r="V396" s="3"/>
      <c r="W396" s="3"/>
      <c r="X396" s="3"/>
      <c r="Y396" s="3"/>
      <c r="Z396" s="3"/>
      <c r="AA396" s="3"/>
      <c r="AB396" s="3"/>
    </row>
    <row r="397" customFormat="false" ht="15" hidden="false" customHeight="false" outlineLevel="0" collapsed="false">
      <c r="A397" s="54"/>
      <c r="B397" s="52"/>
      <c r="C397" s="56"/>
      <c r="D397" s="56"/>
      <c r="E397" s="56"/>
      <c r="F397" s="56"/>
      <c r="G397" s="55"/>
      <c r="H397" s="56"/>
      <c r="I397" s="56"/>
      <c r="J397" s="56"/>
      <c r="K397" s="56"/>
      <c r="L397" s="56"/>
      <c r="M397" s="52"/>
      <c r="N397" s="53"/>
      <c r="O397" s="62" t="str">
        <f aca="false">IF($B397="","",TEXT($A397,"YYYY-MM-DD")&amp;"|"&amp;$B397)</f>
        <v/>
      </c>
      <c r="P397" s="3"/>
      <c r="Q397" s="3"/>
      <c r="R397" s="3"/>
      <c r="S397" s="3"/>
      <c r="T397" s="3"/>
      <c r="U397" s="3"/>
      <c r="V397" s="3"/>
      <c r="W397" s="3"/>
      <c r="X397" s="3"/>
      <c r="Y397" s="3"/>
      <c r="Z397" s="3"/>
      <c r="AA397" s="3"/>
      <c r="AB397" s="3"/>
    </row>
    <row r="398" customFormat="false" ht="15" hidden="false" customHeight="false" outlineLevel="0" collapsed="false">
      <c r="A398" s="48"/>
      <c r="B398" s="46"/>
      <c r="C398" s="50"/>
      <c r="D398" s="50"/>
      <c r="E398" s="50"/>
      <c r="F398" s="50"/>
      <c r="G398" s="49"/>
      <c r="H398" s="50"/>
      <c r="I398" s="50"/>
      <c r="J398" s="50"/>
      <c r="K398" s="50"/>
      <c r="L398" s="50"/>
      <c r="M398" s="46"/>
      <c r="N398" s="47"/>
      <c r="O398" s="62" t="str">
        <f aca="false">IF($B398="","",TEXT($A398,"YYYY-MM-DD")&amp;"|"&amp;$B398)</f>
        <v/>
      </c>
      <c r="P398" s="3"/>
      <c r="Q398" s="3"/>
      <c r="R398" s="3"/>
      <c r="S398" s="3"/>
      <c r="T398" s="3"/>
      <c r="U398" s="3"/>
      <c r="V398" s="3"/>
      <c r="W398" s="3"/>
      <c r="X398" s="3"/>
      <c r="Y398" s="3"/>
      <c r="Z398" s="3"/>
      <c r="AA398" s="3"/>
      <c r="AB398" s="3"/>
    </row>
    <row r="399" customFormat="false" ht="15" hidden="false" customHeight="false" outlineLevel="0" collapsed="false">
      <c r="A399" s="54"/>
      <c r="B399" s="52"/>
      <c r="C399" s="56"/>
      <c r="D399" s="56"/>
      <c r="E399" s="56"/>
      <c r="F399" s="56"/>
      <c r="G399" s="55"/>
      <c r="H399" s="56"/>
      <c r="I399" s="56"/>
      <c r="J399" s="56"/>
      <c r="K399" s="56"/>
      <c r="L399" s="56"/>
      <c r="M399" s="52"/>
      <c r="N399" s="53"/>
      <c r="O399" s="62" t="str">
        <f aca="false">IF($B399="","",TEXT($A399,"YYYY-MM-DD")&amp;"|"&amp;$B399)</f>
        <v/>
      </c>
      <c r="P399" s="3"/>
      <c r="Q399" s="3"/>
      <c r="R399" s="3"/>
      <c r="S399" s="3"/>
      <c r="T399" s="3"/>
      <c r="U399" s="3"/>
      <c r="V399" s="3"/>
      <c r="W399" s="3"/>
      <c r="X399" s="3"/>
      <c r="Y399" s="3"/>
      <c r="Z399" s="3"/>
      <c r="AA399" s="3"/>
      <c r="AB399" s="3"/>
    </row>
    <row r="400" customFormat="false" ht="15" hidden="false" customHeight="false" outlineLevel="0" collapsed="false">
      <c r="A400" s="48"/>
      <c r="B400" s="46"/>
      <c r="C400" s="50"/>
      <c r="D400" s="50"/>
      <c r="E400" s="50"/>
      <c r="F400" s="50"/>
      <c r="G400" s="49"/>
      <c r="H400" s="50"/>
      <c r="I400" s="50"/>
      <c r="J400" s="50"/>
      <c r="K400" s="50"/>
      <c r="L400" s="50"/>
      <c r="M400" s="46"/>
      <c r="N400" s="47"/>
      <c r="O400" s="62" t="str">
        <f aca="false">IF($B400="","",TEXT($A400,"YYYY-MM-DD")&amp;"|"&amp;$B400)</f>
        <v/>
      </c>
      <c r="P400" s="3"/>
      <c r="Q400" s="3"/>
      <c r="R400" s="3"/>
      <c r="S400" s="3"/>
      <c r="T400" s="3"/>
      <c r="U400" s="3"/>
      <c r="V400" s="3"/>
      <c r="W400" s="3"/>
      <c r="X400" s="3"/>
      <c r="Y400" s="3"/>
      <c r="Z400" s="3"/>
      <c r="AA400" s="3"/>
      <c r="AB400" s="3"/>
    </row>
    <row r="401" customFormat="false" ht="15" hidden="false" customHeight="false" outlineLevel="0" collapsed="false">
      <c r="A401" s="54"/>
      <c r="B401" s="52"/>
      <c r="C401" s="56"/>
      <c r="D401" s="56"/>
      <c r="E401" s="56"/>
      <c r="F401" s="56"/>
      <c r="G401" s="55"/>
      <c r="H401" s="56"/>
      <c r="I401" s="56"/>
      <c r="J401" s="56"/>
      <c r="K401" s="56"/>
      <c r="L401" s="56"/>
      <c r="M401" s="52"/>
      <c r="N401" s="53"/>
      <c r="O401" s="62" t="str">
        <f aca="false">IF($B401="","",TEXT($A401,"YYYY-MM-DD")&amp;"|"&amp;$B401)</f>
        <v/>
      </c>
      <c r="P401" s="3"/>
      <c r="Q401" s="3"/>
      <c r="R401" s="3"/>
      <c r="S401" s="3"/>
      <c r="T401" s="3"/>
      <c r="U401" s="3"/>
      <c r="V401" s="3"/>
      <c r="W401" s="3"/>
      <c r="X401" s="3"/>
      <c r="Y401" s="3"/>
      <c r="Z401" s="3"/>
      <c r="AA401" s="3"/>
      <c r="AB401" s="3"/>
    </row>
    <row r="402" customFormat="false" ht="15" hidden="false" customHeight="false" outlineLevel="0" collapsed="false">
      <c r="A402" s="48"/>
      <c r="B402" s="46"/>
      <c r="C402" s="50"/>
      <c r="D402" s="50"/>
      <c r="E402" s="50"/>
      <c r="F402" s="50"/>
      <c r="G402" s="49"/>
      <c r="H402" s="50"/>
      <c r="I402" s="50"/>
      <c r="J402" s="50"/>
      <c r="K402" s="50"/>
      <c r="L402" s="50"/>
      <c r="M402" s="46"/>
      <c r="N402" s="47"/>
      <c r="O402" s="62" t="str">
        <f aca="false">IF($B402="","",TEXT($A402,"YYYY-MM-DD")&amp;"|"&amp;$B402)</f>
        <v/>
      </c>
      <c r="P402" s="3"/>
      <c r="Q402" s="3"/>
      <c r="R402" s="3"/>
      <c r="S402" s="3"/>
      <c r="T402" s="3"/>
      <c r="U402" s="3"/>
      <c r="V402" s="3"/>
      <c r="W402" s="3"/>
      <c r="X402" s="3"/>
      <c r="Y402" s="3"/>
      <c r="Z402" s="3"/>
      <c r="AA402" s="3"/>
      <c r="AB402" s="3"/>
    </row>
    <row r="403" customFormat="false" ht="15" hidden="false" customHeight="false" outlineLevel="0" collapsed="false">
      <c r="A403" s="54"/>
      <c r="B403" s="52"/>
      <c r="C403" s="56"/>
      <c r="D403" s="56"/>
      <c r="E403" s="56"/>
      <c r="F403" s="56"/>
      <c r="G403" s="55"/>
      <c r="H403" s="56"/>
      <c r="I403" s="56"/>
      <c r="J403" s="56"/>
      <c r="K403" s="56"/>
      <c r="L403" s="56"/>
      <c r="M403" s="52"/>
      <c r="N403" s="53"/>
      <c r="O403" s="62" t="str">
        <f aca="false">IF($B403="","",TEXT($A403,"YYYY-MM-DD")&amp;"|"&amp;$B403)</f>
        <v/>
      </c>
      <c r="P403" s="3"/>
      <c r="Q403" s="3"/>
      <c r="R403" s="3"/>
      <c r="S403" s="3"/>
      <c r="T403" s="3"/>
      <c r="U403" s="3"/>
      <c r="V403" s="3"/>
      <c r="W403" s="3"/>
      <c r="X403" s="3"/>
      <c r="Y403" s="3"/>
      <c r="Z403" s="3"/>
      <c r="AA403" s="3"/>
      <c r="AB403" s="3"/>
    </row>
    <row r="404" customFormat="false" ht="15" hidden="false" customHeight="false" outlineLevel="0" collapsed="false">
      <c r="A404" s="48"/>
      <c r="B404" s="46"/>
      <c r="C404" s="50"/>
      <c r="D404" s="50"/>
      <c r="E404" s="50"/>
      <c r="F404" s="50"/>
      <c r="G404" s="49"/>
      <c r="H404" s="50"/>
      <c r="I404" s="50"/>
      <c r="J404" s="50"/>
      <c r="K404" s="50"/>
      <c r="L404" s="50"/>
      <c r="M404" s="46"/>
      <c r="N404" s="47"/>
      <c r="O404" s="62" t="str">
        <f aca="false">IF($B404="","",TEXT($A404,"YYYY-MM-DD")&amp;"|"&amp;$B404)</f>
        <v/>
      </c>
      <c r="P404" s="3"/>
      <c r="Q404" s="3"/>
      <c r="R404" s="3"/>
      <c r="S404" s="3"/>
      <c r="T404" s="3"/>
      <c r="U404" s="3"/>
      <c r="V404" s="3"/>
      <c r="W404" s="3"/>
      <c r="X404" s="3"/>
      <c r="Y404" s="3"/>
      <c r="Z404" s="3"/>
      <c r="AA404" s="3"/>
      <c r="AB404" s="3"/>
    </row>
    <row r="405" customFormat="false" ht="15" hidden="false" customHeight="false" outlineLevel="0" collapsed="false">
      <c r="A405" s="54"/>
      <c r="B405" s="52"/>
      <c r="C405" s="56"/>
      <c r="D405" s="56"/>
      <c r="E405" s="56"/>
      <c r="F405" s="56"/>
      <c r="G405" s="55"/>
      <c r="H405" s="56"/>
      <c r="I405" s="56"/>
      <c r="J405" s="56"/>
      <c r="K405" s="56"/>
      <c r="L405" s="56"/>
      <c r="M405" s="52"/>
      <c r="N405" s="53"/>
      <c r="O405" s="62" t="str">
        <f aca="false">IF($B405="","",TEXT($A405,"YYYY-MM-DD")&amp;"|"&amp;$B405)</f>
        <v/>
      </c>
      <c r="P405" s="3"/>
      <c r="Q405" s="3"/>
      <c r="R405" s="3"/>
      <c r="S405" s="3"/>
      <c r="T405" s="3"/>
      <c r="U405" s="3"/>
      <c r="V405" s="3"/>
      <c r="W405" s="3"/>
      <c r="X405" s="3"/>
      <c r="Y405" s="3"/>
      <c r="Z405" s="3"/>
      <c r="AA405" s="3"/>
      <c r="AB405" s="3"/>
    </row>
    <row r="406" customFormat="false" ht="15" hidden="false" customHeight="false" outlineLevel="0" collapsed="false">
      <c r="A406" s="48"/>
      <c r="B406" s="46"/>
      <c r="C406" s="50"/>
      <c r="D406" s="50"/>
      <c r="E406" s="50"/>
      <c r="F406" s="50"/>
      <c r="G406" s="49"/>
      <c r="H406" s="50"/>
      <c r="I406" s="50"/>
      <c r="J406" s="50"/>
      <c r="K406" s="50"/>
      <c r="L406" s="50"/>
      <c r="M406" s="46"/>
      <c r="N406" s="47"/>
      <c r="O406" s="62" t="str">
        <f aca="false">IF($B406="","",TEXT($A406,"YYYY-MM-DD")&amp;"|"&amp;$B406)</f>
        <v/>
      </c>
      <c r="P406" s="3"/>
      <c r="Q406" s="3"/>
      <c r="R406" s="3"/>
      <c r="S406" s="3"/>
      <c r="T406" s="3"/>
      <c r="U406" s="3"/>
      <c r="V406" s="3"/>
      <c r="W406" s="3"/>
      <c r="X406" s="3"/>
      <c r="Y406" s="3"/>
      <c r="Z406" s="3"/>
      <c r="AA406" s="3"/>
      <c r="AB406" s="3"/>
    </row>
    <row r="407" customFormat="false" ht="15" hidden="false" customHeight="false" outlineLevel="0" collapsed="false">
      <c r="A407" s="54"/>
      <c r="B407" s="52"/>
      <c r="C407" s="56"/>
      <c r="D407" s="56"/>
      <c r="E407" s="56"/>
      <c r="F407" s="56"/>
      <c r="G407" s="55"/>
      <c r="H407" s="56"/>
      <c r="I407" s="56"/>
      <c r="J407" s="56"/>
      <c r="K407" s="56"/>
      <c r="L407" s="56"/>
      <c r="M407" s="52"/>
      <c r="N407" s="53"/>
      <c r="O407" s="62" t="str">
        <f aca="false">IF($B407="","",TEXT($A407,"YYYY-MM-DD")&amp;"|"&amp;$B407)</f>
        <v/>
      </c>
      <c r="P407" s="3"/>
      <c r="Q407" s="3"/>
      <c r="R407" s="3"/>
      <c r="S407" s="3"/>
      <c r="T407" s="3"/>
      <c r="U407" s="3"/>
      <c r="V407" s="3"/>
      <c r="W407" s="3"/>
      <c r="X407" s="3"/>
      <c r="Y407" s="3"/>
      <c r="Z407" s="3"/>
      <c r="AA407" s="3"/>
      <c r="AB407" s="3"/>
    </row>
    <row r="408" customFormat="false" ht="15" hidden="false" customHeight="false" outlineLevel="0" collapsed="false">
      <c r="A408" s="48"/>
      <c r="B408" s="46"/>
      <c r="C408" s="50"/>
      <c r="D408" s="50"/>
      <c r="E408" s="50"/>
      <c r="F408" s="50"/>
      <c r="G408" s="49"/>
      <c r="H408" s="50"/>
      <c r="I408" s="50"/>
      <c r="J408" s="50"/>
      <c r="K408" s="50"/>
      <c r="L408" s="50"/>
      <c r="M408" s="46"/>
      <c r="N408" s="47"/>
      <c r="O408" s="62" t="str">
        <f aca="false">IF($B408="","",TEXT($A408,"YYYY-MM-DD")&amp;"|"&amp;$B408)</f>
        <v/>
      </c>
      <c r="P408" s="3"/>
      <c r="Q408" s="3"/>
      <c r="R408" s="3"/>
      <c r="S408" s="3"/>
      <c r="T408" s="3"/>
      <c r="U408" s="3"/>
      <c r="V408" s="3"/>
      <c r="W408" s="3"/>
      <c r="X408" s="3"/>
      <c r="Y408" s="3"/>
      <c r="Z408" s="3"/>
      <c r="AA408" s="3"/>
      <c r="AB408" s="3"/>
    </row>
    <row r="409" customFormat="false" ht="15" hidden="false" customHeight="false" outlineLevel="0" collapsed="false">
      <c r="A409" s="54"/>
      <c r="B409" s="52"/>
      <c r="C409" s="56"/>
      <c r="D409" s="56"/>
      <c r="E409" s="56"/>
      <c r="F409" s="56"/>
      <c r="G409" s="55"/>
      <c r="H409" s="56"/>
      <c r="I409" s="56"/>
      <c r="J409" s="56"/>
      <c r="K409" s="56"/>
      <c r="L409" s="56"/>
      <c r="M409" s="52"/>
      <c r="N409" s="53"/>
      <c r="O409" s="62" t="str">
        <f aca="false">IF($B409="","",TEXT($A409,"YYYY-MM-DD")&amp;"|"&amp;$B409)</f>
        <v/>
      </c>
      <c r="P409" s="3"/>
      <c r="Q409" s="3"/>
      <c r="R409" s="3"/>
      <c r="S409" s="3"/>
      <c r="T409" s="3"/>
      <c r="U409" s="3"/>
      <c r="V409" s="3"/>
      <c r="W409" s="3"/>
      <c r="X409" s="3"/>
      <c r="Y409" s="3"/>
      <c r="Z409" s="3"/>
      <c r="AA409" s="3"/>
      <c r="AB409" s="3"/>
    </row>
    <row r="410" customFormat="false" ht="15" hidden="false" customHeight="false" outlineLevel="0" collapsed="false">
      <c r="A410" s="48"/>
      <c r="B410" s="46"/>
      <c r="C410" s="50"/>
      <c r="D410" s="50"/>
      <c r="E410" s="50"/>
      <c r="F410" s="50"/>
      <c r="G410" s="49"/>
      <c r="H410" s="50"/>
      <c r="I410" s="50"/>
      <c r="J410" s="50"/>
      <c r="K410" s="50"/>
      <c r="L410" s="50"/>
      <c r="M410" s="46"/>
      <c r="N410" s="47"/>
      <c r="O410" s="62" t="str">
        <f aca="false">IF($B410="","",TEXT($A410,"YYYY-MM-DD")&amp;"|"&amp;$B410)</f>
        <v/>
      </c>
      <c r="P410" s="3"/>
      <c r="Q410" s="3"/>
      <c r="R410" s="3"/>
      <c r="S410" s="3"/>
      <c r="T410" s="3"/>
      <c r="U410" s="3"/>
      <c r="V410" s="3"/>
      <c r="W410" s="3"/>
      <c r="X410" s="3"/>
      <c r="Y410" s="3"/>
      <c r="Z410" s="3"/>
      <c r="AA410" s="3"/>
      <c r="AB410" s="3"/>
    </row>
    <row r="411" customFormat="false" ht="15" hidden="false" customHeight="false" outlineLevel="0" collapsed="false">
      <c r="A411" s="54"/>
      <c r="B411" s="52"/>
      <c r="C411" s="56"/>
      <c r="D411" s="56"/>
      <c r="E411" s="56"/>
      <c r="F411" s="56"/>
      <c r="G411" s="55"/>
      <c r="H411" s="56"/>
      <c r="I411" s="56"/>
      <c r="J411" s="56"/>
      <c r="K411" s="56"/>
      <c r="L411" s="56"/>
      <c r="M411" s="52"/>
      <c r="N411" s="53"/>
      <c r="O411" s="62" t="str">
        <f aca="false">IF($B411="","",TEXT($A411,"YYYY-MM-DD")&amp;"|"&amp;$B411)</f>
        <v/>
      </c>
      <c r="P411" s="3"/>
      <c r="Q411" s="3"/>
      <c r="R411" s="3"/>
      <c r="S411" s="3"/>
      <c r="T411" s="3"/>
      <c r="U411" s="3"/>
      <c r="V411" s="3"/>
      <c r="W411" s="3"/>
      <c r="X411" s="3"/>
      <c r="Y411" s="3"/>
      <c r="Z411" s="3"/>
      <c r="AA411" s="3"/>
      <c r="AB411" s="3"/>
    </row>
    <row r="412" customFormat="false" ht="15" hidden="false" customHeight="false" outlineLevel="0" collapsed="false">
      <c r="A412" s="48"/>
      <c r="B412" s="46"/>
      <c r="C412" s="50"/>
      <c r="D412" s="50"/>
      <c r="E412" s="50"/>
      <c r="F412" s="50"/>
      <c r="G412" s="49"/>
      <c r="H412" s="50"/>
      <c r="I412" s="50"/>
      <c r="J412" s="50"/>
      <c r="K412" s="50"/>
      <c r="L412" s="50"/>
      <c r="M412" s="46"/>
      <c r="N412" s="47"/>
      <c r="O412" s="62" t="str">
        <f aca="false">IF($B412="","",TEXT($A412,"YYYY-MM-DD")&amp;"|"&amp;$B412)</f>
        <v/>
      </c>
      <c r="P412" s="3"/>
      <c r="Q412" s="3"/>
      <c r="R412" s="3"/>
      <c r="S412" s="3"/>
      <c r="T412" s="3"/>
      <c r="U412" s="3"/>
      <c r="V412" s="3"/>
      <c r="W412" s="3"/>
      <c r="X412" s="3"/>
      <c r="Y412" s="3"/>
      <c r="Z412" s="3"/>
      <c r="AA412" s="3"/>
      <c r="AB412" s="3"/>
    </row>
    <row r="413" customFormat="false" ht="15" hidden="false" customHeight="false" outlineLevel="0" collapsed="false">
      <c r="A413" s="54"/>
      <c r="B413" s="52"/>
      <c r="C413" s="56"/>
      <c r="D413" s="56"/>
      <c r="E413" s="56"/>
      <c r="F413" s="56"/>
      <c r="G413" s="55"/>
      <c r="H413" s="56"/>
      <c r="I413" s="56"/>
      <c r="J413" s="56"/>
      <c r="K413" s="56"/>
      <c r="L413" s="56"/>
      <c r="M413" s="52"/>
      <c r="N413" s="53"/>
      <c r="O413" s="62" t="str">
        <f aca="false">IF($B413="","",TEXT($A413,"YYYY-MM-DD")&amp;"|"&amp;$B413)</f>
        <v/>
      </c>
      <c r="P413" s="3"/>
      <c r="Q413" s="3"/>
      <c r="R413" s="3"/>
      <c r="S413" s="3"/>
      <c r="T413" s="3"/>
      <c r="U413" s="3"/>
      <c r="V413" s="3"/>
      <c r="W413" s="3"/>
      <c r="X413" s="3"/>
      <c r="Y413" s="3"/>
      <c r="Z413" s="3"/>
      <c r="AA413" s="3"/>
      <c r="AB413" s="3"/>
    </row>
    <row r="414" customFormat="false" ht="15" hidden="false" customHeight="false" outlineLevel="0" collapsed="false">
      <c r="A414" s="48"/>
      <c r="B414" s="46"/>
      <c r="C414" s="50"/>
      <c r="D414" s="50"/>
      <c r="E414" s="50"/>
      <c r="F414" s="50"/>
      <c r="G414" s="49"/>
      <c r="H414" s="50"/>
      <c r="I414" s="50"/>
      <c r="J414" s="50"/>
      <c r="K414" s="50"/>
      <c r="L414" s="50"/>
      <c r="M414" s="46"/>
      <c r="N414" s="47"/>
      <c r="O414" s="62" t="str">
        <f aca="false">IF($B414="","",TEXT($A414,"YYYY-MM-DD")&amp;"|"&amp;$B414)</f>
        <v/>
      </c>
      <c r="P414" s="3"/>
      <c r="Q414" s="3"/>
      <c r="R414" s="3"/>
      <c r="S414" s="3"/>
      <c r="T414" s="3"/>
      <c r="U414" s="3"/>
      <c r="V414" s="3"/>
      <c r="W414" s="3"/>
      <c r="X414" s="3"/>
      <c r="Y414" s="3"/>
      <c r="Z414" s="3"/>
      <c r="AA414" s="3"/>
      <c r="AB414" s="3"/>
    </row>
    <row r="415" customFormat="false" ht="15" hidden="false" customHeight="false" outlineLevel="0" collapsed="false">
      <c r="A415" s="54"/>
      <c r="B415" s="52"/>
      <c r="C415" s="56"/>
      <c r="D415" s="56"/>
      <c r="E415" s="56"/>
      <c r="F415" s="56"/>
      <c r="G415" s="55"/>
      <c r="H415" s="56"/>
      <c r="I415" s="56"/>
      <c r="J415" s="56"/>
      <c r="K415" s="56"/>
      <c r="L415" s="56"/>
      <c r="M415" s="52"/>
      <c r="N415" s="53"/>
      <c r="O415" s="62" t="str">
        <f aca="false">IF($B415="","",TEXT($A415,"YYYY-MM-DD")&amp;"|"&amp;$B415)</f>
        <v/>
      </c>
      <c r="P415" s="3"/>
      <c r="Q415" s="3"/>
      <c r="R415" s="3"/>
      <c r="S415" s="3"/>
      <c r="T415" s="3"/>
      <c r="U415" s="3"/>
      <c r="V415" s="3"/>
      <c r="W415" s="3"/>
      <c r="X415" s="3"/>
      <c r="Y415" s="3"/>
      <c r="Z415" s="3"/>
      <c r="AA415" s="3"/>
      <c r="AB415" s="3"/>
    </row>
    <row r="416" customFormat="false" ht="15" hidden="false" customHeight="false" outlineLevel="0" collapsed="false">
      <c r="A416" s="48"/>
      <c r="B416" s="46"/>
      <c r="C416" s="50"/>
      <c r="D416" s="50"/>
      <c r="E416" s="50"/>
      <c r="F416" s="50"/>
      <c r="G416" s="49"/>
      <c r="H416" s="50"/>
      <c r="I416" s="50"/>
      <c r="J416" s="50"/>
      <c r="K416" s="50"/>
      <c r="L416" s="50"/>
      <c r="M416" s="46"/>
      <c r="N416" s="47"/>
      <c r="O416" s="62" t="str">
        <f aca="false">IF($B416="","",TEXT($A416,"YYYY-MM-DD")&amp;"|"&amp;$B416)</f>
        <v/>
      </c>
      <c r="P416" s="3"/>
      <c r="Q416" s="3"/>
      <c r="R416" s="3"/>
      <c r="S416" s="3"/>
      <c r="T416" s="3"/>
      <c r="U416" s="3"/>
      <c r="V416" s="3"/>
      <c r="W416" s="3"/>
      <c r="X416" s="3"/>
      <c r="Y416" s="3"/>
      <c r="Z416" s="3"/>
      <c r="AA416" s="3"/>
      <c r="AB416" s="3"/>
    </row>
    <row r="417" customFormat="false" ht="15" hidden="false" customHeight="false" outlineLevel="0" collapsed="false">
      <c r="A417" s="54"/>
      <c r="B417" s="52"/>
      <c r="C417" s="56"/>
      <c r="D417" s="56"/>
      <c r="E417" s="56"/>
      <c r="F417" s="56"/>
      <c r="G417" s="55"/>
      <c r="H417" s="56"/>
      <c r="I417" s="56"/>
      <c r="J417" s="56"/>
      <c r="K417" s="56"/>
      <c r="L417" s="56"/>
      <c r="M417" s="52"/>
      <c r="N417" s="53"/>
      <c r="O417" s="62" t="str">
        <f aca="false">IF($B417="","",TEXT($A417,"YYYY-MM-DD")&amp;"|"&amp;$B417)</f>
        <v/>
      </c>
      <c r="P417" s="3"/>
      <c r="Q417" s="3"/>
      <c r="R417" s="3"/>
      <c r="S417" s="3"/>
      <c r="T417" s="3"/>
      <c r="U417" s="3"/>
      <c r="V417" s="3"/>
      <c r="W417" s="3"/>
      <c r="X417" s="3"/>
      <c r="Y417" s="3"/>
      <c r="Z417" s="3"/>
      <c r="AA417" s="3"/>
      <c r="AB417" s="3"/>
    </row>
    <row r="418" customFormat="false" ht="15" hidden="false" customHeight="false" outlineLevel="0" collapsed="false">
      <c r="A418" s="48"/>
      <c r="B418" s="46"/>
      <c r="C418" s="50"/>
      <c r="D418" s="50"/>
      <c r="E418" s="50"/>
      <c r="F418" s="50"/>
      <c r="G418" s="49"/>
      <c r="H418" s="50"/>
      <c r="I418" s="50"/>
      <c r="J418" s="50"/>
      <c r="K418" s="50"/>
      <c r="L418" s="50"/>
      <c r="M418" s="46"/>
      <c r="N418" s="47"/>
      <c r="O418" s="62" t="str">
        <f aca="false">IF($B418="","",TEXT($A418,"YYYY-MM-DD")&amp;"|"&amp;$B418)</f>
        <v/>
      </c>
      <c r="P418" s="3"/>
      <c r="Q418" s="3"/>
      <c r="R418" s="3"/>
      <c r="S418" s="3"/>
      <c r="T418" s="3"/>
      <c r="U418" s="3"/>
      <c r="V418" s="3"/>
      <c r="W418" s="3"/>
      <c r="X418" s="3"/>
      <c r="Y418" s="3"/>
      <c r="Z418" s="3"/>
      <c r="AA418" s="3"/>
      <c r="AB418" s="3"/>
    </row>
    <row r="419" customFormat="false" ht="15" hidden="false" customHeight="false" outlineLevel="0" collapsed="false">
      <c r="A419" s="54"/>
      <c r="B419" s="52"/>
      <c r="C419" s="56"/>
      <c r="D419" s="56"/>
      <c r="E419" s="56"/>
      <c r="F419" s="56"/>
      <c r="G419" s="55"/>
      <c r="H419" s="56"/>
      <c r="I419" s="56"/>
      <c r="J419" s="56"/>
      <c r="K419" s="56"/>
      <c r="L419" s="56"/>
      <c r="M419" s="52"/>
      <c r="N419" s="53"/>
      <c r="O419" s="62" t="str">
        <f aca="false">IF($B419="","",TEXT($A419,"YYYY-MM-DD")&amp;"|"&amp;$B419)</f>
        <v/>
      </c>
      <c r="P419" s="3"/>
      <c r="Q419" s="3"/>
      <c r="R419" s="3"/>
      <c r="S419" s="3"/>
      <c r="T419" s="3"/>
      <c r="U419" s="3"/>
      <c r="V419" s="3"/>
      <c r="W419" s="3"/>
      <c r="X419" s="3"/>
      <c r="Y419" s="3"/>
      <c r="Z419" s="3"/>
      <c r="AA419" s="3"/>
      <c r="AB419" s="3"/>
    </row>
    <row r="420" customFormat="false" ht="15" hidden="false" customHeight="false" outlineLevel="0" collapsed="false">
      <c r="A420" s="48"/>
      <c r="B420" s="46"/>
      <c r="C420" s="50"/>
      <c r="D420" s="50"/>
      <c r="E420" s="50"/>
      <c r="F420" s="50"/>
      <c r="G420" s="49"/>
      <c r="H420" s="50"/>
      <c r="I420" s="50"/>
      <c r="J420" s="50"/>
      <c r="K420" s="50"/>
      <c r="L420" s="50"/>
      <c r="M420" s="46"/>
      <c r="N420" s="47"/>
      <c r="O420" s="62" t="str">
        <f aca="false">IF($B420="","",TEXT($A420,"YYYY-MM-DD")&amp;"|"&amp;$B420)</f>
        <v/>
      </c>
      <c r="P420" s="3"/>
      <c r="Q420" s="3"/>
      <c r="R420" s="3"/>
      <c r="S420" s="3"/>
      <c r="T420" s="3"/>
      <c r="U420" s="3"/>
      <c r="V420" s="3"/>
      <c r="W420" s="3"/>
      <c r="X420" s="3"/>
      <c r="Y420" s="3"/>
      <c r="Z420" s="3"/>
      <c r="AA420" s="3"/>
      <c r="AB420" s="3"/>
    </row>
    <row r="421" customFormat="false" ht="15" hidden="false" customHeight="false" outlineLevel="0" collapsed="false">
      <c r="A421" s="54"/>
      <c r="B421" s="52"/>
      <c r="C421" s="56"/>
      <c r="D421" s="56"/>
      <c r="E421" s="56"/>
      <c r="F421" s="56"/>
      <c r="G421" s="55"/>
      <c r="H421" s="56"/>
      <c r="I421" s="56"/>
      <c r="J421" s="56"/>
      <c r="K421" s="56"/>
      <c r="L421" s="56"/>
      <c r="M421" s="52"/>
      <c r="N421" s="53"/>
      <c r="O421" s="62" t="str">
        <f aca="false">IF($B421="","",TEXT($A421,"YYYY-MM-DD")&amp;"|"&amp;$B421)</f>
        <v/>
      </c>
      <c r="P421" s="3"/>
      <c r="Q421" s="3"/>
      <c r="R421" s="3"/>
      <c r="S421" s="3"/>
      <c r="T421" s="3"/>
      <c r="U421" s="3"/>
      <c r="V421" s="3"/>
      <c r="W421" s="3"/>
      <c r="X421" s="3"/>
      <c r="Y421" s="3"/>
      <c r="Z421" s="3"/>
      <c r="AA421" s="3"/>
      <c r="AB421" s="3"/>
    </row>
    <row r="422" customFormat="false" ht="15" hidden="false" customHeight="false" outlineLevel="0" collapsed="false">
      <c r="A422" s="48"/>
      <c r="B422" s="46"/>
      <c r="C422" s="50"/>
      <c r="D422" s="50"/>
      <c r="E422" s="50"/>
      <c r="F422" s="50"/>
      <c r="G422" s="49"/>
      <c r="H422" s="50"/>
      <c r="I422" s="50"/>
      <c r="J422" s="50"/>
      <c r="K422" s="50"/>
      <c r="L422" s="50"/>
      <c r="M422" s="46"/>
      <c r="N422" s="47"/>
      <c r="O422" s="62" t="str">
        <f aca="false">IF($B422="","",TEXT($A422,"YYYY-MM-DD")&amp;"|"&amp;$B422)</f>
        <v/>
      </c>
      <c r="P422" s="3"/>
      <c r="Q422" s="3"/>
      <c r="R422" s="3"/>
      <c r="S422" s="3"/>
      <c r="T422" s="3"/>
      <c r="U422" s="3"/>
      <c r="V422" s="3"/>
      <c r="W422" s="3"/>
      <c r="X422" s="3"/>
      <c r="Y422" s="3"/>
      <c r="Z422" s="3"/>
      <c r="AA422" s="3"/>
      <c r="AB422" s="3"/>
    </row>
    <row r="423" customFormat="false" ht="15" hidden="false" customHeight="false" outlineLevel="0" collapsed="false">
      <c r="A423" s="54"/>
      <c r="B423" s="52"/>
      <c r="C423" s="56"/>
      <c r="D423" s="56"/>
      <c r="E423" s="56"/>
      <c r="F423" s="56"/>
      <c r="G423" s="55"/>
      <c r="H423" s="56"/>
      <c r="I423" s="56"/>
      <c r="J423" s="56"/>
      <c r="K423" s="56"/>
      <c r="L423" s="56"/>
      <c r="M423" s="52"/>
      <c r="N423" s="53"/>
      <c r="O423" s="62" t="str">
        <f aca="false">IF($B423="","",TEXT($A423,"YYYY-MM-DD")&amp;"|"&amp;$B423)</f>
        <v/>
      </c>
      <c r="P423" s="3"/>
      <c r="Q423" s="3"/>
      <c r="R423" s="3"/>
      <c r="S423" s="3"/>
      <c r="T423" s="3"/>
      <c r="U423" s="3"/>
      <c r="V423" s="3"/>
      <c r="W423" s="3"/>
      <c r="X423" s="3"/>
      <c r="Y423" s="3"/>
      <c r="Z423" s="3"/>
      <c r="AA423" s="3"/>
      <c r="AB423" s="3"/>
    </row>
    <row r="424" customFormat="false" ht="15" hidden="false" customHeight="false" outlineLevel="0" collapsed="false">
      <c r="A424" s="48"/>
      <c r="B424" s="46"/>
      <c r="C424" s="50"/>
      <c r="D424" s="50"/>
      <c r="E424" s="50"/>
      <c r="F424" s="50"/>
      <c r="G424" s="49"/>
      <c r="H424" s="50"/>
      <c r="I424" s="50"/>
      <c r="J424" s="50"/>
      <c r="K424" s="50"/>
      <c r="L424" s="50"/>
      <c r="M424" s="46"/>
      <c r="N424" s="47"/>
      <c r="O424" s="62" t="str">
        <f aca="false">IF($B424="","",TEXT($A424,"YYYY-MM-DD")&amp;"|"&amp;$B424)</f>
        <v/>
      </c>
      <c r="P424" s="3"/>
      <c r="Q424" s="3"/>
      <c r="R424" s="3"/>
      <c r="S424" s="3"/>
      <c r="T424" s="3"/>
      <c r="U424" s="3"/>
      <c r="V424" s="3"/>
      <c r="W424" s="3"/>
      <c r="X424" s="3"/>
      <c r="Y424" s="3"/>
      <c r="Z424" s="3"/>
      <c r="AA424" s="3"/>
      <c r="AB424" s="3"/>
    </row>
    <row r="425" customFormat="false" ht="15" hidden="false" customHeight="false" outlineLevel="0" collapsed="false">
      <c r="A425" s="54"/>
      <c r="B425" s="52"/>
      <c r="C425" s="56"/>
      <c r="D425" s="56"/>
      <c r="E425" s="56"/>
      <c r="F425" s="56"/>
      <c r="G425" s="55"/>
      <c r="H425" s="56"/>
      <c r="I425" s="56"/>
      <c r="J425" s="56"/>
      <c r="K425" s="56"/>
      <c r="L425" s="56"/>
      <c r="M425" s="52"/>
      <c r="N425" s="53"/>
      <c r="O425" s="62" t="str">
        <f aca="false">IF($B425="","",TEXT($A425,"YYYY-MM-DD")&amp;"|"&amp;$B425)</f>
        <v/>
      </c>
      <c r="P425" s="3"/>
      <c r="Q425" s="3"/>
      <c r="R425" s="3"/>
      <c r="S425" s="3"/>
      <c r="T425" s="3"/>
      <c r="U425" s="3"/>
      <c r="V425" s="3"/>
      <c r="W425" s="3"/>
      <c r="X425" s="3"/>
      <c r="Y425" s="3"/>
      <c r="Z425" s="3"/>
      <c r="AA425" s="3"/>
      <c r="AB425" s="3"/>
    </row>
    <row r="426" customFormat="false" ht="15" hidden="false" customHeight="false" outlineLevel="0" collapsed="false">
      <c r="A426" s="48"/>
      <c r="B426" s="46"/>
      <c r="C426" s="50"/>
      <c r="D426" s="50"/>
      <c r="E426" s="50"/>
      <c r="F426" s="50"/>
      <c r="G426" s="49"/>
      <c r="H426" s="50"/>
      <c r="I426" s="50"/>
      <c r="J426" s="50"/>
      <c r="K426" s="50"/>
      <c r="L426" s="50"/>
      <c r="M426" s="46"/>
      <c r="N426" s="47"/>
      <c r="O426" s="62" t="str">
        <f aca="false">IF($B426="","",TEXT($A426,"YYYY-MM-DD")&amp;"|"&amp;$B426)</f>
        <v/>
      </c>
      <c r="P426" s="3"/>
      <c r="Q426" s="3"/>
      <c r="R426" s="3"/>
      <c r="S426" s="3"/>
      <c r="T426" s="3"/>
      <c r="U426" s="3"/>
      <c r="V426" s="3"/>
      <c r="W426" s="3"/>
      <c r="X426" s="3"/>
      <c r="Y426" s="3"/>
      <c r="Z426" s="3"/>
      <c r="AA426" s="3"/>
      <c r="AB426" s="3"/>
    </row>
    <row r="427" customFormat="false" ht="15" hidden="false" customHeight="false" outlineLevel="0" collapsed="false">
      <c r="A427" s="54"/>
      <c r="B427" s="52"/>
      <c r="C427" s="56"/>
      <c r="D427" s="56"/>
      <c r="E427" s="56"/>
      <c r="F427" s="56"/>
      <c r="G427" s="55"/>
      <c r="H427" s="56"/>
      <c r="I427" s="56"/>
      <c r="J427" s="56"/>
      <c r="K427" s="56"/>
      <c r="L427" s="56"/>
      <c r="M427" s="52"/>
      <c r="N427" s="53"/>
      <c r="O427" s="62" t="str">
        <f aca="false">IF($B427="","",TEXT($A427,"YYYY-MM-DD")&amp;"|"&amp;$B427)</f>
        <v/>
      </c>
      <c r="P427" s="3"/>
      <c r="Q427" s="3"/>
      <c r="R427" s="3"/>
      <c r="S427" s="3"/>
      <c r="T427" s="3"/>
      <c r="U427" s="3"/>
      <c r="V427" s="3"/>
      <c r="W427" s="3"/>
      <c r="X427" s="3"/>
      <c r="Y427" s="3"/>
      <c r="Z427" s="3"/>
      <c r="AA427" s="3"/>
      <c r="AB427" s="3"/>
    </row>
    <row r="428" customFormat="false" ht="15" hidden="false" customHeight="false" outlineLevel="0" collapsed="false">
      <c r="A428" s="48"/>
      <c r="B428" s="46"/>
      <c r="C428" s="50"/>
      <c r="D428" s="50"/>
      <c r="E428" s="50"/>
      <c r="F428" s="50"/>
      <c r="G428" s="49"/>
      <c r="H428" s="50"/>
      <c r="I428" s="50"/>
      <c r="J428" s="50"/>
      <c r="K428" s="50"/>
      <c r="L428" s="50"/>
      <c r="M428" s="46"/>
      <c r="N428" s="47"/>
      <c r="O428" s="62" t="str">
        <f aca="false">IF($B428="","",TEXT($A428,"YYYY-MM-DD")&amp;"|"&amp;$B428)</f>
        <v/>
      </c>
      <c r="P428" s="3"/>
      <c r="Q428" s="3"/>
      <c r="R428" s="3"/>
      <c r="S428" s="3"/>
      <c r="T428" s="3"/>
      <c r="U428" s="3"/>
      <c r="V428" s="3"/>
      <c r="W428" s="3"/>
      <c r="X428" s="3"/>
      <c r="Y428" s="3"/>
      <c r="Z428" s="3"/>
      <c r="AA428" s="3"/>
      <c r="AB428" s="3"/>
    </row>
    <row r="429" customFormat="false" ht="15" hidden="false" customHeight="false" outlineLevel="0" collapsed="false">
      <c r="A429" s="54"/>
      <c r="B429" s="52"/>
      <c r="C429" s="56"/>
      <c r="D429" s="56"/>
      <c r="E429" s="56"/>
      <c r="F429" s="56"/>
      <c r="G429" s="55"/>
      <c r="H429" s="56"/>
      <c r="I429" s="56"/>
      <c r="J429" s="56"/>
      <c r="K429" s="56"/>
      <c r="L429" s="56"/>
      <c r="M429" s="52"/>
      <c r="N429" s="53"/>
      <c r="O429" s="62" t="str">
        <f aca="false">IF($B429="","",TEXT($A429,"YYYY-MM-DD")&amp;"|"&amp;$B429)</f>
        <v/>
      </c>
      <c r="P429" s="3"/>
      <c r="Q429" s="3"/>
      <c r="R429" s="3"/>
      <c r="S429" s="3"/>
      <c r="T429" s="3"/>
      <c r="U429" s="3"/>
      <c r="V429" s="3"/>
      <c r="W429" s="3"/>
      <c r="X429" s="3"/>
      <c r="Y429" s="3"/>
      <c r="Z429" s="3"/>
      <c r="AA429" s="3"/>
      <c r="AB429" s="3"/>
    </row>
    <row r="430" customFormat="false" ht="15" hidden="false" customHeight="false" outlineLevel="0" collapsed="false">
      <c r="A430" s="48"/>
      <c r="B430" s="46"/>
      <c r="C430" s="50"/>
      <c r="D430" s="50"/>
      <c r="E430" s="50"/>
      <c r="F430" s="50"/>
      <c r="G430" s="49"/>
      <c r="H430" s="50"/>
      <c r="I430" s="50"/>
      <c r="J430" s="50"/>
      <c r="K430" s="50"/>
      <c r="L430" s="50"/>
      <c r="M430" s="46"/>
      <c r="N430" s="47"/>
      <c r="O430" s="62" t="str">
        <f aca="false">IF($B430="","",TEXT($A430,"YYYY-MM-DD")&amp;"|"&amp;$B430)</f>
        <v/>
      </c>
      <c r="P430" s="3"/>
      <c r="Q430" s="3"/>
      <c r="R430" s="3"/>
      <c r="S430" s="3"/>
      <c r="T430" s="3"/>
      <c r="U430" s="3"/>
      <c r="V430" s="3"/>
      <c r="W430" s="3"/>
      <c r="X430" s="3"/>
      <c r="Y430" s="3"/>
      <c r="Z430" s="3"/>
      <c r="AA430" s="3"/>
      <c r="AB430" s="3"/>
    </row>
    <row r="431" customFormat="false" ht="15" hidden="false" customHeight="false" outlineLevel="0" collapsed="false">
      <c r="A431" s="54"/>
      <c r="B431" s="52"/>
      <c r="C431" s="56"/>
      <c r="D431" s="56"/>
      <c r="E431" s="56"/>
      <c r="F431" s="56"/>
      <c r="G431" s="55"/>
      <c r="H431" s="56"/>
      <c r="I431" s="56"/>
      <c r="J431" s="56"/>
      <c r="K431" s="56"/>
      <c r="L431" s="56"/>
      <c r="M431" s="52"/>
      <c r="N431" s="53"/>
      <c r="O431" s="62" t="str">
        <f aca="false">IF($B431="","",TEXT($A431,"YYYY-MM-DD")&amp;"|"&amp;$B431)</f>
        <v/>
      </c>
      <c r="P431" s="3"/>
      <c r="Q431" s="3"/>
      <c r="R431" s="3"/>
      <c r="S431" s="3"/>
      <c r="T431" s="3"/>
      <c r="U431" s="3"/>
      <c r="V431" s="3"/>
      <c r="W431" s="3"/>
      <c r="X431" s="3"/>
      <c r="Y431" s="3"/>
      <c r="Z431" s="3"/>
      <c r="AA431" s="3"/>
      <c r="AB431" s="3"/>
    </row>
    <row r="432" customFormat="false" ht="15" hidden="false" customHeight="false" outlineLevel="0" collapsed="false">
      <c r="A432" s="48"/>
      <c r="B432" s="46"/>
      <c r="C432" s="50"/>
      <c r="D432" s="50"/>
      <c r="E432" s="50"/>
      <c r="F432" s="50"/>
      <c r="G432" s="49"/>
      <c r="H432" s="50"/>
      <c r="I432" s="50"/>
      <c r="J432" s="50"/>
      <c r="K432" s="50"/>
      <c r="L432" s="50"/>
      <c r="M432" s="46"/>
      <c r="N432" s="47"/>
      <c r="O432" s="62" t="str">
        <f aca="false">IF($B432="","",TEXT($A432,"YYYY-MM-DD")&amp;"|"&amp;$B432)</f>
        <v/>
      </c>
      <c r="P432" s="3"/>
      <c r="Q432" s="3"/>
      <c r="R432" s="3"/>
      <c r="S432" s="3"/>
      <c r="T432" s="3"/>
      <c r="U432" s="3"/>
      <c r="V432" s="3"/>
      <c r="W432" s="3"/>
      <c r="X432" s="3"/>
      <c r="Y432" s="3"/>
      <c r="Z432" s="3"/>
      <c r="AA432" s="3"/>
      <c r="AB432" s="3"/>
    </row>
    <row r="433" customFormat="false" ht="15" hidden="false" customHeight="false" outlineLevel="0" collapsed="false">
      <c r="A433" s="54"/>
      <c r="B433" s="52"/>
      <c r="C433" s="56"/>
      <c r="D433" s="56"/>
      <c r="E433" s="56"/>
      <c r="F433" s="56"/>
      <c r="G433" s="55"/>
      <c r="H433" s="56"/>
      <c r="I433" s="56"/>
      <c r="J433" s="56"/>
      <c r="K433" s="56"/>
      <c r="L433" s="56"/>
      <c r="M433" s="52"/>
      <c r="N433" s="53"/>
      <c r="O433" s="62" t="str">
        <f aca="false">IF($B433="","",TEXT($A433,"YYYY-MM-DD")&amp;"|"&amp;$B433)</f>
        <v/>
      </c>
      <c r="P433" s="3"/>
      <c r="Q433" s="3"/>
      <c r="R433" s="3"/>
      <c r="S433" s="3"/>
      <c r="T433" s="3"/>
      <c r="U433" s="3"/>
      <c r="V433" s="3"/>
      <c r="W433" s="3"/>
      <c r="X433" s="3"/>
      <c r="Y433" s="3"/>
      <c r="Z433" s="3"/>
      <c r="AA433" s="3"/>
      <c r="AB433" s="3"/>
    </row>
    <row r="434" customFormat="false" ht="15" hidden="false" customHeight="false" outlineLevel="0" collapsed="false">
      <c r="A434" s="48"/>
      <c r="B434" s="46"/>
      <c r="C434" s="50"/>
      <c r="D434" s="50"/>
      <c r="E434" s="50"/>
      <c r="F434" s="50"/>
      <c r="G434" s="49"/>
      <c r="H434" s="50"/>
      <c r="I434" s="50"/>
      <c r="J434" s="50"/>
      <c r="K434" s="50"/>
      <c r="L434" s="50"/>
      <c r="M434" s="46"/>
      <c r="N434" s="47"/>
      <c r="O434" s="62" t="str">
        <f aca="false">IF($B434="","",TEXT($A434,"YYYY-MM-DD")&amp;"|"&amp;$B434)</f>
        <v/>
      </c>
      <c r="P434" s="3"/>
      <c r="Q434" s="3"/>
      <c r="R434" s="3"/>
      <c r="S434" s="3"/>
      <c r="T434" s="3"/>
      <c r="U434" s="3"/>
      <c r="V434" s="3"/>
      <c r="W434" s="3"/>
      <c r="X434" s="3"/>
      <c r="Y434" s="3"/>
      <c r="Z434" s="3"/>
      <c r="AA434" s="3"/>
      <c r="AB434" s="3"/>
    </row>
    <row r="435" customFormat="false" ht="15" hidden="false" customHeight="false" outlineLevel="0" collapsed="false">
      <c r="A435" s="54"/>
      <c r="B435" s="52"/>
      <c r="C435" s="56"/>
      <c r="D435" s="56"/>
      <c r="E435" s="56"/>
      <c r="F435" s="56"/>
      <c r="G435" s="55"/>
      <c r="H435" s="56"/>
      <c r="I435" s="56"/>
      <c r="J435" s="56"/>
      <c r="K435" s="56"/>
      <c r="L435" s="56"/>
      <c r="M435" s="52"/>
      <c r="N435" s="53"/>
      <c r="O435" s="62" t="str">
        <f aca="false">IF($B435="","",TEXT($A435,"YYYY-MM-DD")&amp;"|"&amp;$B435)</f>
        <v/>
      </c>
      <c r="P435" s="3"/>
      <c r="Q435" s="3"/>
      <c r="R435" s="3"/>
      <c r="S435" s="3"/>
      <c r="T435" s="3"/>
      <c r="U435" s="3"/>
      <c r="V435" s="3"/>
      <c r="W435" s="3"/>
      <c r="X435" s="3"/>
      <c r="Y435" s="3"/>
      <c r="Z435" s="3"/>
      <c r="AA435" s="3"/>
      <c r="AB435" s="3"/>
    </row>
    <row r="436" customFormat="false" ht="15" hidden="false" customHeight="false" outlineLevel="0" collapsed="false">
      <c r="A436" s="48"/>
      <c r="B436" s="46"/>
      <c r="C436" s="50"/>
      <c r="D436" s="50"/>
      <c r="E436" s="50"/>
      <c r="F436" s="50"/>
      <c r="G436" s="49"/>
      <c r="H436" s="50"/>
      <c r="I436" s="50"/>
      <c r="J436" s="50"/>
      <c r="K436" s="50"/>
      <c r="L436" s="50"/>
      <c r="M436" s="46"/>
      <c r="N436" s="47"/>
      <c r="O436" s="62" t="str">
        <f aca="false">IF($B436="","",TEXT($A436,"YYYY-MM-DD")&amp;"|"&amp;$B436)</f>
        <v/>
      </c>
      <c r="P436" s="3"/>
      <c r="Q436" s="3"/>
      <c r="R436" s="3"/>
      <c r="S436" s="3"/>
      <c r="T436" s="3"/>
      <c r="U436" s="3"/>
      <c r="V436" s="3"/>
      <c r="W436" s="3"/>
      <c r="X436" s="3"/>
      <c r="Y436" s="3"/>
      <c r="Z436" s="3"/>
      <c r="AA436" s="3"/>
      <c r="AB436" s="3"/>
    </row>
    <row r="437" customFormat="false" ht="15" hidden="false" customHeight="false" outlineLevel="0" collapsed="false">
      <c r="A437" s="54"/>
      <c r="B437" s="52"/>
      <c r="C437" s="56"/>
      <c r="D437" s="56"/>
      <c r="E437" s="56"/>
      <c r="F437" s="56"/>
      <c r="G437" s="55"/>
      <c r="H437" s="56"/>
      <c r="I437" s="56"/>
      <c r="J437" s="56"/>
      <c r="K437" s="56"/>
      <c r="L437" s="56"/>
      <c r="M437" s="52"/>
      <c r="N437" s="53"/>
      <c r="O437" s="62" t="str">
        <f aca="false">IF($B437="","",TEXT($A437,"YYYY-MM-DD")&amp;"|"&amp;$B437)</f>
        <v/>
      </c>
      <c r="P437" s="3"/>
      <c r="Q437" s="3"/>
      <c r="R437" s="3"/>
      <c r="S437" s="3"/>
      <c r="T437" s="3"/>
      <c r="U437" s="3"/>
      <c r="V437" s="3"/>
      <c r="W437" s="3"/>
      <c r="X437" s="3"/>
      <c r="Y437" s="3"/>
      <c r="Z437" s="3"/>
      <c r="AA437" s="3"/>
      <c r="AB437" s="3"/>
    </row>
    <row r="438" customFormat="false" ht="15" hidden="false" customHeight="false" outlineLevel="0" collapsed="false">
      <c r="A438" s="48"/>
      <c r="B438" s="46"/>
      <c r="C438" s="50"/>
      <c r="D438" s="50"/>
      <c r="E438" s="50"/>
      <c r="F438" s="50"/>
      <c r="G438" s="49"/>
      <c r="H438" s="50"/>
      <c r="I438" s="50"/>
      <c r="J438" s="50"/>
      <c r="K438" s="50"/>
      <c r="L438" s="50"/>
      <c r="M438" s="46"/>
      <c r="N438" s="47"/>
      <c r="O438" s="62" t="str">
        <f aca="false">IF($B438="","",TEXT($A438,"YYYY-MM-DD")&amp;"|"&amp;$B438)</f>
        <v/>
      </c>
      <c r="P438" s="3"/>
      <c r="Q438" s="3"/>
      <c r="R438" s="3"/>
      <c r="S438" s="3"/>
      <c r="T438" s="3"/>
      <c r="U438" s="3"/>
      <c r="V438" s="3"/>
      <c r="W438" s="3"/>
      <c r="X438" s="3"/>
      <c r="Y438" s="3"/>
      <c r="Z438" s="3"/>
      <c r="AA438" s="3"/>
      <c r="AB438" s="3"/>
    </row>
    <row r="439" customFormat="false" ht="15" hidden="false" customHeight="false" outlineLevel="0" collapsed="false">
      <c r="A439" s="54"/>
      <c r="B439" s="52"/>
      <c r="C439" s="56"/>
      <c r="D439" s="56"/>
      <c r="E439" s="56"/>
      <c r="F439" s="56"/>
      <c r="G439" s="55"/>
      <c r="H439" s="56"/>
      <c r="I439" s="56"/>
      <c r="J439" s="56"/>
      <c r="K439" s="56"/>
      <c r="L439" s="56"/>
      <c r="M439" s="52"/>
      <c r="N439" s="53"/>
      <c r="O439" s="62" t="str">
        <f aca="false">IF($B439="","",TEXT($A439,"YYYY-MM-DD")&amp;"|"&amp;$B439)</f>
        <v/>
      </c>
      <c r="P439" s="3"/>
      <c r="Q439" s="3"/>
      <c r="R439" s="3"/>
      <c r="S439" s="3"/>
      <c r="T439" s="3"/>
      <c r="U439" s="3"/>
      <c r="V439" s="3"/>
      <c r="W439" s="3"/>
      <c r="X439" s="3"/>
      <c r="Y439" s="3"/>
      <c r="Z439" s="3"/>
      <c r="AA439" s="3"/>
      <c r="AB439" s="3"/>
    </row>
    <row r="440" customFormat="false" ht="15" hidden="false" customHeight="false" outlineLevel="0" collapsed="false">
      <c r="A440" s="48"/>
      <c r="B440" s="46"/>
      <c r="C440" s="50"/>
      <c r="D440" s="50"/>
      <c r="E440" s="50"/>
      <c r="F440" s="50"/>
      <c r="G440" s="49"/>
      <c r="H440" s="50"/>
      <c r="I440" s="50"/>
      <c r="J440" s="50"/>
      <c r="K440" s="50"/>
      <c r="L440" s="50"/>
      <c r="M440" s="46"/>
      <c r="N440" s="47"/>
      <c r="O440" s="62" t="str">
        <f aca="false">IF($B440="","",TEXT($A440,"YYYY-MM-DD")&amp;"|"&amp;$B440)</f>
        <v/>
      </c>
      <c r="P440" s="3"/>
      <c r="Q440" s="3"/>
      <c r="R440" s="3"/>
      <c r="S440" s="3"/>
      <c r="T440" s="3"/>
      <c r="U440" s="3"/>
      <c r="V440" s="3"/>
      <c r="W440" s="3"/>
      <c r="X440" s="3"/>
      <c r="Y440" s="3"/>
      <c r="Z440" s="3"/>
      <c r="AA440" s="3"/>
      <c r="AB440" s="3"/>
    </row>
    <row r="441" customFormat="false" ht="15" hidden="false" customHeight="false" outlineLevel="0" collapsed="false">
      <c r="A441" s="54"/>
      <c r="B441" s="52"/>
      <c r="C441" s="56"/>
      <c r="D441" s="56"/>
      <c r="E441" s="56"/>
      <c r="F441" s="56"/>
      <c r="G441" s="55"/>
      <c r="H441" s="56"/>
      <c r="I441" s="56"/>
      <c r="J441" s="56"/>
      <c r="K441" s="56"/>
      <c r="L441" s="56"/>
      <c r="M441" s="52"/>
      <c r="N441" s="53"/>
      <c r="O441" s="62" t="str">
        <f aca="false">IF($B441="","",TEXT($A441,"YYYY-MM-DD")&amp;"|"&amp;$B441)</f>
        <v/>
      </c>
      <c r="P441" s="3"/>
      <c r="Q441" s="3"/>
      <c r="R441" s="3"/>
      <c r="S441" s="3"/>
      <c r="T441" s="3"/>
      <c r="U441" s="3"/>
      <c r="V441" s="3"/>
      <c r="W441" s="3"/>
      <c r="X441" s="3"/>
      <c r="Y441" s="3"/>
      <c r="Z441" s="3"/>
      <c r="AA441" s="3"/>
      <c r="AB441" s="3"/>
    </row>
    <row r="442" customFormat="false" ht="15" hidden="false" customHeight="false" outlineLevel="0" collapsed="false">
      <c r="A442" s="48"/>
      <c r="B442" s="46"/>
      <c r="C442" s="50"/>
      <c r="D442" s="50"/>
      <c r="E442" s="50"/>
      <c r="F442" s="50"/>
      <c r="G442" s="49"/>
      <c r="H442" s="50"/>
      <c r="I442" s="50"/>
      <c r="J442" s="50"/>
      <c r="K442" s="50"/>
      <c r="L442" s="50"/>
      <c r="M442" s="46"/>
      <c r="N442" s="47"/>
      <c r="O442" s="62" t="str">
        <f aca="false">IF($B442="","",TEXT($A442,"YYYY-MM-DD")&amp;"|"&amp;$B442)</f>
        <v/>
      </c>
      <c r="P442" s="3"/>
      <c r="Q442" s="3"/>
      <c r="R442" s="3"/>
      <c r="S442" s="3"/>
      <c r="T442" s="3"/>
      <c r="U442" s="3"/>
      <c r="V442" s="3"/>
      <c r="W442" s="3"/>
      <c r="X442" s="3"/>
      <c r="Y442" s="3"/>
      <c r="Z442" s="3"/>
      <c r="AA442" s="3"/>
      <c r="AB442" s="3"/>
    </row>
    <row r="443" customFormat="false" ht="15" hidden="false" customHeight="false" outlineLevel="0" collapsed="false">
      <c r="A443" s="54"/>
      <c r="B443" s="52"/>
      <c r="C443" s="56"/>
      <c r="D443" s="56"/>
      <c r="E443" s="56"/>
      <c r="F443" s="56"/>
      <c r="G443" s="55"/>
      <c r="H443" s="56"/>
      <c r="I443" s="56"/>
      <c r="J443" s="56"/>
      <c r="K443" s="56"/>
      <c r="L443" s="56"/>
      <c r="M443" s="52"/>
      <c r="N443" s="53"/>
      <c r="O443" s="62" t="str">
        <f aca="false">IF($B443="","",TEXT($A443,"YYYY-MM-DD")&amp;"|"&amp;$B443)</f>
        <v/>
      </c>
      <c r="P443" s="3"/>
      <c r="Q443" s="3"/>
      <c r="R443" s="3"/>
      <c r="S443" s="3"/>
      <c r="T443" s="3"/>
      <c r="U443" s="3"/>
      <c r="V443" s="3"/>
      <c r="W443" s="3"/>
      <c r="X443" s="3"/>
      <c r="Y443" s="3"/>
      <c r="Z443" s="3"/>
      <c r="AA443" s="3"/>
      <c r="AB443" s="3"/>
    </row>
    <row r="444" customFormat="false" ht="15" hidden="false" customHeight="false" outlineLevel="0" collapsed="false">
      <c r="A444" s="48"/>
      <c r="B444" s="46"/>
      <c r="C444" s="50"/>
      <c r="D444" s="50"/>
      <c r="E444" s="50"/>
      <c r="F444" s="50"/>
      <c r="G444" s="49"/>
      <c r="H444" s="50"/>
      <c r="I444" s="50"/>
      <c r="J444" s="50"/>
      <c r="K444" s="50"/>
      <c r="L444" s="50"/>
      <c r="M444" s="46"/>
      <c r="N444" s="47"/>
      <c r="O444" s="62" t="str">
        <f aca="false">IF($B444="","",TEXT($A444,"YYYY-MM-DD")&amp;"|"&amp;$B444)</f>
        <v/>
      </c>
      <c r="P444" s="3"/>
      <c r="Q444" s="3"/>
      <c r="R444" s="3"/>
      <c r="S444" s="3"/>
      <c r="T444" s="3"/>
      <c r="U444" s="3"/>
      <c r="V444" s="3"/>
      <c r="W444" s="3"/>
      <c r="X444" s="3"/>
      <c r="Y444" s="3"/>
      <c r="Z444" s="3"/>
      <c r="AA444" s="3"/>
      <c r="AB444" s="3"/>
    </row>
    <row r="445" customFormat="false" ht="15" hidden="false" customHeight="false" outlineLevel="0" collapsed="false">
      <c r="A445" s="54"/>
      <c r="B445" s="52"/>
      <c r="C445" s="56"/>
      <c r="D445" s="56"/>
      <c r="E445" s="56"/>
      <c r="F445" s="56"/>
      <c r="G445" s="55"/>
      <c r="H445" s="56"/>
      <c r="I445" s="56"/>
      <c r="J445" s="56"/>
      <c r="K445" s="56"/>
      <c r="L445" s="56"/>
      <c r="M445" s="52"/>
      <c r="N445" s="53"/>
      <c r="O445" s="62" t="str">
        <f aca="false">IF($B445="","",TEXT($A445,"YYYY-MM-DD")&amp;"|"&amp;$B445)</f>
        <v/>
      </c>
      <c r="P445" s="3"/>
      <c r="Q445" s="3"/>
      <c r="R445" s="3"/>
      <c r="S445" s="3"/>
      <c r="T445" s="3"/>
      <c r="U445" s="3"/>
      <c r="V445" s="3"/>
      <c r="W445" s="3"/>
      <c r="X445" s="3"/>
      <c r="Y445" s="3"/>
      <c r="Z445" s="3"/>
      <c r="AA445" s="3"/>
      <c r="AB445" s="3"/>
    </row>
    <row r="446" customFormat="false" ht="15" hidden="false" customHeight="false" outlineLevel="0" collapsed="false">
      <c r="A446" s="48"/>
      <c r="B446" s="46"/>
      <c r="C446" s="50"/>
      <c r="D446" s="50"/>
      <c r="E446" s="50"/>
      <c r="F446" s="50"/>
      <c r="G446" s="49"/>
      <c r="H446" s="50"/>
      <c r="I446" s="50"/>
      <c r="J446" s="50"/>
      <c r="K446" s="50"/>
      <c r="L446" s="50"/>
      <c r="M446" s="46"/>
      <c r="N446" s="47"/>
      <c r="O446" s="62" t="str">
        <f aca="false">IF($B446="","",TEXT($A446,"YYYY-MM-DD")&amp;"|"&amp;$B446)</f>
        <v/>
      </c>
      <c r="P446" s="3"/>
      <c r="Q446" s="3"/>
      <c r="R446" s="3"/>
      <c r="S446" s="3"/>
      <c r="T446" s="3"/>
      <c r="U446" s="3"/>
      <c r="V446" s="3"/>
      <c r="W446" s="3"/>
      <c r="X446" s="3"/>
      <c r="Y446" s="3"/>
      <c r="Z446" s="3"/>
      <c r="AA446" s="3"/>
      <c r="AB446" s="3"/>
    </row>
    <row r="447" customFormat="false" ht="15" hidden="false" customHeight="false" outlineLevel="0" collapsed="false">
      <c r="A447" s="54"/>
      <c r="B447" s="52"/>
      <c r="C447" s="56"/>
      <c r="D447" s="56"/>
      <c r="E447" s="56"/>
      <c r="F447" s="56"/>
      <c r="G447" s="55"/>
      <c r="H447" s="56"/>
      <c r="I447" s="56"/>
      <c r="J447" s="56"/>
      <c r="K447" s="56"/>
      <c r="L447" s="56"/>
      <c r="M447" s="52"/>
      <c r="N447" s="53"/>
      <c r="O447" s="62" t="str">
        <f aca="false">IF($B447="","",TEXT($A447,"YYYY-MM-DD")&amp;"|"&amp;$B447)</f>
        <v/>
      </c>
      <c r="P447" s="3"/>
      <c r="Q447" s="3"/>
      <c r="R447" s="3"/>
      <c r="S447" s="3"/>
      <c r="T447" s="3"/>
      <c r="U447" s="3"/>
      <c r="V447" s="3"/>
      <c r="W447" s="3"/>
      <c r="X447" s="3"/>
      <c r="Y447" s="3"/>
      <c r="Z447" s="3"/>
      <c r="AA447" s="3"/>
      <c r="AB447" s="3"/>
    </row>
    <row r="448" customFormat="false" ht="15" hidden="false" customHeight="false" outlineLevel="0" collapsed="false">
      <c r="A448" s="48"/>
      <c r="B448" s="46"/>
      <c r="C448" s="50"/>
      <c r="D448" s="50"/>
      <c r="E448" s="50"/>
      <c r="F448" s="50"/>
      <c r="G448" s="49"/>
      <c r="H448" s="50"/>
      <c r="I448" s="50"/>
      <c r="J448" s="50"/>
      <c r="K448" s="50"/>
      <c r="L448" s="50"/>
      <c r="M448" s="46"/>
      <c r="N448" s="47"/>
      <c r="O448" s="62" t="str">
        <f aca="false">IF($B448="","",TEXT($A448,"YYYY-MM-DD")&amp;"|"&amp;$B448)</f>
        <v/>
      </c>
      <c r="P448" s="3"/>
      <c r="Q448" s="3"/>
      <c r="R448" s="3"/>
      <c r="S448" s="3"/>
      <c r="T448" s="3"/>
      <c r="U448" s="3"/>
      <c r="V448" s="3"/>
      <c r="W448" s="3"/>
      <c r="X448" s="3"/>
      <c r="Y448" s="3"/>
      <c r="Z448" s="3"/>
      <c r="AA448" s="3"/>
      <c r="AB448" s="3"/>
    </row>
    <row r="449" customFormat="false" ht="15" hidden="false" customHeight="false" outlineLevel="0" collapsed="false">
      <c r="A449" s="54"/>
      <c r="B449" s="52"/>
      <c r="C449" s="56"/>
      <c r="D449" s="56"/>
      <c r="E449" s="56"/>
      <c r="F449" s="56"/>
      <c r="G449" s="55"/>
      <c r="H449" s="56"/>
      <c r="I449" s="56"/>
      <c r="J449" s="56"/>
      <c r="K449" s="56"/>
      <c r="L449" s="56"/>
      <c r="M449" s="52"/>
      <c r="N449" s="53"/>
      <c r="O449" s="62" t="str">
        <f aca="false">IF($B449="","",TEXT($A449,"YYYY-MM-DD")&amp;"|"&amp;$B449)</f>
        <v/>
      </c>
      <c r="P449" s="3"/>
      <c r="Q449" s="3"/>
      <c r="R449" s="3"/>
      <c r="S449" s="3"/>
      <c r="T449" s="3"/>
      <c r="U449" s="3"/>
      <c r="V449" s="3"/>
      <c r="W449" s="3"/>
      <c r="X449" s="3"/>
      <c r="Y449" s="3"/>
      <c r="Z449" s="3"/>
      <c r="AA449" s="3"/>
      <c r="AB449" s="3"/>
    </row>
    <row r="450" customFormat="false" ht="15" hidden="false" customHeight="false" outlineLevel="0" collapsed="false">
      <c r="A450" s="48"/>
      <c r="B450" s="46"/>
      <c r="C450" s="50"/>
      <c r="D450" s="50"/>
      <c r="E450" s="50"/>
      <c r="F450" s="50"/>
      <c r="G450" s="49"/>
      <c r="H450" s="50"/>
      <c r="I450" s="50"/>
      <c r="J450" s="50"/>
      <c r="K450" s="50"/>
      <c r="L450" s="50"/>
      <c r="M450" s="46"/>
      <c r="N450" s="47"/>
      <c r="O450" s="62" t="str">
        <f aca="false">IF($B450="","",TEXT($A450,"YYYY-MM-DD")&amp;"|"&amp;$B450)</f>
        <v/>
      </c>
      <c r="P450" s="3"/>
      <c r="Q450" s="3"/>
      <c r="R450" s="3"/>
      <c r="S450" s="3"/>
      <c r="T450" s="3"/>
      <c r="U450" s="3"/>
      <c r="V450" s="3"/>
      <c r="W450" s="3"/>
      <c r="X450" s="3"/>
      <c r="Y450" s="3"/>
      <c r="Z450" s="3"/>
      <c r="AA450" s="3"/>
      <c r="AB450" s="3"/>
    </row>
    <row r="451" customFormat="false" ht="15" hidden="false" customHeight="false" outlineLevel="0" collapsed="false">
      <c r="A451" s="54"/>
      <c r="B451" s="52"/>
      <c r="C451" s="56"/>
      <c r="D451" s="56"/>
      <c r="E451" s="56"/>
      <c r="F451" s="56"/>
      <c r="G451" s="55"/>
      <c r="H451" s="56"/>
      <c r="I451" s="56"/>
      <c r="J451" s="56"/>
      <c r="K451" s="56"/>
      <c r="L451" s="56"/>
      <c r="M451" s="52"/>
      <c r="N451" s="53"/>
      <c r="O451" s="62" t="str">
        <f aca="false">IF($B451="","",TEXT($A451,"YYYY-MM-DD")&amp;"|"&amp;$B451)</f>
        <v/>
      </c>
      <c r="P451" s="3"/>
      <c r="Q451" s="3"/>
      <c r="R451" s="3"/>
      <c r="S451" s="3"/>
      <c r="T451" s="3"/>
      <c r="U451" s="3"/>
      <c r="V451" s="3"/>
      <c r="W451" s="3"/>
      <c r="X451" s="3"/>
      <c r="Y451" s="3"/>
      <c r="Z451" s="3"/>
      <c r="AA451" s="3"/>
      <c r="AB451" s="3"/>
    </row>
    <row r="452" customFormat="false" ht="15" hidden="false" customHeight="false" outlineLevel="0" collapsed="false">
      <c r="A452" s="48"/>
      <c r="B452" s="46"/>
      <c r="C452" s="50"/>
      <c r="D452" s="50"/>
      <c r="E452" s="50"/>
      <c r="F452" s="50"/>
      <c r="G452" s="49"/>
      <c r="H452" s="50"/>
      <c r="I452" s="50"/>
      <c r="J452" s="50"/>
      <c r="K452" s="50"/>
      <c r="L452" s="50"/>
      <c r="M452" s="46"/>
      <c r="N452" s="47"/>
      <c r="O452" s="62" t="str">
        <f aca="false">IF($B452="","",TEXT($A452,"YYYY-MM-DD")&amp;"|"&amp;$B452)</f>
        <v/>
      </c>
      <c r="P452" s="3"/>
      <c r="Q452" s="3"/>
      <c r="R452" s="3"/>
      <c r="S452" s="3"/>
      <c r="T452" s="3"/>
      <c r="U452" s="3"/>
      <c r="V452" s="3"/>
      <c r="W452" s="3"/>
      <c r="X452" s="3"/>
      <c r="Y452" s="3"/>
      <c r="Z452" s="3"/>
      <c r="AA452" s="3"/>
      <c r="AB452" s="3"/>
    </row>
    <row r="453" customFormat="false" ht="15" hidden="false" customHeight="false" outlineLevel="0" collapsed="false">
      <c r="A453" s="54"/>
      <c r="B453" s="52"/>
      <c r="C453" s="56"/>
      <c r="D453" s="56"/>
      <c r="E453" s="56"/>
      <c r="F453" s="56"/>
      <c r="G453" s="55"/>
      <c r="H453" s="56"/>
      <c r="I453" s="56"/>
      <c r="J453" s="56"/>
      <c r="K453" s="56"/>
      <c r="L453" s="56"/>
      <c r="M453" s="52"/>
      <c r="N453" s="53"/>
      <c r="O453" s="62" t="str">
        <f aca="false">IF($B453="","",TEXT($A453,"YYYY-MM-DD")&amp;"|"&amp;$B453)</f>
        <v/>
      </c>
      <c r="P453" s="3"/>
      <c r="Q453" s="3"/>
      <c r="R453" s="3"/>
      <c r="S453" s="3"/>
      <c r="T453" s="3"/>
      <c r="U453" s="3"/>
      <c r="V453" s="3"/>
      <c r="W453" s="3"/>
      <c r="X453" s="3"/>
      <c r="Y453" s="3"/>
      <c r="Z453" s="3"/>
      <c r="AA453" s="3"/>
      <c r="AB453" s="3"/>
    </row>
    <row r="454" customFormat="false" ht="15" hidden="false" customHeight="false" outlineLevel="0" collapsed="false">
      <c r="A454" s="48"/>
      <c r="B454" s="46"/>
      <c r="C454" s="50"/>
      <c r="D454" s="50"/>
      <c r="E454" s="50"/>
      <c r="F454" s="50"/>
      <c r="G454" s="49"/>
      <c r="H454" s="50"/>
      <c r="I454" s="50"/>
      <c r="J454" s="50"/>
      <c r="K454" s="50"/>
      <c r="L454" s="50"/>
      <c r="M454" s="46"/>
      <c r="N454" s="47"/>
      <c r="O454" s="62" t="str">
        <f aca="false">IF($B454="","",TEXT($A454,"YYYY-MM-DD")&amp;"|"&amp;$B454)</f>
        <v/>
      </c>
      <c r="P454" s="3"/>
      <c r="Q454" s="3"/>
      <c r="R454" s="3"/>
      <c r="S454" s="3"/>
      <c r="T454" s="3"/>
      <c r="U454" s="3"/>
      <c r="V454" s="3"/>
      <c r="W454" s="3"/>
      <c r="X454" s="3"/>
      <c r="Y454" s="3"/>
      <c r="Z454" s="3"/>
      <c r="AA454" s="3"/>
      <c r="AB454" s="3"/>
    </row>
    <row r="455" customFormat="false" ht="15" hidden="false" customHeight="false" outlineLevel="0" collapsed="false">
      <c r="A455" s="54"/>
      <c r="B455" s="52"/>
      <c r="C455" s="56"/>
      <c r="D455" s="56"/>
      <c r="E455" s="56"/>
      <c r="F455" s="56"/>
      <c r="G455" s="55"/>
      <c r="H455" s="56"/>
      <c r="I455" s="56"/>
      <c r="J455" s="56"/>
      <c r="K455" s="56"/>
      <c r="L455" s="56"/>
      <c r="M455" s="52"/>
      <c r="N455" s="53"/>
      <c r="O455" s="62" t="str">
        <f aca="false">IF($B455="","",TEXT($A455,"YYYY-MM-DD")&amp;"|"&amp;$B455)</f>
        <v/>
      </c>
      <c r="P455" s="3"/>
      <c r="Q455" s="3"/>
      <c r="R455" s="3"/>
      <c r="S455" s="3"/>
      <c r="T455" s="3"/>
      <c r="U455" s="3"/>
      <c r="V455" s="3"/>
      <c r="W455" s="3"/>
      <c r="X455" s="3"/>
      <c r="Y455" s="3"/>
      <c r="Z455" s="3"/>
      <c r="AA455" s="3"/>
      <c r="AB455" s="3"/>
    </row>
    <row r="456" customFormat="false" ht="15" hidden="false" customHeight="false" outlineLevel="0" collapsed="false">
      <c r="A456" s="48"/>
      <c r="B456" s="46"/>
      <c r="C456" s="50"/>
      <c r="D456" s="50"/>
      <c r="E456" s="50"/>
      <c r="F456" s="50"/>
      <c r="G456" s="49"/>
      <c r="H456" s="50"/>
      <c r="I456" s="50"/>
      <c r="J456" s="50"/>
      <c r="K456" s="50"/>
      <c r="L456" s="50"/>
      <c r="M456" s="46"/>
      <c r="N456" s="47"/>
      <c r="O456" s="62" t="str">
        <f aca="false">IF($B456="","",TEXT($A456,"YYYY-MM-DD")&amp;"|"&amp;$B456)</f>
        <v/>
      </c>
      <c r="P456" s="3"/>
      <c r="Q456" s="3"/>
      <c r="R456" s="3"/>
      <c r="S456" s="3"/>
      <c r="T456" s="3"/>
      <c r="U456" s="3"/>
      <c r="V456" s="3"/>
      <c r="W456" s="3"/>
      <c r="X456" s="3"/>
      <c r="Y456" s="3"/>
      <c r="Z456" s="3"/>
      <c r="AA456" s="3"/>
      <c r="AB456" s="3"/>
    </row>
    <row r="457" customFormat="false" ht="15" hidden="false" customHeight="false" outlineLevel="0" collapsed="false">
      <c r="A457" s="54"/>
      <c r="B457" s="52"/>
      <c r="C457" s="56"/>
      <c r="D457" s="56"/>
      <c r="E457" s="56"/>
      <c r="F457" s="56"/>
      <c r="G457" s="55"/>
      <c r="H457" s="56"/>
      <c r="I457" s="56"/>
      <c r="J457" s="56"/>
      <c r="K457" s="56"/>
      <c r="L457" s="56"/>
      <c r="M457" s="52"/>
      <c r="N457" s="53"/>
      <c r="O457" s="62" t="str">
        <f aca="false">IF($B457="","",TEXT($A457,"YYYY-MM-DD")&amp;"|"&amp;$B457)</f>
        <v/>
      </c>
      <c r="P457" s="3"/>
      <c r="Q457" s="3"/>
      <c r="R457" s="3"/>
      <c r="S457" s="3"/>
      <c r="T457" s="3"/>
      <c r="U457" s="3"/>
      <c r="V457" s="3"/>
      <c r="W457" s="3"/>
      <c r="X457" s="3"/>
      <c r="Y457" s="3"/>
      <c r="Z457" s="3"/>
      <c r="AA457" s="3"/>
      <c r="AB457" s="3"/>
    </row>
    <row r="458" customFormat="false" ht="15" hidden="false" customHeight="false" outlineLevel="0" collapsed="false">
      <c r="A458" s="48"/>
      <c r="B458" s="46"/>
      <c r="C458" s="50"/>
      <c r="D458" s="50"/>
      <c r="E458" s="50"/>
      <c r="F458" s="50"/>
      <c r="G458" s="49"/>
      <c r="H458" s="50"/>
      <c r="I458" s="50"/>
      <c r="J458" s="50"/>
      <c r="K458" s="50"/>
      <c r="L458" s="50"/>
      <c r="M458" s="46"/>
      <c r="N458" s="47"/>
      <c r="O458" s="62" t="str">
        <f aca="false">IF($B458="","",TEXT($A458,"YYYY-MM-DD")&amp;"|"&amp;$B458)</f>
        <v/>
      </c>
      <c r="P458" s="3"/>
      <c r="Q458" s="3"/>
      <c r="R458" s="3"/>
      <c r="S458" s="3"/>
      <c r="T458" s="3"/>
      <c r="U458" s="3"/>
      <c r="V458" s="3"/>
      <c r="W458" s="3"/>
      <c r="X458" s="3"/>
      <c r="Y458" s="3"/>
      <c r="Z458" s="3"/>
      <c r="AA458" s="3"/>
      <c r="AB458" s="3"/>
    </row>
    <row r="459" customFormat="false" ht="15" hidden="false" customHeight="false" outlineLevel="0" collapsed="false">
      <c r="A459" s="54"/>
      <c r="B459" s="52"/>
      <c r="C459" s="56"/>
      <c r="D459" s="56"/>
      <c r="E459" s="56"/>
      <c r="F459" s="56"/>
      <c r="G459" s="55"/>
      <c r="H459" s="56"/>
      <c r="I459" s="56"/>
      <c r="J459" s="56"/>
      <c r="K459" s="56"/>
      <c r="L459" s="56"/>
      <c r="M459" s="52"/>
      <c r="N459" s="53"/>
      <c r="O459" s="62" t="str">
        <f aca="false">IF($B459="","",TEXT($A459,"YYYY-MM-DD")&amp;"|"&amp;$B459)</f>
        <v/>
      </c>
      <c r="P459" s="3"/>
      <c r="Q459" s="3"/>
      <c r="R459" s="3"/>
      <c r="S459" s="3"/>
      <c r="T459" s="3"/>
      <c r="U459" s="3"/>
      <c r="V459" s="3"/>
      <c r="W459" s="3"/>
      <c r="X459" s="3"/>
      <c r="Y459" s="3"/>
      <c r="Z459" s="3"/>
      <c r="AA459" s="3"/>
      <c r="AB459" s="3"/>
    </row>
    <row r="460" customFormat="false" ht="15" hidden="false" customHeight="false" outlineLevel="0" collapsed="false">
      <c r="A460" s="48"/>
      <c r="B460" s="46"/>
      <c r="C460" s="50"/>
      <c r="D460" s="50"/>
      <c r="E460" s="50"/>
      <c r="F460" s="50"/>
      <c r="G460" s="49"/>
      <c r="H460" s="50"/>
      <c r="I460" s="50"/>
      <c r="J460" s="50"/>
      <c r="K460" s="50"/>
      <c r="L460" s="50"/>
      <c r="M460" s="46"/>
      <c r="N460" s="47"/>
      <c r="O460" s="62" t="str">
        <f aca="false">IF($B460="","",TEXT($A460,"YYYY-MM-DD")&amp;"|"&amp;$B460)</f>
        <v/>
      </c>
      <c r="P460" s="3"/>
      <c r="Q460" s="3"/>
      <c r="R460" s="3"/>
      <c r="S460" s="3"/>
      <c r="T460" s="3"/>
      <c r="U460" s="3"/>
      <c r="V460" s="3"/>
      <c r="W460" s="3"/>
      <c r="X460" s="3"/>
      <c r="Y460" s="3"/>
      <c r="Z460" s="3"/>
      <c r="AA460" s="3"/>
      <c r="AB460" s="3"/>
    </row>
    <row r="461" customFormat="false" ht="15" hidden="false" customHeight="false" outlineLevel="0" collapsed="false">
      <c r="A461" s="54"/>
      <c r="B461" s="52"/>
      <c r="C461" s="56"/>
      <c r="D461" s="56"/>
      <c r="E461" s="56"/>
      <c r="F461" s="56"/>
      <c r="G461" s="55"/>
      <c r="H461" s="56"/>
      <c r="I461" s="56"/>
      <c r="J461" s="56"/>
      <c r="K461" s="56"/>
      <c r="L461" s="56"/>
      <c r="M461" s="52"/>
      <c r="N461" s="53"/>
      <c r="O461" s="62" t="str">
        <f aca="false">IF($B461="","",TEXT($A461,"YYYY-MM-DD")&amp;"|"&amp;$B461)</f>
        <v/>
      </c>
      <c r="P461" s="3"/>
      <c r="Q461" s="3"/>
      <c r="R461" s="3"/>
      <c r="S461" s="3"/>
      <c r="T461" s="3"/>
      <c r="U461" s="3"/>
      <c r="V461" s="3"/>
      <c r="W461" s="3"/>
      <c r="X461" s="3"/>
      <c r="Y461" s="3"/>
      <c r="Z461" s="3"/>
      <c r="AA461" s="3"/>
      <c r="AB461" s="3"/>
    </row>
    <row r="462" customFormat="false" ht="15" hidden="false" customHeight="false" outlineLevel="0" collapsed="false">
      <c r="A462" s="48"/>
      <c r="B462" s="46"/>
      <c r="C462" s="50"/>
      <c r="D462" s="50"/>
      <c r="E462" s="50"/>
      <c r="F462" s="50"/>
      <c r="G462" s="49"/>
      <c r="H462" s="50"/>
      <c r="I462" s="50"/>
      <c r="J462" s="50"/>
      <c r="K462" s="50"/>
      <c r="L462" s="50"/>
      <c r="M462" s="46"/>
      <c r="N462" s="47"/>
      <c r="O462" s="62" t="str">
        <f aca="false">IF($B462="","",TEXT($A462,"YYYY-MM-DD")&amp;"|"&amp;$B462)</f>
        <v/>
      </c>
      <c r="P462" s="3"/>
      <c r="Q462" s="3"/>
      <c r="R462" s="3"/>
      <c r="S462" s="3"/>
      <c r="T462" s="3"/>
      <c r="U462" s="3"/>
      <c r="V462" s="3"/>
      <c r="W462" s="3"/>
      <c r="X462" s="3"/>
      <c r="Y462" s="3"/>
      <c r="Z462" s="3"/>
      <c r="AA462" s="3"/>
      <c r="AB462" s="3"/>
    </row>
    <row r="463" customFormat="false" ht="15" hidden="false" customHeight="false" outlineLevel="0" collapsed="false">
      <c r="A463" s="54"/>
      <c r="B463" s="52"/>
      <c r="C463" s="56"/>
      <c r="D463" s="56"/>
      <c r="E463" s="56"/>
      <c r="F463" s="56"/>
      <c r="G463" s="55"/>
      <c r="H463" s="56"/>
      <c r="I463" s="56"/>
      <c r="J463" s="56"/>
      <c r="K463" s="56"/>
      <c r="L463" s="56"/>
      <c r="M463" s="52"/>
      <c r="N463" s="53"/>
      <c r="O463" s="62" t="str">
        <f aca="false">IF($B463="","",TEXT($A463,"YYYY-MM-DD")&amp;"|"&amp;$B463)</f>
        <v/>
      </c>
      <c r="P463" s="3"/>
      <c r="Q463" s="3"/>
      <c r="R463" s="3"/>
      <c r="S463" s="3"/>
      <c r="T463" s="3"/>
      <c r="U463" s="3"/>
      <c r="V463" s="3"/>
      <c r="W463" s="3"/>
      <c r="X463" s="3"/>
      <c r="Y463" s="3"/>
      <c r="Z463" s="3"/>
      <c r="AA463" s="3"/>
      <c r="AB463" s="3"/>
    </row>
    <row r="464" customFormat="false" ht="15" hidden="false" customHeight="false" outlineLevel="0" collapsed="false">
      <c r="A464" s="48"/>
      <c r="B464" s="46"/>
      <c r="C464" s="50"/>
      <c r="D464" s="50"/>
      <c r="E464" s="50"/>
      <c r="F464" s="50"/>
      <c r="G464" s="49"/>
      <c r="H464" s="50"/>
      <c r="I464" s="50"/>
      <c r="J464" s="50"/>
      <c r="K464" s="50"/>
      <c r="L464" s="50"/>
      <c r="M464" s="46"/>
      <c r="N464" s="47"/>
      <c r="O464" s="62" t="str">
        <f aca="false">IF($B464="","",TEXT($A464,"YYYY-MM-DD")&amp;"|"&amp;$B464)</f>
        <v/>
      </c>
      <c r="P464" s="3"/>
      <c r="Q464" s="3"/>
      <c r="R464" s="3"/>
      <c r="S464" s="3"/>
      <c r="T464" s="3"/>
      <c r="U464" s="3"/>
      <c r="V464" s="3"/>
      <c r="W464" s="3"/>
      <c r="X464" s="3"/>
      <c r="Y464" s="3"/>
      <c r="Z464" s="3"/>
      <c r="AA464" s="3"/>
      <c r="AB464" s="3"/>
    </row>
    <row r="465" customFormat="false" ht="15" hidden="false" customHeight="false" outlineLevel="0" collapsed="false">
      <c r="A465" s="54"/>
      <c r="B465" s="52"/>
      <c r="C465" s="56"/>
      <c r="D465" s="56"/>
      <c r="E465" s="56"/>
      <c r="F465" s="56"/>
      <c r="G465" s="55"/>
      <c r="H465" s="56"/>
      <c r="I465" s="56"/>
      <c r="J465" s="56"/>
      <c r="K465" s="56"/>
      <c r="L465" s="56"/>
      <c r="M465" s="52"/>
      <c r="N465" s="53"/>
      <c r="O465" s="62" t="str">
        <f aca="false">IF($B465="","",TEXT($A465,"YYYY-MM-DD")&amp;"|"&amp;$B465)</f>
        <v/>
      </c>
      <c r="P465" s="3"/>
      <c r="Q465" s="3"/>
      <c r="R465" s="3"/>
      <c r="S465" s="3"/>
      <c r="T465" s="3"/>
      <c r="U465" s="3"/>
      <c r="V465" s="3"/>
      <c r="W465" s="3"/>
      <c r="X465" s="3"/>
      <c r="Y465" s="3"/>
      <c r="Z465" s="3"/>
      <c r="AA465" s="3"/>
      <c r="AB465" s="3"/>
    </row>
    <row r="466" customFormat="false" ht="15" hidden="false" customHeight="false" outlineLevel="0" collapsed="false">
      <c r="A466" s="48"/>
      <c r="B466" s="46"/>
      <c r="C466" s="50"/>
      <c r="D466" s="50"/>
      <c r="E466" s="50"/>
      <c r="F466" s="50"/>
      <c r="G466" s="49"/>
      <c r="H466" s="50"/>
      <c r="I466" s="50"/>
      <c r="J466" s="50"/>
      <c r="K466" s="50"/>
      <c r="L466" s="50"/>
      <c r="M466" s="46"/>
      <c r="N466" s="47"/>
      <c r="O466" s="62" t="str">
        <f aca="false">IF($B466="","",TEXT($A466,"YYYY-MM-DD")&amp;"|"&amp;$B466)</f>
        <v/>
      </c>
      <c r="P466" s="3"/>
      <c r="Q466" s="3"/>
      <c r="R466" s="3"/>
      <c r="S466" s="3"/>
      <c r="T466" s="3"/>
      <c r="U466" s="3"/>
      <c r="V466" s="3"/>
      <c r="W466" s="3"/>
      <c r="X466" s="3"/>
      <c r="Y466" s="3"/>
      <c r="Z466" s="3"/>
      <c r="AA466" s="3"/>
      <c r="AB466" s="3"/>
    </row>
    <row r="467" customFormat="false" ht="15" hidden="false" customHeight="false" outlineLevel="0" collapsed="false">
      <c r="A467" s="54"/>
      <c r="B467" s="52"/>
      <c r="C467" s="56"/>
      <c r="D467" s="56"/>
      <c r="E467" s="56"/>
      <c r="F467" s="56"/>
      <c r="G467" s="55"/>
      <c r="H467" s="56"/>
      <c r="I467" s="56"/>
      <c r="J467" s="56"/>
      <c r="K467" s="56"/>
      <c r="L467" s="56"/>
      <c r="M467" s="52"/>
      <c r="N467" s="53"/>
      <c r="O467" s="62" t="str">
        <f aca="false">IF($B467="","",TEXT($A467,"YYYY-MM-DD")&amp;"|"&amp;$B467)</f>
        <v/>
      </c>
      <c r="P467" s="3"/>
      <c r="Q467" s="3"/>
      <c r="R467" s="3"/>
      <c r="S467" s="3"/>
      <c r="T467" s="3"/>
      <c r="U467" s="3"/>
      <c r="V467" s="3"/>
      <c r="W467" s="3"/>
      <c r="X467" s="3"/>
      <c r="Y467" s="3"/>
      <c r="Z467" s="3"/>
      <c r="AA467" s="3"/>
      <c r="AB467" s="3"/>
    </row>
    <row r="468" customFormat="false" ht="15" hidden="false" customHeight="false" outlineLevel="0" collapsed="false">
      <c r="A468" s="48"/>
      <c r="B468" s="46"/>
      <c r="C468" s="50"/>
      <c r="D468" s="50"/>
      <c r="E468" s="50"/>
      <c r="F468" s="50"/>
      <c r="G468" s="49"/>
      <c r="H468" s="50"/>
      <c r="I468" s="50"/>
      <c r="J468" s="50"/>
      <c r="K468" s="50"/>
      <c r="L468" s="50"/>
      <c r="M468" s="46"/>
      <c r="N468" s="47"/>
      <c r="O468" s="62" t="str">
        <f aca="false">IF($B468="","",TEXT($A468,"YYYY-MM-DD")&amp;"|"&amp;$B468)</f>
        <v/>
      </c>
      <c r="P468" s="3"/>
      <c r="Q468" s="3"/>
      <c r="R468" s="3"/>
      <c r="S468" s="3"/>
      <c r="T468" s="3"/>
      <c r="U468" s="3"/>
      <c r="V468" s="3"/>
      <c r="W468" s="3"/>
      <c r="X468" s="3"/>
      <c r="Y468" s="3"/>
      <c r="Z468" s="3"/>
      <c r="AA468" s="3"/>
      <c r="AB468" s="3"/>
    </row>
    <row r="469" customFormat="false" ht="15" hidden="false" customHeight="false" outlineLevel="0" collapsed="false">
      <c r="A469" s="54"/>
      <c r="B469" s="52"/>
      <c r="C469" s="56"/>
      <c r="D469" s="56"/>
      <c r="E469" s="56"/>
      <c r="F469" s="56"/>
      <c r="G469" s="55"/>
      <c r="H469" s="56"/>
      <c r="I469" s="56"/>
      <c r="J469" s="56"/>
      <c r="K469" s="56"/>
      <c r="L469" s="56"/>
      <c r="M469" s="52"/>
      <c r="N469" s="53"/>
      <c r="O469" s="62" t="str">
        <f aca="false">IF($B469="","",TEXT($A469,"YYYY-MM-DD")&amp;"|"&amp;$B469)</f>
        <v/>
      </c>
      <c r="P469" s="3"/>
      <c r="Q469" s="3"/>
      <c r="R469" s="3"/>
      <c r="S469" s="3"/>
      <c r="T469" s="3"/>
      <c r="U469" s="3"/>
      <c r="V469" s="3"/>
      <c r="W469" s="3"/>
      <c r="X469" s="3"/>
      <c r="Y469" s="3"/>
      <c r="Z469" s="3"/>
      <c r="AA469" s="3"/>
      <c r="AB469" s="3"/>
    </row>
    <row r="470" customFormat="false" ht="15" hidden="false" customHeight="false" outlineLevel="0" collapsed="false">
      <c r="A470" s="48"/>
      <c r="B470" s="46"/>
      <c r="C470" s="50"/>
      <c r="D470" s="50"/>
      <c r="E470" s="50"/>
      <c r="F470" s="50"/>
      <c r="G470" s="49"/>
      <c r="H470" s="50"/>
      <c r="I470" s="50"/>
      <c r="J470" s="50"/>
      <c r="K470" s="50"/>
      <c r="L470" s="50"/>
      <c r="M470" s="46"/>
      <c r="N470" s="47"/>
      <c r="O470" s="62" t="str">
        <f aca="false">IF($B470="","",TEXT($A470,"YYYY-MM-DD")&amp;"|"&amp;$B470)</f>
        <v/>
      </c>
      <c r="P470" s="3"/>
      <c r="Q470" s="3"/>
      <c r="R470" s="3"/>
      <c r="S470" s="3"/>
      <c r="T470" s="3"/>
      <c r="U470" s="3"/>
      <c r="V470" s="3"/>
      <c r="W470" s="3"/>
      <c r="X470" s="3"/>
      <c r="Y470" s="3"/>
      <c r="Z470" s="3"/>
      <c r="AA470" s="3"/>
      <c r="AB470" s="3"/>
    </row>
    <row r="471" customFormat="false" ht="15" hidden="false" customHeight="false" outlineLevel="0" collapsed="false">
      <c r="A471" s="54"/>
      <c r="B471" s="52"/>
      <c r="C471" s="56"/>
      <c r="D471" s="56"/>
      <c r="E471" s="56"/>
      <c r="F471" s="56"/>
      <c r="G471" s="55"/>
      <c r="H471" s="56"/>
      <c r="I471" s="56"/>
      <c r="J471" s="56"/>
      <c r="K471" s="56"/>
      <c r="L471" s="56"/>
      <c r="M471" s="52"/>
      <c r="N471" s="53"/>
      <c r="O471" s="62" t="str">
        <f aca="false">IF($B471="","",TEXT($A471,"YYYY-MM-DD")&amp;"|"&amp;$B471)</f>
        <v/>
      </c>
      <c r="P471" s="3"/>
      <c r="Q471" s="3"/>
      <c r="R471" s="3"/>
      <c r="S471" s="3"/>
      <c r="T471" s="3"/>
      <c r="U471" s="3"/>
      <c r="V471" s="3"/>
      <c r="W471" s="3"/>
      <c r="X471" s="3"/>
      <c r="Y471" s="3"/>
      <c r="Z471" s="3"/>
      <c r="AA471" s="3"/>
      <c r="AB471" s="3"/>
    </row>
    <row r="472" customFormat="false" ht="15" hidden="false" customHeight="false" outlineLevel="0" collapsed="false">
      <c r="A472" s="48"/>
      <c r="B472" s="46"/>
      <c r="C472" s="50"/>
      <c r="D472" s="50"/>
      <c r="E472" s="50"/>
      <c r="F472" s="50"/>
      <c r="G472" s="49"/>
      <c r="H472" s="50"/>
      <c r="I472" s="50"/>
      <c r="J472" s="50"/>
      <c r="K472" s="50"/>
      <c r="L472" s="50"/>
      <c r="M472" s="46"/>
      <c r="N472" s="47"/>
      <c r="O472" s="62" t="str">
        <f aca="false">IF($B472="","",TEXT($A472,"YYYY-MM-DD")&amp;"|"&amp;$B472)</f>
        <v/>
      </c>
      <c r="P472" s="3"/>
      <c r="Q472" s="3"/>
      <c r="R472" s="3"/>
      <c r="S472" s="3"/>
      <c r="T472" s="3"/>
      <c r="U472" s="3"/>
      <c r="V472" s="3"/>
      <c r="W472" s="3"/>
      <c r="X472" s="3"/>
      <c r="Y472" s="3"/>
      <c r="Z472" s="3"/>
      <c r="AA472" s="3"/>
      <c r="AB472" s="3"/>
    </row>
    <row r="473" customFormat="false" ht="15" hidden="false" customHeight="false" outlineLevel="0" collapsed="false">
      <c r="A473" s="54"/>
      <c r="B473" s="52"/>
      <c r="C473" s="56"/>
      <c r="D473" s="56"/>
      <c r="E473" s="56"/>
      <c r="F473" s="56"/>
      <c r="G473" s="55"/>
      <c r="H473" s="56"/>
      <c r="I473" s="56"/>
      <c r="J473" s="56"/>
      <c r="K473" s="56"/>
      <c r="L473" s="56"/>
      <c r="M473" s="52"/>
      <c r="N473" s="53"/>
      <c r="O473" s="62" t="str">
        <f aca="false">IF($B473="","",TEXT($A473,"YYYY-MM-DD")&amp;"|"&amp;$B473)</f>
        <v/>
      </c>
      <c r="P473" s="3"/>
      <c r="Q473" s="3"/>
      <c r="R473" s="3"/>
      <c r="S473" s="3"/>
      <c r="T473" s="3"/>
      <c r="U473" s="3"/>
      <c r="V473" s="3"/>
      <c r="W473" s="3"/>
      <c r="X473" s="3"/>
      <c r="Y473" s="3"/>
      <c r="Z473" s="3"/>
      <c r="AA473" s="3"/>
      <c r="AB473" s="3"/>
    </row>
    <row r="474" customFormat="false" ht="15" hidden="false" customHeight="false" outlineLevel="0" collapsed="false">
      <c r="A474" s="48"/>
      <c r="B474" s="46"/>
      <c r="C474" s="50"/>
      <c r="D474" s="50"/>
      <c r="E474" s="50"/>
      <c r="F474" s="50"/>
      <c r="G474" s="49"/>
      <c r="H474" s="50"/>
      <c r="I474" s="50"/>
      <c r="J474" s="50"/>
      <c r="K474" s="50"/>
      <c r="L474" s="50"/>
      <c r="M474" s="46"/>
      <c r="N474" s="47"/>
      <c r="O474" s="62" t="str">
        <f aca="false">IF($B474="","",TEXT($A474,"YYYY-MM-DD")&amp;"|"&amp;$B474)</f>
        <v/>
      </c>
      <c r="P474" s="3"/>
      <c r="Q474" s="3"/>
      <c r="R474" s="3"/>
      <c r="S474" s="3"/>
      <c r="T474" s="3"/>
      <c r="U474" s="3"/>
      <c r="V474" s="3"/>
      <c r="W474" s="3"/>
      <c r="X474" s="3"/>
      <c r="Y474" s="3"/>
      <c r="Z474" s="3"/>
      <c r="AA474" s="3"/>
      <c r="AB474" s="3"/>
    </row>
    <row r="475" customFormat="false" ht="15" hidden="false" customHeight="false" outlineLevel="0" collapsed="false">
      <c r="A475" s="54"/>
      <c r="B475" s="52"/>
      <c r="C475" s="56"/>
      <c r="D475" s="56"/>
      <c r="E475" s="56"/>
      <c r="F475" s="56"/>
      <c r="G475" s="55"/>
      <c r="H475" s="56"/>
      <c r="I475" s="56"/>
      <c r="J475" s="56"/>
      <c r="K475" s="56"/>
      <c r="L475" s="56"/>
      <c r="M475" s="52"/>
      <c r="N475" s="53"/>
      <c r="O475" s="62" t="str">
        <f aca="false">IF($B475="","",TEXT($A475,"YYYY-MM-DD")&amp;"|"&amp;$B475)</f>
        <v/>
      </c>
      <c r="P475" s="3"/>
      <c r="Q475" s="3"/>
      <c r="R475" s="3"/>
      <c r="S475" s="3"/>
      <c r="T475" s="3"/>
      <c r="U475" s="3"/>
      <c r="V475" s="3"/>
      <c r="W475" s="3"/>
      <c r="X475" s="3"/>
      <c r="Y475" s="3"/>
      <c r="Z475" s="3"/>
      <c r="AA475" s="3"/>
      <c r="AB475" s="3"/>
    </row>
    <row r="476" customFormat="false" ht="15" hidden="false" customHeight="false" outlineLevel="0" collapsed="false">
      <c r="A476" s="48"/>
      <c r="B476" s="46"/>
      <c r="C476" s="50"/>
      <c r="D476" s="50"/>
      <c r="E476" s="50"/>
      <c r="F476" s="50"/>
      <c r="G476" s="49"/>
      <c r="H476" s="50"/>
      <c r="I476" s="50"/>
      <c r="J476" s="50"/>
      <c r="K476" s="50"/>
      <c r="L476" s="50"/>
      <c r="M476" s="46"/>
      <c r="N476" s="47"/>
      <c r="O476" s="62" t="str">
        <f aca="false">IF($B476="","",TEXT($A476,"YYYY-MM-DD")&amp;"|"&amp;$B476)</f>
        <v/>
      </c>
      <c r="P476" s="3"/>
      <c r="Q476" s="3"/>
      <c r="R476" s="3"/>
      <c r="S476" s="3"/>
      <c r="T476" s="3"/>
      <c r="U476" s="3"/>
      <c r="V476" s="3"/>
      <c r="W476" s="3"/>
      <c r="X476" s="3"/>
      <c r="Y476" s="3"/>
      <c r="Z476" s="3"/>
      <c r="AA476" s="3"/>
      <c r="AB476" s="3"/>
    </row>
    <row r="477" customFormat="false" ht="15" hidden="false" customHeight="false" outlineLevel="0" collapsed="false">
      <c r="A477" s="54"/>
      <c r="B477" s="52"/>
      <c r="C477" s="56"/>
      <c r="D477" s="56"/>
      <c r="E477" s="56"/>
      <c r="F477" s="56"/>
      <c r="G477" s="55"/>
      <c r="H477" s="56"/>
      <c r="I477" s="56"/>
      <c r="J477" s="56"/>
      <c r="K477" s="56"/>
      <c r="L477" s="56"/>
      <c r="M477" s="52"/>
      <c r="N477" s="53"/>
      <c r="O477" s="62" t="str">
        <f aca="false">IF($B477="","",TEXT($A477,"YYYY-MM-DD")&amp;"|"&amp;$B477)</f>
        <v/>
      </c>
      <c r="P477" s="3"/>
      <c r="Q477" s="3"/>
      <c r="R477" s="3"/>
      <c r="S477" s="3"/>
      <c r="T477" s="3"/>
      <c r="U477" s="3"/>
      <c r="V477" s="3"/>
      <c r="W477" s="3"/>
      <c r="X477" s="3"/>
      <c r="Y477" s="3"/>
      <c r="Z477" s="3"/>
      <c r="AA477" s="3"/>
      <c r="AB477" s="3"/>
    </row>
    <row r="478" customFormat="false" ht="15" hidden="false" customHeight="false" outlineLevel="0" collapsed="false">
      <c r="A478" s="48"/>
      <c r="B478" s="46"/>
      <c r="C478" s="50"/>
      <c r="D478" s="50"/>
      <c r="E478" s="50"/>
      <c r="F478" s="50"/>
      <c r="G478" s="49"/>
      <c r="H478" s="50"/>
      <c r="I478" s="50"/>
      <c r="J478" s="50"/>
      <c r="K478" s="50"/>
      <c r="L478" s="50"/>
      <c r="M478" s="46"/>
      <c r="N478" s="47"/>
      <c r="O478" s="62" t="str">
        <f aca="false">IF($B478="","",TEXT($A478,"YYYY-MM-DD")&amp;"|"&amp;$B478)</f>
        <v/>
      </c>
      <c r="P478" s="3"/>
      <c r="Q478" s="3"/>
      <c r="R478" s="3"/>
      <c r="S478" s="3"/>
      <c r="T478" s="3"/>
      <c r="U478" s="3"/>
      <c r="V478" s="3"/>
      <c r="W478" s="3"/>
      <c r="X478" s="3"/>
      <c r="Y478" s="3"/>
      <c r="Z478" s="3"/>
      <c r="AA478" s="3"/>
      <c r="AB478" s="3"/>
    </row>
    <row r="479" customFormat="false" ht="15" hidden="false" customHeight="false" outlineLevel="0" collapsed="false">
      <c r="A479" s="54"/>
      <c r="B479" s="52"/>
      <c r="C479" s="56"/>
      <c r="D479" s="56"/>
      <c r="E479" s="56"/>
      <c r="F479" s="56"/>
      <c r="G479" s="55"/>
      <c r="H479" s="56"/>
      <c r="I479" s="56"/>
      <c r="J479" s="56"/>
      <c r="K479" s="56"/>
      <c r="L479" s="56"/>
      <c r="M479" s="52"/>
      <c r="N479" s="53"/>
      <c r="O479" s="62" t="str">
        <f aca="false">IF($B479="","",TEXT($A479,"YYYY-MM-DD")&amp;"|"&amp;$B479)</f>
        <v/>
      </c>
      <c r="P479" s="3"/>
      <c r="Q479" s="3"/>
      <c r="R479" s="3"/>
      <c r="S479" s="3"/>
      <c r="T479" s="3"/>
      <c r="U479" s="3"/>
      <c r="V479" s="3"/>
      <c r="W479" s="3"/>
      <c r="X479" s="3"/>
      <c r="Y479" s="3"/>
      <c r="Z479" s="3"/>
      <c r="AA479" s="3"/>
      <c r="AB479" s="3"/>
    </row>
    <row r="480" customFormat="false" ht="15" hidden="false" customHeight="false" outlineLevel="0" collapsed="false">
      <c r="A480" s="48"/>
      <c r="B480" s="46"/>
      <c r="C480" s="50"/>
      <c r="D480" s="50"/>
      <c r="E480" s="50"/>
      <c r="F480" s="50"/>
      <c r="G480" s="49"/>
      <c r="H480" s="50"/>
      <c r="I480" s="50"/>
      <c r="J480" s="50"/>
      <c r="K480" s="50"/>
      <c r="L480" s="50"/>
      <c r="M480" s="46"/>
      <c r="N480" s="47"/>
      <c r="O480" s="62" t="str">
        <f aca="false">IF($B480="","",TEXT($A480,"YYYY-MM-DD")&amp;"|"&amp;$B480)</f>
        <v/>
      </c>
      <c r="P480" s="3"/>
      <c r="Q480" s="3"/>
      <c r="R480" s="3"/>
      <c r="S480" s="3"/>
      <c r="T480" s="3"/>
      <c r="U480" s="3"/>
      <c r="V480" s="3"/>
      <c r="W480" s="3"/>
      <c r="X480" s="3"/>
      <c r="Y480" s="3"/>
      <c r="Z480" s="3"/>
      <c r="AA480" s="3"/>
      <c r="AB480" s="3"/>
    </row>
    <row r="481" customFormat="false" ht="15" hidden="false" customHeight="false" outlineLevel="0" collapsed="false">
      <c r="A481" s="54"/>
      <c r="B481" s="52"/>
      <c r="C481" s="56"/>
      <c r="D481" s="56"/>
      <c r="E481" s="56"/>
      <c r="F481" s="56"/>
      <c r="G481" s="55"/>
      <c r="H481" s="56"/>
      <c r="I481" s="56"/>
      <c r="J481" s="56"/>
      <c r="K481" s="56"/>
      <c r="L481" s="56"/>
      <c r="M481" s="52"/>
      <c r="N481" s="53"/>
      <c r="O481" s="62" t="str">
        <f aca="false">IF($B481="","",TEXT($A481,"YYYY-MM-DD")&amp;"|"&amp;$B481)</f>
        <v/>
      </c>
      <c r="P481" s="3"/>
      <c r="Q481" s="3"/>
      <c r="R481" s="3"/>
      <c r="S481" s="3"/>
      <c r="T481" s="3"/>
      <c r="U481" s="3"/>
      <c r="V481" s="3"/>
      <c r="W481" s="3"/>
      <c r="X481" s="3"/>
      <c r="Y481" s="3"/>
      <c r="Z481" s="3"/>
      <c r="AA481" s="3"/>
      <c r="AB481" s="3"/>
    </row>
    <row r="482" customFormat="false" ht="15" hidden="false" customHeight="false" outlineLevel="0" collapsed="false">
      <c r="A482" s="48"/>
      <c r="B482" s="46"/>
      <c r="C482" s="50"/>
      <c r="D482" s="50"/>
      <c r="E482" s="50"/>
      <c r="F482" s="50"/>
      <c r="G482" s="49"/>
      <c r="H482" s="50"/>
      <c r="I482" s="50"/>
      <c r="J482" s="50"/>
      <c r="K482" s="50"/>
      <c r="L482" s="50"/>
      <c r="M482" s="46"/>
      <c r="N482" s="47"/>
      <c r="O482" s="62" t="str">
        <f aca="false">IF($B482="","",TEXT($A482,"YYYY-MM-DD")&amp;"|"&amp;$B482)</f>
        <v/>
      </c>
      <c r="P482" s="3"/>
      <c r="Q482" s="3"/>
      <c r="R482" s="3"/>
      <c r="S482" s="3"/>
      <c r="T482" s="3"/>
      <c r="U482" s="3"/>
      <c r="V482" s="3"/>
      <c r="W482" s="3"/>
      <c r="X482" s="3"/>
      <c r="Y482" s="3"/>
      <c r="Z482" s="3"/>
      <c r="AA482" s="3"/>
      <c r="AB482" s="3"/>
    </row>
    <row r="483" customFormat="false" ht="15" hidden="false" customHeight="false" outlineLevel="0" collapsed="false">
      <c r="A483" s="54"/>
      <c r="B483" s="52"/>
      <c r="C483" s="56"/>
      <c r="D483" s="56"/>
      <c r="E483" s="56"/>
      <c r="F483" s="56"/>
      <c r="G483" s="55"/>
      <c r="H483" s="56"/>
      <c r="I483" s="56"/>
      <c r="J483" s="56"/>
      <c r="K483" s="56"/>
      <c r="L483" s="56"/>
      <c r="M483" s="52"/>
      <c r="N483" s="53"/>
      <c r="O483" s="62" t="str">
        <f aca="false">IF($B483="","",TEXT($A483,"YYYY-MM-DD")&amp;"|"&amp;$B483)</f>
        <v/>
      </c>
      <c r="P483" s="3"/>
      <c r="Q483" s="3"/>
      <c r="R483" s="3"/>
      <c r="S483" s="3"/>
      <c r="T483" s="3"/>
      <c r="U483" s="3"/>
      <c r="V483" s="3"/>
      <c r="W483" s="3"/>
      <c r="X483" s="3"/>
      <c r="Y483" s="3"/>
      <c r="Z483" s="3"/>
      <c r="AA483" s="3"/>
      <c r="AB483" s="3"/>
    </row>
    <row r="484" customFormat="false" ht="15" hidden="false" customHeight="false" outlineLevel="0" collapsed="false">
      <c r="A484" s="48"/>
      <c r="B484" s="46"/>
      <c r="C484" s="50"/>
      <c r="D484" s="50"/>
      <c r="E484" s="50"/>
      <c r="F484" s="50"/>
      <c r="G484" s="49"/>
      <c r="H484" s="50"/>
      <c r="I484" s="50"/>
      <c r="J484" s="50"/>
      <c r="K484" s="50"/>
      <c r="L484" s="50"/>
      <c r="M484" s="46"/>
      <c r="N484" s="47"/>
      <c r="O484" s="62" t="str">
        <f aca="false">IF($B484="","",TEXT($A484,"YYYY-MM-DD")&amp;"|"&amp;$B484)</f>
        <v/>
      </c>
      <c r="P484" s="3"/>
      <c r="Q484" s="3"/>
      <c r="R484" s="3"/>
      <c r="S484" s="3"/>
      <c r="T484" s="3"/>
      <c r="U484" s="3"/>
      <c r="V484" s="3"/>
      <c r="W484" s="3"/>
      <c r="X484" s="3"/>
      <c r="Y484" s="3"/>
      <c r="Z484" s="3"/>
      <c r="AA484" s="3"/>
      <c r="AB484" s="3"/>
    </row>
    <row r="485" customFormat="false" ht="15" hidden="false" customHeight="false" outlineLevel="0" collapsed="false">
      <c r="A485" s="54"/>
      <c r="B485" s="52"/>
      <c r="C485" s="56"/>
      <c r="D485" s="56"/>
      <c r="E485" s="56"/>
      <c r="F485" s="56"/>
      <c r="G485" s="55"/>
      <c r="H485" s="56"/>
      <c r="I485" s="56"/>
      <c r="J485" s="56"/>
      <c r="K485" s="56"/>
      <c r="L485" s="56"/>
      <c r="M485" s="52"/>
      <c r="N485" s="53"/>
      <c r="O485" s="62" t="str">
        <f aca="false">IF($B485="","",TEXT($A485,"YYYY-MM-DD")&amp;"|"&amp;$B485)</f>
        <v/>
      </c>
      <c r="P485" s="3"/>
      <c r="Q485" s="3"/>
      <c r="R485" s="3"/>
      <c r="S485" s="3"/>
      <c r="T485" s="3"/>
      <c r="U485" s="3"/>
      <c r="V485" s="3"/>
      <c r="W485" s="3"/>
      <c r="X485" s="3"/>
      <c r="Y485" s="3"/>
      <c r="Z485" s="3"/>
      <c r="AA485" s="3"/>
      <c r="AB485" s="3"/>
    </row>
    <row r="486" customFormat="false" ht="15" hidden="false" customHeight="false" outlineLevel="0" collapsed="false">
      <c r="A486" s="48"/>
      <c r="B486" s="46"/>
      <c r="C486" s="50"/>
      <c r="D486" s="50"/>
      <c r="E486" s="50"/>
      <c r="F486" s="50"/>
      <c r="G486" s="49"/>
      <c r="H486" s="50"/>
      <c r="I486" s="50"/>
      <c r="J486" s="50"/>
      <c r="K486" s="50"/>
      <c r="L486" s="50"/>
      <c r="M486" s="46"/>
      <c r="N486" s="47"/>
      <c r="O486" s="62" t="str">
        <f aca="false">IF($B486="","",TEXT($A486,"YYYY-MM-DD")&amp;"|"&amp;$B486)</f>
        <v/>
      </c>
      <c r="P486" s="3"/>
      <c r="Q486" s="3"/>
      <c r="R486" s="3"/>
      <c r="S486" s="3"/>
      <c r="T486" s="3"/>
      <c r="U486" s="3"/>
      <c r="V486" s="3"/>
      <c r="W486" s="3"/>
      <c r="X486" s="3"/>
      <c r="Y486" s="3"/>
      <c r="Z486" s="3"/>
      <c r="AA486" s="3"/>
      <c r="AB486" s="3"/>
    </row>
    <row r="487" customFormat="false" ht="15" hidden="false" customHeight="false" outlineLevel="0" collapsed="false">
      <c r="A487" s="54"/>
      <c r="B487" s="52"/>
      <c r="C487" s="56"/>
      <c r="D487" s="56"/>
      <c r="E487" s="56"/>
      <c r="F487" s="56"/>
      <c r="G487" s="55"/>
      <c r="H487" s="56"/>
      <c r="I487" s="56"/>
      <c r="J487" s="56"/>
      <c r="K487" s="56"/>
      <c r="L487" s="56"/>
      <c r="M487" s="52"/>
      <c r="N487" s="53"/>
      <c r="O487" s="62" t="str">
        <f aca="false">IF($B487="","",TEXT($A487,"YYYY-MM-DD")&amp;"|"&amp;$B487)</f>
        <v/>
      </c>
      <c r="P487" s="3"/>
      <c r="Q487" s="3"/>
      <c r="R487" s="3"/>
      <c r="S487" s="3"/>
      <c r="T487" s="3"/>
      <c r="U487" s="3"/>
      <c r="V487" s="3"/>
      <c r="W487" s="3"/>
      <c r="X487" s="3"/>
      <c r="Y487" s="3"/>
      <c r="Z487" s="3"/>
      <c r="AA487" s="3"/>
      <c r="AB487" s="3"/>
    </row>
    <row r="488" customFormat="false" ht="15" hidden="false" customHeight="false" outlineLevel="0" collapsed="false">
      <c r="A488" s="48"/>
      <c r="B488" s="46"/>
      <c r="C488" s="50"/>
      <c r="D488" s="50"/>
      <c r="E488" s="50"/>
      <c r="F488" s="50"/>
      <c r="G488" s="49"/>
      <c r="H488" s="50"/>
      <c r="I488" s="50"/>
      <c r="J488" s="50"/>
      <c r="K488" s="50"/>
      <c r="L488" s="50"/>
      <c r="M488" s="46"/>
      <c r="N488" s="47"/>
      <c r="O488" s="62" t="str">
        <f aca="false">IF($B488="","",TEXT($A488,"YYYY-MM-DD")&amp;"|"&amp;$B488)</f>
        <v/>
      </c>
      <c r="P488" s="3"/>
      <c r="Q488" s="3"/>
      <c r="R488" s="3"/>
      <c r="S488" s="3"/>
      <c r="T488" s="3"/>
      <c r="U488" s="3"/>
      <c r="V488" s="3"/>
      <c r="W488" s="3"/>
      <c r="X488" s="3"/>
      <c r="Y488" s="3"/>
      <c r="Z488" s="3"/>
      <c r="AA488" s="3"/>
      <c r="AB488" s="3"/>
    </row>
    <row r="489" customFormat="false" ht="15" hidden="false" customHeight="false" outlineLevel="0" collapsed="false">
      <c r="A489" s="54"/>
      <c r="B489" s="52"/>
      <c r="C489" s="56"/>
      <c r="D489" s="56"/>
      <c r="E489" s="56"/>
      <c r="F489" s="56"/>
      <c r="G489" s="55"/>
      <c r="H489" s="56"/>
      <c r="I489" s="56"/>
      <c r="J489" s="56"/>
      <c r="K489" s="56"/>
      <c r="L489" s="56"/>
      <c r="M489" s="52"/>
      <c r="N489" s="53"/>
      <c r="O489" s="62" t="str">
        <f aca="false">IF($B489="","",TEXT($A489,"YYYY-MM-DD")&amp;"|"&amp;$B489)</f>
        <v/>
      </c>
      <c r="P489" s="3"/>
      <c r="Q489" s="3"/>
      <c r="R489" s="3"/>
      <c r="S489" s="3"/>
      <c r="T489" s="3"/>
      <c r="U489" s="3"/>
      <c r="V489" s="3"/>
      <c r="W489" s="3"/>
      <c r="X489" s="3"/>
      <c r="Y489" s="3"/>
      <c r="Z489" s="3"/>
      <c r="AA489" s="3"/>
      <c r="AB489" s="3"/>
    </row>
    <row r="490" customFormat="false" ht="15" hidden="false" customHeight="false" outlineLevel="0" collapsed="false">
      <c r="A490" s="48"/>
      <c r="B490" s="46"/>
      <c r="C490" s="50"/>
      <c r="D490" s="50"/>
      <c r="E490" s="50"/>
      <c r="F490" s="50"/>
      <c r="G490" s="49"/>
      <c r="H490" s="50"/>
      <c r="I490" s="50"/>
      <c r="J490" s="50"/>
      <c r="K490" s="50"/>
      <c r="L490" s="50"/>
      <c r="M490" s="46"/>
      <c r="N490" s="47"/>
      <c r="O490" s="62" t="str">
        <f aca="false">IF($B490="","",TEXT($A490,"YYYY-MM-DD")&amp;"|"&amp;$B490)</f>
        <v/>
      </c>
      <c r="P490" s="3"/>
      <c r="Q490" s="3"/>
      <c r="R490" s="3"/>
      <c r="S490" s="3"/>
      <c r="T490" s="3"/>
      <c r="U490" s="3"/>
      <c r="V490" s="3"/>
      <c r="W490" s="3"/>
      <c r="X490" s="3"/>
      <c r="Y490" s="3"/>
      <c r="Z490" s="3"/>
      <c r="AA490" s="3"/>
      <c r="AB490" s="3"/>
    </row>
    <row r="491" customFormat="false" ht="15" hidden="false" customHeight="false" outlineLevel="0" collapsed="false">
      <c r="A491" s="54"/>
      <c r="B491" s="52"/>
      <c r="C491" s="56"/>
      <c r="D491" s="56"/>
      <c r="E491" s="56"/>
      <c r="F491" s="56"/>
      <c r="G491" s="55"/>
      <c r="H491" s="56"/>
      <c r="I491" s="56"/>
      <c r="J491" s="56"/>
      <c r="K491" s="56"/>
      <c r="L491" s="56"/>
      <c r="M491" s="52"/>
      <c r="N491" s="53"/>
      <c r="O491" s="62" t="str">
        <f aca="false">IF($B491="","",TEXT($A491,"YYYY-MM-DD")&amp;"|"&amp;$B491)</f>
        <v/>
      </c>
      <c r="P491" s="3"/>
      <c r="Q491" s="3"/>
      <c r="R491" s="3"/>
      <c r="S491" s="3"/>
      <c r="T491" s="3"/>
      <c r="U491" s="3"/>
      <c r="V491" s="3"/>
      <c r="W491" s="3"/>
      <c r="X491" s="3"/>
      <c r="Y491" s="3"/>
      <c r="Z491" s="3"/>
      <c r="AA491" s="3"/>
      <c r="AB491" s="3"/>
    </row>
    <row r="492" customFormat="false" ht="15" hidden="false" customHeight="false" outlineLevel="0" collapsed="false">
      <c r="A492" s="48"/>
      <c r="B492" s="46"/>
      <c r="C492" s="50"/>
      <c r="D492" s="50"/>
      <c r="E492" s="50"/>
      <c r="F492" s="50"/>
      <c r="G492" s="49"/>
      <c r="H492" s="50"/>
      <c r="I492" s="50"/>
      <c r="J492" s="50"/>
      <c r="K492" s="50"/>
      <c r="L492" s="50"/>
      <c r="M492" s="46"/>
      <c r="N492" s="47"/>
      <c r="O492" s="62" t="str">
        <f aca="false">IF($B492="","",TEXT($A492,"YYYY-MM-DD")&amp;"|"&amp;$B492)</f>
        <v/>
      </c>
      <c r="P492" s="3"/>
      <c r="Q492" s="3"/>
      <c r="R492" s="3"/>
      <c r="S492" s="3"/>
      <c r="T492" s="3"/>
      <c r="U492" s="3"/>
      <c r="V492" s="3"/>
      <c r="W492" s="3"/>
      <c r="X492" s="3"/>
      <c r="Y492" s="3"/>
      <c r="Z492" s="3"/>
      <c r="AA492" s="3"/>
      <c r="AB492" s="3"/>
    </row>
    <row r="493" customFormat="false" ht="15" hidden="false" customHeight="false" outlineLevel="0" collapsed="false">
      <c r="A493" s="54"/>
      <c r="B493" s="52"/>
      <c r="C493" s="56"/>
      <c r="D493" s="56"/>
      <c r="E493" s="56"/>
      <c r="F493" s="56"/>
      <c r="G493" s="55"/>
      <c r="H493" s="56"/>
      <c r="I493" s="56"/>
      <c r="J493" s="56"/>
      <c r="K493" s="56"/>
      <c r="L493" s="56"/>
      <c r="M493" s="52"/>
      <c r="N493" s="53"/>
      <c r="O493" s="62" t="str">
        <f aca="false">IF($B493="","",TEXT($A493,"YYYY-MM-DD")&amp;"|"&amp;$B493)</f>
        <v/>
      </c>
      <c r="P493" s="3"/>
      <c r="Q493" s="3"/>
      <c r="R493" s="3"/>
      <c r="S493" s="3"/>
      <c r="T493" s="3"/>
      <c r="U493" s="3"/>
      <c r="V493" s="3"/>
      <c r="W493" s="3"/>
      <c r="X493" s="3"/>
      <c r="Y493" s="3"/>
      <c r="Z493" s="3"/>
      <c r="AA493" s="3"/>
      <c r="AB493" s="3"/>
    </row>
    <row r="494" customFormat="false" ht="15" hidden="false" customHeight="false" outlineLevel="0" collapsed="false">
      <c r="A494" s="48"/>
      <c r="B494" s="46"/>
      <c r="C494" s="50"/>
      <c r="D494" s="50"/>
      <c r="E494" s="50"/>
      <c r="F494" s="50"/>
      <c r="G494" s="49"/>
      <c r="H494" s="50"/>
      <c r="I494" s="50"/>
      <c r="J494" s="50"/>
      <c r="K494" s="50"/>
      <c r="L494" s="50"/>
      <c r="M494" s="46"/>
      <c r="N494" s="47"/>
      <c r="O494" s="62" t="str">
        <f aca="false">IF($B494="","",TEXT($A494,"YYYY-MM-DD")&amp;"|"&amp;$B494)</f>
        <v/>
      </c>
      <c r="P494" s="3"/>
      <c r="Q494" s="3"/>
      <c r="R494" s="3"/>
      <c r="S494" s="3"/>
      <c r="T494" s="3"/>
      <c r="U494" s="3"/>
      <c r="V494" s="3"/>
      <c r="W494" s="3"/>
      <c r="X494" s="3"/>
      <c r="Y494" s="3"/>
      <c r="Z494" s="3"/>
      <c r="AA494" s="3"/>
      <c r="AB494" s="3"/>
    </row>
    <row r="495" customFormat="false" ht="15" hidden="false" customHeight="false" outlineLevel="0" collapsed="false">
      <c r="A495" s="54"/>
      <c r="B495" s="52"/>
      <c r="C495" s="56"/>
      <c r="D495" s="56"/>
      <c r="E495" s="56"/>
      <c r="F495" s="56"/>
      <c r="G495" s="55"/>
      <c r="H495" s="56"/>
      <c r="I495" s="56"/>
      <c r="J495" s="56"/>
      <c r="K495" s="56"/>
      <c r="L495" s="56"/>
      <c r="M495" s="52"/>
      <c r="N495" s="53"/>
      <c r="O495" s="62" t="str">
        <f aca="false">IF($B495="","",TEXT($A495,"YYYY-MM-DD")&amp;"|"&amp;$B495)</f>
        <v/>
      </c>
      <c r="P495" s="3"/>
      <c r="Q495" s="3"/>
      <c r="R495" s="3"/>
      <c r="S495" s="3"/>
      <c r="T495" s="3"/>
      <c r="U495" s="3"/>
      <c r="V495" s="3"/>
      <c r="W495" s="3"/>
      <c r="X495" s="3"/>
      <c r="Y495" s="3"/>
      <c r="Z495" s="3"/>
      <c r="AA495" s="3"/>
      <c r="AB495" s="3"/>
    </row>
    <row r="496" customFormat="false" ht="15" hidden="false" customHeight="false" outlineLevel="0" collapsed="false">
      <c r="A496" s="48"/>
      <c r="B496" s="46"/>
      <c r="C496" s="50"/>
      <c r="D496" s="50"/>
      <c r="E496" s="50"/>
      <c r="F496" s="50"/>
      <c r="G496" s="49"/>
      <c r="H496" s="50"/>
      <c r="I496" s="50"/>
      <c r="J496" s="50"/>
      <c r="K496" s="50"/>
      <c r="L496" s="50"/>
      <c r="M496" s="46"/>
      <c r="N496" s="47"/>
      <c r="O496" s="62" t="str">
        <f aca="false">IF($B496="","",TEXT($A496,"YYYY-MM-DD")&amp;"|"&amp;$B496)</f>
        <v/>
      </c>
      <c r="P496" s="3"/>
      <c r="Q496" s="3"/>
      <c r="R496" s="3"/>
      <c r="S496" s="3"/>
      <c r="T496" s="3"/>
      <c r="U496" s="3"/>
      <c r="V496" s="3"/>
      <c r="W496" s="3"/>
      <c r="X496" s="3"/>
      <c r="Y496" s="3"/>
      <c r="Z496" s="3"/>
      <c r="AA496" s="3"/>
      <c r="AB496" s="3"/>
    </row>
    <row r="497" customFormat="false" ht="15" hidden="false" customHeight="false" outlineLevel="0" collapsed="false">
      <c r="A497" s="54"/>
      <c r="B497" s="52"/>
      <c r="C497" s="56"/>
      <c r="D497" s="56"/>
      <c r="E497" s="56"/>
      <c r="F497" s="56"/>
      <c r="G497" s="55"/>
      <c r="H497" s="56"/>
      <c r="I497" s="56"/>
      <c r="J497" s="56"/>
      <c r="K497" s="56"/>
      <c r="L497" s="56"/>
      <c r="M497" s="52"/>
      <c r="N497" s="53"/>
      <c r="O497" s="62" t="str">
        <f aca="false">IF($B497="","",TEXT($A497,"YYYY-MM-DD")&amp;"|"&amp;$B497)</f>
        <v/>
      </c>
      <c r="P497" s="3"/>
      <c r="Q497" s="3"/>
      <c r="R497" s="3"/>
      <c r="S497" s="3"/>
      <c r="T497" s="3"/>
      <c r="U497" s="3"/>
      <c r="V497" s="3"/>
      <c r="W497" s="3"/>
      <c r="X497" s="3"/>
      <c r="Y497" s="3"/>
      <c r="Z497" s="3"/>
      <c r="AA497" s="3"/>
      <c r="AB497" s="3"/>
    </row>
    <row r="498" customFormat="false" ht="15" hidden="false" customHeight="false" outlineLevel="0" collapsed="false">
      <c r="A498" s="48"/>
      <c r="B498" s="46"/>
      <c r="C498" s="50"/>
      <c r="D498" s="50"/>
      <c r="E498" s="50"/>
      <c r="F498" s="50"/>
      <c r="G498" s="49"/>
      <c r="H498" s="50"/>
      <c r="I498" s="50"/>
      <c r="J498" s="50"/>
      <c r="K498" s="50"/>
      <c r="L498" s="50"/>
      <c r="M498" s="46"/>
      <c r="N498" s="47"/>
      <c r="O498" s="62" t="str">
        <f aca="false">IF($B498="","",TEXT($A498,"YYYY-MM-DD")&amp;"|"&amp;$B498)</f>
        <v/>
      </c>
      <c r="P498" s="3"/>
      <c r="Q498" s="3"/>
      <c r="R498" s="3"/>
      <c r="S498" s="3"/>
      <c r="T498" s="3"/>
      <c r="U498" s="3"/>
      <c r="V498" s="3"/>
      <c r="W498" s="3"/>
      <c r="X498" s="3"/>
      <c r="Y498" s="3"/>
      <c r="Z498" s="3"/>
      <c r="AA498" s="3"/>
      <c r="AB498" s="3"/>
    </row>
    <row r="499" customFormat="false" ht="15" hidden="false" customHeight="false" outlineLevel="0" collapsed="false">
      <c r="A499" s="54"/>
      <c r="B499" s="52"/>
      <c r="C499" s="56"/>
      <c r="D499" s="56"/>
      <c r="E499" s="56"/>
      <c r="F499" s="56"/>
      <c r="G499" s="55"/>
      <c r="H499" s="56"/>
      <c r="I499" s="56"/>
      <c r="J499" s="56"/>
      <c r="K499" s="56"/>
      <c r="L499" s="56"/>
      <c r="M499" s="52"/>
      <c r="N499" s="53"/>
      <c r="O499" s="62" t="str">
        <f aca="false">IF($B499="","",TEXT($A499,"YYYY-MM-DD")&amp;"|"&amp;$B499)</f>
        <v/>
      </c>
      <c r="P499" s="3"/>
      <c r="Q499" s="3"/>
      <c r="R499" s="3"/>
      <c r="S499" s="3"/>
      <c r="T499" s="3"/>
      <c r="U499" s="3"/>
      <c r="V499" s="3"/>
      <c r="W499" s="3"/>
      <c r="X499" s="3"/>
      <c r="Y499" s="3"/>
      <c r="Z499" s="3"/>
      <c r="AA499" s="3"/>
      <c r="AB499" s="3"/>
    </row>
    <row r="500" customFormat="false" ht="15" hidden="false" customHeight="false" outlineLevel="0" collapsed="false">
      <c r="A500" s="48"/>
      <c r="B500" s="46"/>
      <c r="C500" s="50"/>
      <c r="D500" s="50"/>
      <c r="E500" s="50"/>
      <c r="F500" s="50"/>
      <c r="G500" s="49"/>
      <c r="H500" s="50"/>
      <c r="I500" s="50"/>
      <c r="J500" s="50"/>
      <c r="K500" s="50"/>
      <c r="L500" s="50"/>
      <c r="M500" s="46"/>
      <c r="N500" s="47"/>
      <c r="O500" s="62" t="str">
        <f aca="false">IF($B500="","",TEXT($A500,"YYYY-MM-DD")&amp;"|"&amp;$B500)</f>
        <v/>
      </c>
      <c r="P500" s="3"/>
      <c r="Q500" s="3"/>
      <c r="R500" s="3"/>
      <c r="S500" s="3"/>
      <c r="T500" s="3"/>
      <c r="U500" s="3"/>
      <c r="V500" s="3"/>
      <c r="W500" s="3"/>
      <c r="X500" s="3"/>
      <c r="Y500" s="3"/>
      <c r="Z500" s="3"/>
      <c r="AA500" s="3"/>
      <c r="AB500" s="3"/>
    </row>
    <row r="501" customFormat="false" ht="15" hidden="false" customHeight="false" outlineLevel="0" collapsed="false">
      <c r="A501" s="54"/>
      <c r="B501" s="52"/>
      <c r="C501" s="56"/>
      <c r="D501" s="56"/>
      <c r="E501" s="56"/>
      <c r="F501" s="56"/>
      <c r="G501" s="55"/>
      <c r="H501" s="56"/>
      <c r="I501" s="56"/>
      <c r="J501" s="56"/>
      <c r="K501" s="56"/>
      <c r="L501" s="56"/>
      <c r="M501" s="52"/>
      <c r="N501" s="53"/>
      <c r="O501" s="62" t="str">
        <f aca="false">IF($B501="","",TEXT($A501,"YYYY-MM-DD")&amp;"|"&amp;$B501)</f>
        <v/>
      </c>
      <c r="P501" s="3"/>
      <c r="Q501" s="3"/>
      <c r="R501" s="3"/>
      <c r="S501" s="3"/>
      <c r="T501" s="3"/>
      <c r="U501" s="3"/>
      <c r="V501" s="3"/>
      <c r="W501" s="3"/>
      <c r="X501" s="3"/>
      <c r="Y501" s="3"/>
      <c r="Z501" s="3"/>
      <c r="AA501" s="3"/>
      <c r="AB501" s="3"/>
    </row>
    <row r="502" customFormat="false" ht="15" hidden="false" customHeight="false" outlineLevel="0" collapsed="false">
      <c r="A502" s="48"/>
      <c r="B502" s="46"/>
      <c r="C502" s="50"/>
      <c r="D502" s="50"/>
      <c r="E502" s="50"/>
      <c r="F502" s="50"/>
      <c r="G502" s="49"/>
      <c r="H502" s="50"/>
      <c r="I502" s="50"/>
      <c r="J502" s="50"/>
      <c r="K502" s="50"/>
      <c r="L502" s="50"/>
      <c r="M502" s="46"/>
      <c r="N502" s="47"/>
      <c r="O502" s="62" t="str">
        <f aca="false">IF($B502="","",TEXT($A502,"YYYY-MM-DD")&amp;"|"&amp;$B502)</f>
        <v/>
      </c>
      <c r="P502" s="3"/>
      <c r="Q502" s="3"/>
      <c r="R502" s="3"/>
      <c r="S502" s="3"/>
      <c r="T502" s="3"/>
      <c r="U502" s="3"/>
      <c r="V502" s="3"/>
      <c r="W502" s="3"/>
      <c r="X502" s="3"/>
      <c r="Y502" s="3"/>
      <c r="Z502" s="3"/>
      <c r="AA502" s="3"/>
      <c r="AB502" s="3"/>
    </row>
    <row r="503" customFormat="false" ht="15" hidden="false" customHeight="false" outlineLevel="0" collapsed="false">
      <c r="A503" s="54"/>
      <c r="B503" s="52"/>
      <c r="C503" s="56"/>
      <c r="D503" s="56"/>
      <c r="E503" s="56"/>
      <c r="F503" s="56"/>
      <c r="G503" s="55"/>
      <c r="H503" s="56"/>
      <c r="I503" s="56"/>
      <c r="J503" s="56"/>
      <c r="K503" s="56"/>
      <c r="L503" s="56"/>
      <c r="M503" s="52"/>
      <c r="N503" s="53"/>
      <c r="O503" s="62" t="str">
        <f aca="false">IF($B503="","",TEXT($A503,"YYYY-MM-DD")&amp;"|"&amp;$B503)</f>
        <v/>
      </c>
      <c r="P503" s="3"/>
      <c r="Q503" s="3"/>
      <c r="R503" s="3"/>
      <c r="S503" s="3"/>
      <c r="T503" s="3"/>
      <c r="U503" s="3"/>
      <c r="V503" s="3"/>
      <c r="W503" s="3"/>
      <c r="X503" s="3"/>
      <c r="Y503" s="3"/>
      <c r="Z503" s="3"/>
      <c r="AA503" s="3"/>
      <c r="AB503" s="3"/>
    </row>
    <row r="504" customFormat="false" ht="15" hidden="false" customHeight="false" outlineLevel="0" collapsed="false">
      <c r="A504" s="48"/>
      <c r="B504" s="46"/>
      <c r="C504" s="50"/>
      <c r="D504" s="50"/>
      <c r="E504" s="50"/>
      <c r="F504" s="50"/>
      <c r="G504" s="49"/>
      <c r="H504" s="50"/>
      <c r="I504" s="50"/>
      <c r="J504" s="50"/>
      <c r="K504" s="50"/>
      <c r="L504" s="50"/>
      <c r="M504" s="46"/>
      <c r="N504" s="47"/>
      <c r="O504" s="62" t="str">
        <f aca="false">IF($B504="","",TEXT($A504,"YYYY-MM-DD")&amp;"|"&amp;$B504)</f>
        <v/>
      </c>
      <c r="P504" s="3"/>
      <c r="Q504" s="3"/>
      <c r="R504" s="3"/>
      <c r="S504" s="3"/>
      <c r="T504" s="3"/>
      <c r="U504" s="3"/>
      <c r="V504" s="3"/>
      <c r="W504" s="3"/>
      <c r="X504" s="3"/>
      <c r="Y504" s="3"/>
      <c r="Z504" s="3"/>
      <c r="AA504" s="3"/>
      <c r="AB504" s="3"/>
    </row>
    <row r="505" customFormat="false" ht="15" hidden="false" customHeight="false" outlineLevel="0" collapsed="false">
      <c r="A505" s="54"/>
      <c r="B505" s="52"/>
      <c r="C505" s="56"/>
      <c r="D505" s="56"/>
      <c r="E505" s="56"/>
      <c r="F505" s="56"/>
      <c r="G505" s="55"/>
      <c r="H505" s="56"/>
      <c r="I505" s="56"/>
      <c r="J505" s="56"/>
      <c r="K505" s="56"/>
      <c r="L505" s="56"/>
      <c r="M505" s="52"/>
      <c r="N505" s="53"/>
      <c r="O505" s="62" t="str">
        <f aca="false">IF($B505="","",TEXT($A505,"YYYY-MM-DD")&amp;"|"&amp;$B505)</f>
        <v/>
      </c>
      <c r="P505" s="3"/>
      <c r="Q505" s="3"/>
      <c r="R505" s="3"/>
      <c r="S505" s="3"/>
      <c r="T505" s="3"/>
      <c r="U505" s="3"/>
      <c r="V505" s="3"/>
      <c r="W505" s="3"/>
      <c r="X505" s="3"/>
      <c r="Y505" s="3"/>
      <c r="Z505" s="3"/>
      <c r="AA505" s="3"/>
      <c r="AB505" s="3"/>
    </row>
    <row r="506" customFormat="false" ht="15" hidden="false" customHeight="false" outlineLevel="0" collapsed="false">
      <c r="A506" s="48"/>
      <c r="B506" s="46"/>
      <c r="C506" s="50"/>
      <c r="D506" s="50"/>
      <c r="E506" s="50"/>
      <c r="F506" s="50"/>
      <c r="G506" s="49"/>
      <c r="H506" s="50"/>
      <c r="I506" s="50"/>
      <c r="J506" s="50"/>
      <c r="K506" s="50"/>
      <c r="L506" s="50"/>
      <c r="M506" s="46"/>
      <c r="N506" s="47"/>
      <c r="O506" s="62" t="str">
        <f aca="false">IF($B506="","",TEXT($A506,"YYYY-MM-DD")&amp;"|"&amp;$B506)</f>
        <v/>
      </c>
      <c r="P506" s="3"/>
      <c r="Q506" s="3"/>
      <c r="R506" s="3"/>
      <c r="S506" s="3"/>
      <c r="T506" s="3"/>
      <c r="U506" s="3"/>
      <c r="V506" s="3"/>
      <c r="W506" s="3"/>
      <c r="X506" s="3"/>
      <c r="Y506" s="3"/>
      <c r="Z506" s="3"/>
      <c r="AA506" s="3"/>
      <c r="AB506" s="3"/>
    </row>
    <row r="507" customFormat="false" ht="15" hidden="false" customHeight="false" outlineLevel="0" collapsed="false">
      <c r="A507" s="54"/>
      <c r="B507" s="52"/>
      <c r="C507" s="56"/>
      <c r="D507" s="56"/>
      <c r="E507" s="56"/>
      <c r="F507" s="56"/>
      <c r="G507" s="55"/>
      <c r="H507" s="56"/>
      <c r="I507" s="56"/>
      <c r="J507" s="56"/>
      <c r="K507" s="56"/>
      <c r="L507" s="56"/>
      <c r="M507" s="52"/>
      <c r="N507" s="53"/>
      <c r="O507" s="62" t="str">
        <f aca="false">IF($B507="","",TEXT($A507,"YYYY-MM-DD")&amp;"|"&amp;$B507)</f>
        <v/>
      </c>
      <c r="P507" s="3"/>
      <c r="Q507" s="3"/>
      <c r="R507" s="3"/>
      <c r="S507" s="3"/>
      <c r="T507" s="3"/>
      <c r="U507" s="3"/>
      <c r="V507" s="3"/>
      <c r="W507" s="3"/>
      <c r="X507" s="3"/>
      <c r="Y507" s="3"/>
      <c r="Z507" s="3"/>
      <c r="AA507" s="3"/>
      <c r="AB507" s="3"/>
    </row>
    <row r="508" customFormat="false" ht="15" hidden="false" customHeight="false" outlineLevel="0" collapsed="false">
      <c r="A508" s="48"/>
      <c r="B508" s="46"/>
      <c r="C508" s="50"/>
      <c r="D508" s="50"/>
      <c r="E508" s="50"/>
      <c r="F508" s="50"/>
      <c r="G508" s="49"/>
      <c r="H508" s="50"/>
      <c r="I508" s="50"/>
      <c r="J508" s="50"/>
      <c r="K508" s="50"/>
      <c r="L508" s="50"/>
      <c r="M508" s="46"/>
      <c r="N508" s="47"/>
      <c r="O508" s="62" t="str">
        <f aca="false">IF($B508="","",TEXT($A508,"YYYY-MM-DD")&amp;"|"&amp;$B508)</f>
        <v/>
      </c>
      <c r="P508" s="3"/>
      <c r="Q508" s="3"/>
      <c r="R508" s="3"/>
      <c r="S508" s="3"/>
      <c r="T508" s="3"/>
      <c r="U508" s="3"/>
      <c r="V508" s="3"/>
      <c r="W508" s="3"/>
      <c r="X508" s="3"/>
      <c r="Y508" s="3"/>
      <c r="Z508" s="3"/>
      <c r="AA508" s="3"/>
      <c r="AB508" s="3"/>
    </row>
    <row r="509" customFormat="false" ht="15" hidden="false" customHeight="false" outlineLevel="0" collapsed="false">
      <c r="A509" s="54"/>
      <c r="B509" s="52"/>
      <c r="C509" s="56"/>
      <c r="D509" s="56"/>
      <c r="E509" s="56"/>
      <c r="F509" s="56"/>
      <c r="G509" s="55"/>
      <c r="H509" s="56"/>
      <c r="I509" s="56"/>
      <c r="J509" s="56"/>
      <c r="K509" s="56"/>
      <c r="L509" s="56"/>
      <c r="M509" s="52"/>
      <c r="N509" s="53"/>
      <c r="O509" s="62" t="str">
        <f aca="false">IF($B509="","",TEXT($A509,"YYYY-MM-DD")&amp;"|"&amp;$B509)</f>
        <v/>
      </c>
      <c r="P509" s="3"/>
      <c r="Q509" s="3"/>
      <c r="R509" s="3"/>
      <c r="S509" s="3"/>
      <c r="T509" s="3"/>
      <c r="U509" s="3"/>
      <c r="V509" s="3"/>
      <c r="W509" s="3"/>
      <c r="X509" s="3"/>
      <c r="Y509" s="3"/>
      <c r="Z509" s="3"/>
      <c r="AA509" s="3"/>
      <c r="AB509" s="3"/>
    </row>
    <row r="510" customFormat="false" ht="15" hidden="false" customHeight="false" outlineLevel="0" collapsed="false">
      <c r="A510" s="48"/>
      <c r="B510" s="46"/>
      <c r="C510" s="50"/>
      <c r="D510" s="50"/>
      <c r="E510" s="50"/>
      <c r="F510" s="50"/>
      <c r="G510" s="49"/>
      <c r="H510" s="50"/>
      <c r="I510" s="50"/>
      <c r="J510" s="50"/>
      <c r="K510" s="50"/>
      <c r="L510" s="50"/>
      <c r="M510" s="46"/>
      <c r="N510" s="47"/>
      <c r="O510" s="62" t="str">
        <f aca="false">IF($B510="","",TEXT($A510,"YYYY-MM-DD")&amp;"|"&amp;$B510)</f>
        <v/>
      </c>
      <c r="P510" s="3"/>
      <c r="Q510" s="3"/>
      <c r="R510" s="3"/>
      <c r="S510" s="3"/>
      <c r="T510" s="3"/>
      <c r="U510" s="3"/>
      <c r="V510" s="3"/>
      <c r="W510" s="3"/>
      <c r="X510" s="3"/>
      <c r="Y510" s="3"/>
      <c r="Z510" s="3"/>
      <c r="AA510" s="3"/>
      <c r="AB510" s="3"/>
    </row>
    <row r="511" customFormat="false" ht="15" hidden="false" customHeight="false" outlineLevel="0" collapsed="false">
      <c r="A511" s="54"/>
      <c r="B511" s="52"/>
      <c r="C511" s="56"/>
      <c r="D511" s="56"/>
      <c r="E511" s="56"/>
      <c r="F511" s="56"/>
      <c r="G511" s="55"/>
      <c r="H511" s="56"/>
      <c r="I511" s="56"/>
      <c r="J511" s="56"/>
      <c r="K511" s="56"/>
      <c r="L511" s="56"/>
      <c r="M511" s="52"/>
      <c r="N511" s="53"/>
      <c r="O511" s="62" t="str">
        <f aca="false">IF($B511="","",TEXT($A511,"YYYY-MM-DD")&amp;"|"&amp;$B511)</f>
        <v/>
      </c>
      <c r="P511" s="3"/>
      <c r="Q511" s="3"/>
      <c r="R511" s="3"/>
      <c r="S511" s="3"/>
      <c r="T511" s="3"/>
      <c r="U511" s="3"/>
      <c r="V511" s="3"/>
      <c r="W511" s="3"/>
      <c r="X511" s="3"/>
      <c r="Y511" s="3"/>
      <c r="Z511" s="3"/>
      <c r="AA511" s="3"/>
      <c r="AB511" s="3"/>
    </row>
    <row r="512" customFormat="false" ht="15" hidden="false" customHeight="false" outlineLevel="0" collapsed="false">
      <c r="A512" s="48"/>
      <c r="B512" s="46"/>
      <c r="C512" s="50"/>
      <c r="D512" s="50"/>
      <c r="E512" s="50"/>
      <c r="F512" s="50"/>
      <c r="G512" s="49"/>
      <c r="H512" s="50"/>
      <c r="I512" s="50"/>
      <c r="J512" s="50"/>
      <c r="K512" s="50"/>
      <c r="L512" s="50"/>
      <c r="M512" s="46"/>
      <c r="N512" s="47"/>
      <c r="O512" s="62" t="str">
        <f aca="false">IF($B512="","",TEXT($A512,"YYYY-MM-DD")&amp;"|"&amp;$B512)</f>
        <v/>
      </c>
      <c r="P512" s="3"/>
      <c r="Q512" s="3"/>
      <c r="R512" s="3"/>
      <c r="S512" s="3"/>
      <c r="T512" s="3"/>
      <c r="U512" s="3"/>
      <c r="V512" s="3"/>
      <c r="W512" s="3"/>
      <c r="X512" s="3"/>
      <c r="Y512" s="3"/>
      <c r="Z512" s="3"/>
      <c r="AA512" s="3"/>
      <c r="AB512" s="3"/>
    </row>
    <row r="513" customFormat="false" ht="15" hidden="false" customHeight="false" outlineLevel="0" collapsed="false">
      <c r="A513" s="54"/>
      <c r="B513" s="52"/>
      <c r="C513" s="56"/>
      <c r="D513" s="56"/>
      <c r="E513" s="56"/>
      <c r="F513" s="56"/>
      <c r="G513" s="55"/>
      <c r="H513" s="56"/>
      <c r="I513" s="56"/>
      <c r="J513" s="56"/>
      <c r="K513" s="56"/>
      <c r="L513" s="56"/>
      <c r="M513" s="52"/>
      <c r="N513" s="53"/>
      <c r="O513" s="62" t="str">
        <f aca="false">IF($B513="","",TEXT($A513,"YYYY-MM-DD")&amp;"|"&amp;$B513)</f>
        <v/>
      </c>
      <c r="P513" s="3"/>
      <c r="Q513" s="3"/>
      <c r="R513" s="3"/>
      <c r="S513" s="3"/>
      <c r="T513" s="3"/>
      <c r="U513" s="3"/>
      <c r="V513" s="3"/>
      <c r="W513" s="3"/>
      <c r="X513" s="3"/>
      <c r="Y513" s="3"/>
      <c r="Z513" s="3"/>
      <c r="AA513" s="3"/>
      <c r="AB513" s="3"/>
    </row>
    <row r="514" customFormat="false" ht="15" hidden="false" customHeight="false" outlineLevel="0" collapsed="false">
      <c r="A514" s="48"/>
      <c r="B514" s="46"/>
      <c r="C514" s="50"/>
      <c r="D514" s="50"/>
      <c r="E514" s="50"/>
      <c r="F514" s="50"/>
      <c r="G514" s="49"/>
      <c r="H514" s="50"/>
      <c r="I514" s="50"/>
      <c r="J514" s="50"/>
      <c r="K514" s="50"/>
      <c r="L514" s="50"/>
      <c r="M514" s="46"/>
      <c r="N514" s="47"/>
      <c r="O514" s="62" t="str">
        <f aca="false">IF($B514="","",TEXT($A514,"YYYY-MM-DD")&amp;"|"&amp;$B514)</f>
        <v/>
      </c>
      <c r="P514" s="3"/>
      <c r="Q514" s="3"/>
      <c r="R514" s="3"/>
      <c r="S514" s="3"/>
      <c r="T514" s="3"/>
      <c r="U514" s="3"/>
      <c r="V514" s="3"/>
      <c r="W514" s="3"/>
      <c r="X514" s="3"/>
      <c r="Y514" s="3"/>
      <c r="Z514" s="3"/>
      <c r="AA514" s="3"/>
      <c r="AB514" s="3"/>
    </row>
    <row r="515" customFormat="false" ht="15" hidden="false" customHeight="false" outlineLevel="0" collapsed="false">
      <c r="A515" s="54"/>
      <c r="B515" s="52"/>
      <c r="C515" s="56"/>
      <c r="D515" s="56"/>
      <c r="E515" s="56"/>
      <c r="F515" s="56"/>
      <c r="G515" s="55"/>
      <c r="H515" s="56"/>
      <c r="I515" s="56"/>
      <c r="J515" s="56"/>
      <c r="K515" s="56"/>
      <c r="L515" s="56"/>
      <c r="M515" s="52"/>
      <c r="N515" s="53"/>
      <c r="O515" s="62" t="str">
        <f aca="false">IF($B515="","",TEXT($A515,"YYYY-MM-DD")&amp;"|"&amp;$B515)</f>
        <v/>
      </c>
      <c r="P515" s="3"/>
      <c r="Q515" s="3"/>
      <c r="R515" s="3"/>
      <c r="S515" s="3"/>
      <c r="T515" s="3"/>
      <c r="U515" s="3"/>
      <c r="V515" s="3"/>
      <c r="W515" s="3"/>
      <c r="X515" s="3"/>
      <c r="Y515" s="3"/>
      <c r="Z515" s="3"/>
      <c r="AA515" s="3"/>
      <c r="AB515" s="3"/>
    </row>
    <row r="516" customFormat="false" ht="15" hidden="false" customHeight="false" outlineLevel="0" collapsed="false">
      <c r="A516" s="48"/>
      <c r="B516" s="46"/>
      <c r="C516" s="50"/>
      <c r="D516" s="50"/>
      <c r="E516" s="50"/>
      <c r="F516" s="50"/>
      <c r="G516" s="49"/>
      <c r="H516" s="50"/>
      <c r="I516" s="50"/>
      <c r="J516" s="50"/>
      <c r="K516" s="50"/>
      <c r="L516" s="50"/>
      <c r="M516" s="46"/>
      <c r="N516" s="47"/>
      <c r="O516" s="62" t="str">
        <f aca="false">IF($B516="","",TEXT($A516,"YYYY-MM-DD")&amp;"|"&amp;$B516)</f>
        <v/>
      </c>
      <c r="P516" s="3"/>
      <c r="Q516" s="3"/>
      <c r="R516" s="3"/>
      <c r="S516" s="3"/>
      <c r="T516" s="3"/>
      <c r="U516" s="3"/>
      <c r="V516" s="3"/>
      <c r="W516" s="3"/>
      <c r="X516" s="3"/>
      <c r="Y516" s="3"/>
      <c r="Z516" s="3"/>
      <c r="AA516" s="3"/>
      <c r="AB516" s="3"/>
    </row>
    <row r="517" customFormat="false" ht="15" hidden="false" customHeight="false" outlineLevel="0" collapsed="false">
      <c r="A517" s="54"/>
      <c r="B517" s="52"/>
      <c r="C517" s="56"/>
      <c r="D517" s="56"/>
      <c r="E517" s="56"/>
      <c r="F517" s="56"/>
      <c r="G517" s="55"/>
      <c r="H517" s="56"/>
      <c r="I517" s="56"/>
      <c r="J517" s="56"/>
      <c r="K517" s="56"/>
      <c r="L517" s="56"/>
      <c r="M517" s="52"/>
      <c r="N517" s="53"/>
      <c r="O517" s="62" t="str">
        <f aca="false">IF($B517="","",TEXT($A517,"YYYY-MM-DD")&amp;"|"&amp;$B517)</f>
        <v/>
      </c>
      <c r="P517" s="3"/>
      <c r="Q517" s="3"/>
      <c r="R517" s="3"/>
      <c r="S517" s="3"/>
      <c r="T517" s="3"/>
      <c r="U517" s="3"/>
      <c r="V517" s="3"/>
      <c r="W517" s="3"/>
      <c r="X517" s="3"/>
      <c r="Y517" s="3"/>
      <c r="Z517" s="3"/>
      <c r="AA517" s="3"/>
      <c r="AB517" s="3"/>
    </row>
    <row r="518" customFormat="false" ht="15" hidden="false" customHeight="false" outlineLevel="0" collapsed="false">
      <c r="A518" s="48"/>
      <c r="B518" s="46"/>
      <c r="C518" s="50"/>
      <c r="D518" s="50"/>
      <c r="E518" s="50"/>
      <c r="F518" s="50"/>
      <c r="G518" s="49"/>
      <c r="H518" s="50"/>
      <c r="I518" s="50"/>
      <c r="J518" s="50"/>
      <c r="K518" s="50"/>
      <c r="L518" s="50"/>
      <c r="M518" s="46"/>
      <c r="N518" s="47"/>
      <c r="O518" s="62" t="str">
        <f aca="false">IF($B518="","",TEXT($A518,"YYYY-MM-DD")&amp;"|"&amp;$B518)</f>
        <v/>
      </c>
      <c r="P518" s="3"/>
      <c r="Q518" s="3"/>
      <c r="R518" s="3"/>
      <c r="S518" s="3"/>
      <c r="T518" s="3"/>
      <c r="U518" s="3"/>
      <c r="V518" s="3"/>
      <c r="W518" s="3"/>
      <c r="X518" s="3"/>
      <c r="Y518" s="3"/>
      <c r="Z518" s="3"/>
      <c r="AA518" s="3"/>
      <c r="AB518" s="3"/>
    </row>
    <row r="519" customFormat="false" ht="15" hidden="false" customHeight="false" outlineLevel="0" collapsed="false">
      <c r="A519" s="54"/>
      <c r="B519" s="52"/>
      <c r="C519" s="56"/>
      <c r="D519" s="56"/>
      <c r="E519" s="56"/>
      <c r="F519" s="56"/>
      <c r="G519" s="55"/>
      <c r="H519" s="56"/>
      <c r="I519" s="56"/>
      <c r="J519" s="56"/>
      <c r="K519" s="56"/>
      <c r="L519" s="56"/>
      <c r="M519" s="52"/>
      <c r="N519" s="53"/>
      <c r="O519" s="62" t="str">
        <f aca="false">IF($B519="","",TEXT($A519,"YYYY-MM-DD")&amp;"|"&amp;$B519)</f>
        <v/>
      </c>
      <c r="P519" s="3"/>
      <c r="Q519" s="3"/>
      <c r="R519" s="3"/>
      <c r="S519" s="3"/>
      <c r="T519" s="3"/>
      <c r="U519" s="3"/>
      <c r="V519" s="3"/>
      <c r="W519" s="3"/>
      <c r="X519" s="3"/>
      <c r="Y519" s="3"/>
      <c r="Z519" s="3"/>
      <c r="AA519" s="3"/>
      <c r="AB519" s="3"/>
    </row>
    <row r="520" customFormat="false" ht="15" hidden="false" customHeight="false" outlineLevel="0" collapsed="false">
      <c r="A520" s="48"/>
      <c r="B520" s="46"/>
      <c r="C520" s="50"/>
      <c r="D520" s="50"/>
      <c r="E520" s="50"/>
      <c r="F520" s="50"/>
      <c r="G520" s="49"/>
      <c r="H520" s="50"/>
      <c r="I520" s="50"/>
      <c r="J520" s="50"/>
      <c r="K520" s="50"/>
      <c r="L520" s="50"/>
      <c r="M520" s="46"/>
      <c r="N520" s="47"/>
      <c r="O520" s="62" t="str">
        <f aca="false">IF($B520="","",TEXT($A520,"YYYY-MM-DD")&amp;"|"&amp;$B520)</f>
        <v/>
      </c>
      <c r="P520" s="3"/>
      <c r="Q520" s="3"/>
      <c r="R520" s="3"/>
      <c r="S520" s="3"/>
      <c r="T520" s="3"/>
      <c r="U520" s="3"/>
      <c r="V520" s="3"/>
      <c r="W520" s="3"/>
      <c r="X520" s="3"/>
      <c r="Y520" s="3"/>
      <c r="Z520" s="3"/>
      <c r="AA520" s="3"/>
      <c r="AB520" s="3"/>
    </row>
    <row r="521" customFormat="false" ht="15" hidden="false" customHeight="false" outlineLevel="0" collapsed="false">
      <c r="A521" s="54"/>
      <c r="B521" s="52"/>
      <c r="C521" s="56"/>
      <c r="D521" s="56"/>
      <c r="E521" s="56"/>
      <c r="F521" s="56"/>
      <c r="G521" s="55"/>
      <c r="H521" s="56"/>
      <c r="I521" s="56"/>
      <c r="J521" s="56"/>
      <c r="K521" s="56"/>
      <c r="L521" s="56"/>
      <c r="M521" s="52"/>
      <c r="N521" s="53"/>
      <c r="O521" s="62" t="str">
        <f aca="false">IF($B521="","",TEXT($A521,"YYYY-MM-DD")&amp;"|"&amp;$B521)</f>
        <v/>
      </c>
      <c r="P521" s="3"/>
      <c r="Q521" s="3"/>
      <c r="R521" s="3"/>
      <c r="S521" s="3"/>
      <c r="T521" s="3"/>
      <c r="U521" s="3"/>
      <c r="V521" s="3"/>
      <c r="W521" s="3"/>
      <c r="X521" s="3"/>
      <c r="Y521" s="3"/>
      <c r="Z521" s="3"/>
      <c r="AA521" s="3"/>
      <c r="AB521" s="3"/>
    </row>
    <row r="522" customFormat="false" ht="15" hidden="false" customHeight="false" outlineLevel="0" collapsed="false">
      <c r="A522" s="48"/>
      <c r="B522" s="46"/>
      <c r="C522" s="50"/>
      <c r="D522" s="50"/>
      <c r="E522" s="50"/>
      <c r="F522" s="50"/>
      <c r="G522" s="49"/>
      <c r="H522" s="50"/>
      <c r="I522" s="50"/>
      <c r="J522" s="50"/>
      <c r="K522" s="50"/>
      <c r="L522" s="50"/>
      <c r="M522" s="46"/>
      <c r="N522" s="47"/>
      <c r="O522" s="62" t="str">
        <f aca="false">IF($B522="","",TEXT($A522,"YYYY-MM-DD")&amp;"|"&amp;$B522)</f>
        <v/>
      </c>
      <c r="P522" s="3"/>
      <c r="Q522" s="3"/>
      <c r="R522" s="3"/>
      <c r="S522" s="3"/>
      <c r="T522" s="3"/>
      <c r="U522" s="3"/>
      <c r="V522" s="3"/>
      <c r="W522" s="3"/>
      <c r="X522" s="3"/>
      <c r="Y522" s="3"/>
      <c r="Z522" s="3"/>
      <c r="AA522" s="3"/>
      <c r="AB522" s="3"/>
    </row>
    <row r="523" customFormat="false" ht="15" hidden="false" customHeight="false" outlineLevel="0" collapsed="false">
      <c r="A523" s="54"/>
      <c r="B523" s="52"/>
      <c r="C523" s="56"/>
      <c r="D523" s="56"/>
      <c r="E523" s="56"/>
      <c r="F523" s="56"/>
      <c r="G523" s="55"/>
      <c r="H523" s="56"/>
      <c r="I523" s="56"/>
      <c r="J523" s="56"/>
      <c r="K523" s="56"/>
      <c r="L523" s="56"/>
      <c r="M523" s="52"/>
      <c r="N523" s="53"/>
      <c r="O523" s="62" t="str">
        <f aca="false">IF($B523="","",TEXT($A523,"YYYY-MM-DD")&amp;"|"&amp;$B523)</f>
        <v/>
      </c>
      <c r="P523" s="3"/>
      <c r="Q523" s="3"/>
      <c r="R523" s="3"/>
      <c r="S523" s="3"/>
      <c r="T523" s="3"/>
      <c r="U523" s="3"/>
      <c r="V523" s="3"/>
      <c r="W523" s="3"/>
      <c r="X523" s="3"/>
      <c r="Y523" s="3"/>
      <c r="Z523" s="3"/>
      <c r="AA523" s="3"/>
      <c r="AB523" s="3"/>
    </row>
    <row r="524" customFormat="false" ht="15" hidden="false" customHeight="false" outlineLevel="0" collapsed="false">
      <c r="A524" s="48"/>
      <c r="B524" s="46"/>
      <c r="C524" s="50"/>
      <c r="D524" s="50"/>
      <c r="E524" s="50"/>
      <c r="F524" s="50"/>
      <c r="G524" s="49"/>
      <c r="H524" s="50"/>
      <c r="I524" s="50"/>
      <c r="J524" s="50"/>
      <c r="K524" s="50"/>
      <c r="L524" s="50"/>
      <c r="M524" s="46"/>
      <c r="N524" s="47"/>
      <c r="O524" s="62" t="str">
        <f aca="false">IF($B524="","",TEXT($A524,"YYYY-MM-DD")&amp;"|"&amp;$B524)</f>
        <v/>
      </c>
      <c r="P524" s="3"/>
      <c r="Q524" s="3"/>
      <c r="R524" s="3"/>
      <c r="S524" s="3"/>
      <c r="T524" s="3"/>
      <c r="U524" s="3"/>
      <c r="V524" s="3"/>
      <c r="W524" s="3"/>
      <c r="X524" s="3"/>
      <c r="Y524" s="3"/>
      <c r="Z524" s="3"/>
      <c r="AA524" s="3"/>
      <c r="AB524" s="3"/>
    </row>
    <row r="525" customFormat="false" ht="15" hidden="false" customHeight="false" outlineLevel="0" collapsed="false">
      <c r="A525" s="54"/>
      <c r="B525" s="52"/>
      <c r="C525" s="56"/>
      <c r="D525" s="56"/>
      <c r="E525" s="56"/>
      <c r="F525" s="56"/>
      <c r="G525" s="55"/>
      <c r="H525" s="56"/>
      <c r="I525" s="56"/>
      <c r="J525" s="56"/>
      <c r="K525" s="56"/>
      <c r="L525" s="56"/>
      <c r="M525" s="52"/>
      <c r="N525" s="53"/>
      <c r="O525" s="62" t="str">
        <f aca="false">IF($B525="","",TEXT($A525,"YYYY-MM-DD")&amp;"|"&amp;$B525)</f>
        <v/>
      </c>
      <c r="P525" s="3"/>
      <c r="Q525" s="3"/>
      <c r="R525" s="3"/>
      <c r="S525" s="3"/>
      <c r="T525" s="3"/>
      <c r="U525" s="3"/>
      <c r="V525" s="3"/>
      <c r="W525" s="3"/>
      <c r="X525" s="3"/>
      <c r="Y525" s="3"/>
      <c r="Z525" s="3"/>
      <c r="AA525" s="3"/>
      <c r="AB525" s="3"/>
    </row>
    <row r="526" customFormat="false" ht="15" hidden="false" customHeight="false" outlineLevel="0" collapsed="false">
      <c r="A526" s="48"/>
      <c r="B526" s="46"/>
      <c r="C526" s="50"/>
      <c r="D526" s="50"/>
      <c r="E526" s="50"/>
      <c r="F526" s="50"/>
      <c r="G526" s="49"/>
      <c r="H526" s="50"/>
      <c r="I526" s="50"/>
      <c r="J526" s="50"/>
      <c r="K526" s="50"/>
      <c r="L526" s="50"/>
      <c r="M526" s="46"/>
      <c r="N526" s="47"/>
      <c r="O526" s="62" t="str">
        <f aca="false">IF($B526="","",TEXT($A526,"YYYY-MM-DD")&amp;"|"&amp;$B526)</f>
        <v/>
      </c>
      <c r="P526" s="3"/>
      <c r="Q526" s="3"/>
      <c r="R526" s="3"/>
      <c r="S526" s="3"/>
      <c r="T526" s="3"/>
      <c r="U526" s="3"/>
      <c r="V526" s="3"/>
      <c r="W526" s="3"/>
      <c r="X526" s="3"/>
      <c r="Y526" s="3"/>
      <c r="Z526" s="3"/>
      <c r="AA526" s="3"/>
      <c r="AB526" s="3"/>
    </row>
    <row r="527" customFormat="false" ht="15" hidden="false" customHeight="false" outlineLevel="0" collapsed="false">
      <c r="A527" s="54"/>
      <c r="B527" s="52"/>
      <c r="C527" s="56"/>
      <c r="D527" s="56"/>
      <c r="E527" s="56"/>
      <c r="F527" s="56"/>
      <c r="G527" s="55"/>
      <c r="H527" s="56"/>
      <c r="I527" s="56"/>
      <c r="J527" s="56"/>
      <c r="K527" s="56"/>
      <c r="L527" s="56"/>
      <c r="M527" s="52"/>
      <c r="N527" s="53"/>
      <c r="O527" s="62" t="str">
        <f aca="false">IF($B527="","",TEXT($A527,"YYYY-MM-DD")&amp;"|"&amp;$B527)</f>
        <v/>
      </c>
      <c r="P527" s="3"/>
      <c r="Q527" s="3"/>
      <c r="R527" s="3"/>
      <c r="S527" s="3"/>
      <c r="T527" s="3"/>
      <c r="U527" s="3"/>
      <c r="V527" s="3"/>
      <c r="W527" s="3"/>
      <c r="X527" s="3"/>
      <c r="Y527" s="3"/>
      <c r="Z527" s="3"/>
      <c r="AA527" s="3"/>
      <c r="AB527" s="3"/>
    </row>
    <row r="528" customFormat="false" ht="15" hidden="false" customHeight="false" outlineLevel="0" collapsed="false">
      <c r="A528" s="48"/>
      <c r="B528" s="46"/>
      <c r="C528" s="50"/>
      <c r="D528" s="50"/>
      <c r="E528" s="50"/>
      <c r="F528" s="50"/>
      <c r="G528" s="49"/>
      <c r="H528" s="50"/>
      <c r="I528" s="50"/>
      <c r="J528" s="50"/>
      <c r="K528" s="50"/>
      <c r="L528" s="50"/>
      <c r="M528" s="46"/>
      <c r="N528" s="47"/>
      <c r="O528" s="62" t="str">
        <f aca="false">IF($B528="","",TEXT($A528,"YYYY-MM-DD")&amp;"|"&amp;$B528)</f>
        <v/>
      </c>
      <c r="P528" s="3"/>
      <c r="Q528" s="3"/>
      <c r="R528" s="3"/>
      <c r="S528" s="3"/>
      <c r="T528" s="3"/>
      <c r="U528" s="3"/>
      <c r="V528" s="3"/>
      <c r="W528" s="3"/>
      <c r="X528" s="3"/>
      <c r="Y528" s="3"/>
      <c r="Z528" s="3"/>
      <c r="AA528" s="3"/>
      <c r="AB528" s="3"/>
    </row>
    <row r="529" customFormat="false" ht="15" hidden="false" customHeight="false" outlineLevel="0" collapsed="false">
      <c r="A529" s="54"/>
      <c r="B529" s="52"/>
      <c r="C529" s="56"/>
      <c r="D529" s="56"/>
      <c r="E529" s="56"/>
      <c r="F529" s="56"/>
      <c r="G529" s="55"/>
      <c r="H529" s="56"/>
      <c r="I529" s="56"/>
      <c r="J529" s="56"/>
      <c r="K529" s="56"/>
      <c r="L529" s="56"/>
      <c r="M529" s="52"/>
      <c r="N529" s="53"/>
      <c r="O529" s="62" t="str">
        <f aca="false">IF($B529="","",TEXT($A529,"YYYY-MM-DD")&amp;"|"&amp;$B529)</f>
        <v/>
      </c>
      <c r="P529" s="3"/>
      <c r="Q529" s="3"/>
      <c r="R529" s="3"/>
      <c r="S529" s="3"/>
      <c r="T529" s="3"/>
      <c r="U529" s="3"/>
      <c r="V529" s="3"/>
      <c r="W529" s="3"/>
      <c r="X529" s="3"/>
      <c r="Y529" s="3"/>
      <c r="Z529" s="3"/>
      <c r="AA529" s="3"/>
      <c r="AB529" s="3"/>
    </row>
    <row r="530" customFormat="false" ht="15" hidden="false" customHeight="false" outlineLevel="0" collapsed="false">
      <c r="A530" s="48"/>
      <c r="B530" s="46"/>
      <c r="C530" s="50"/>
      <c r="D530" s="50"/>
      <c r="E530" s="50"/>
      <c r="F530" s="50"/>
      <c r="G530" s="49"/>
      <c r="H530" s="50"/>
      <c r="I530" s="50"/>
      <c r="J530" s="50"/>
      <c r="K530" s="50"/>
      <c r="L530" s="50"/>
      <c r="M530" s="46"/>
      <c r="N530" s="47"/>
      <c r="O530" s="62" t="str">
        <f aca="false">IF($B530="","",TEXT($A530,"YYYY-MM-DD")&amp;"|"&amp;$B530)</f>
        <v/>
      </c>
      <c r="P530" s="3"/>
      <c r="Q530" s="3"/>
      <c r="R530" s="3"/>
      <c r="S530" s="3"/>
      <c r="T530" s="3"/>
      <c r="U530" s="3"/>
      <c r="V530" s="3"/>
      <c r="W530" s="3"/>
      <c r="X530" s="3"/>
      <c r="Y530" s="3"/>
      <c r="Z530" s="3"/>
      <c r="AA530" s="3"/>
      <c r="AB530" s="3"/>
    </row>
    <row r="531" customFormat="false" ht="15" hidden="false" customHeight="false" outlineLevel="0" collapsed="false">
      <c r="A531" s="54"/>
      <c r="B531" s="52"/>
      <c r="C531" s="56"/>
      <c r="D531" s="56"/>
      <c r="E531" s="56"/>
      <c r="F531" s="56"/>
      <c r="G531" s="55"/>
      <c r="H531" s="56"/>
      <c r="I531" s="56"/>
      <c r="J531" s="56"/>
      <c r="K531" s="56"/>
      <c r="L531" s="56"/>
      <c r="M531" s="52"/>
      <c r="N531" s="53"/>
      <c r="O531" s="62" t="str">
        <f aca="false">IF($B531="","",TEXT($A531,"YYYY-MM-DD")&amp;"|"&amp;$B531)</f>
        <v/>
      </c>
      <c r="P531" s="3"/>
      <c r="Q531" s="3"/>
      <c r="R531" s="3"/>
      <c r="S531" s="3"/>
      <c r="T531" s="3"/>
      <c r="U531" s="3"/>
      <c r="V531" s="3"/>
      <c r="W531" s="3"/>
      <c r="X531" s="3"/>
      <c r="Y531" s="3"/>
      <c r="Z531" s="3"/>
      <c r="AA531" s="3"/>
      <c r="AB531" s="3"/>
    </row>
    <row r="532" customFormat="false" ht="15" hidden="false" customHeight="false" outlineLevel="0" collapsed="false">
      <c r="A532" s="48"/>
      <c r="B532" s="46"/>
      <c r="C532" s="50"/>
      <c r="D532" s="50"/>
      <c r="E532" s="50"/>
      <c r="F532" s="50"/>
      <c r="G532" s="49"/>
      <c r="H532" s="50"/>
      <c r="I532" s="50"/>
      <c r="J532" s="50"/>
      <c r="K532" s="50"/>
      <c r="L532" s="50"/>
      <c r="M532" s="46"/>
      <c r="N532" s="47"/>
      <c r="O532" s="62" t="str">
        <f aca="false">IF($B532="","",TEXT($A532,"YYYY-MM-DD")&amp;"|"&amp;$B532)</f>
        <v/>
      </c>
      <c r="P532" s="3"/>
      <c r="Q532" s="3"/>
      <c r="R532" s="3"/>
      <c r="S532" s="3"/>
      <c r="T532" s="3"/>
      <c r="U532" s="3"/>
      <c r="V532" s="3"/>
      <c r="W532" s="3"/>
      <c r="X532" s="3"/>
      <c r="Y532" s="3"/>
      <c r="Z532" s="3"/>
      <c r="AA532" s="3"/>
      <c r="AB532" s="3"/>
    </row>
    <row r="533" customFormat="false" ht="15" hidden="false" customHeight="false" outlineLevel="0" collapsed="false">
      <c r="A533" s="54"/>
      <c r="B533" s="52"/>
      <c r="C533" s="56"/>
      <c r="D533" s="56"/>
      <c r="E533" s="56"/>
      <c r="F533" s="56"/>
      <c r="G533" s="55"/>
      <c r="H533" s="56"/>
      <c r="I533" s="56"/>
      <c r="J533" s="56"/>
      <c r="K533" s="56"/>
      <c r="L533" s="56"/>
      <c r="M533" s="52"/>
      <c r="N533" s="53"/>
      <c r="O533" s="62" t="str">
        <f aca="false">IF($B533="","",TEXT($A533,"YYYY-MM-DD")&amp;"|"&amp;$B533)</f>
        <v/>
      </c>
      <c r="P533" s="3"/>
      <c r="Q533" s="3"/>
      <c r="R533" s="3"/>
      <c r="S533" s="3"/>
      <c r="T533" s="3"/>
      <c r="U533" s="3"/>
      <c r="V533" s="3"/>
      <c r="W533" s="3"/>
      <c r="X533" s="3"/>
      <c r="Y533" s="3"/>
      <c r="Z533" s="3"/>
      <c r="AA533" s="3"/>
      <c r="AB533" s="3"/>
    </row>
    <row r="534" customFormat="false" ht="15" hidden="false" customHeight="false" outlineLevel="0" collapsed="false">
      <c r="A534" s="48"/>
      <c r="B534" s="46"/>
      <c r="C534" s="50"/>
      <c r="D534" s="50"/>
      <c r="E534" s="50"/>
      <c r="F534" s="50"/>
      <c r="G534" s="49"/>
      <c r="H534" s="50"/>
      <c r="I534" s="50"/>
      <c r="J534" s="50"/>
      <c r="K534" s="50"/>
      <c r="L534" s="50"/>
      <c r="M534" s="46"/>
      <c r="N534" s="47"/>
      <c r="O534" s="62" t="str">
        <f aca="false">IF($B534="","",TEXT($A534,"YYYY-MM-DD")&amp;"|"&amp;$B534)</f>
        <v/>
      </c>
      <c r="P534" s="3"/>
      <c r="Q534" s="3"/>
      <c r="R534" s="3"/>
      <c r="S534" s="3"/>
      <c r="T534" s="3"/>
      <c r="U534" s="3"/>
      <c r="V534" s="3"/>
      <c r="W534" s="3"/>
      <c r="X534" s="3"/>
      <c r="Y534" s="3"/>
      <c r="Z534" s="3"/>
      <c r="AA534" s="3"/>
      <c r="AB534" s="3"/>
    </row>
    <row r="535" customFormat="false" ht="15" hidden="false" customHeight="false" outlineLevel="0" collapsed="false">
      <c r="A535" s="54"/>
      <c r="B535" s="52"/>
      <c r="C535" s="56"/>
      <c r="D535" s="56"/>
      <c r="E535" s="56"/>
      <c r="F535" s="56"/>
      <c r="G535" s="55"/>
      <c r="H535" s="56"/>
      <c r="I535" s="56"/>
      <c r="J535" s="56"/>
      <c r="K535" s="56"/>
      <c r="L535" s="56"/>
      <c r="M535" s="52"/>
      <c r="N535" s="53"/>
      <c r="O535" s="62" t="str">
        <f aca="false">IF($B535="","",TEXT($A535,"YYYY-MM-DD")&amp;"|"&amp;$B535)</f>
        <v/>
      </c>
      <c r="P535" s="3"/>
      <c r="Q535" s="3"/>
      <c r="R535" s="3"/>
      <c r="S535" s="3"/>
      <c r="T535" s="3"/>
      <c r="U535" s="3"/>
      <c r="V535" s="3"/>
      <c r="W535" s="3"/>
      <c r="X535" s="3"/>
      <c r="Y535" s="3"/>
      <c r="Z535" s="3"/>
      <c r="AA535" s="3"/>
      <c r="AB535" s="3"/>
    </row>
    <row r="536" customFormat="false" ht="15" hidden="false" customHeight="false" outlineLevel="0" collapsed="false">
      <c r="A536" s="48"/>
      <c r="B536" s="46"/>
      <c r="C536" s="50"/>
      <c r="D536" s="50"/>
      <c r="E536" s="50"/>
      <c r="F536" s="50"/>
      <c r="G536" s="49"/>
      <c r="H536" s="50"/>
      <c r="I536" s="50"/>
      <c r="J536" s="50"/>
      <c r="K536" s="50"/>
      <c r="L536" s="50"/>
      <c r="M536" s="46"/>
      <c r="N536" s="47"/>
      <c r="O536" s="62" t="str">
        <f aca="false">IF($B536="","",TEXT($A536,"YYYY-MM-DD")&amp;"|"&amp;$B536)</f>
        <v/>
      </c>
      <c r="P536" s="3"/>
      <c r="Q536" s="3"/>
      <c r="R536" s="3"/>
      <c r="S536" s="3"/>
      <c r="T536" s="3"/>
      <c r="U536" s="3"/>
      <c r="V536" s="3"/>
      <c r="W536" s="3"/>
      <c r="X536" s="3"/>
      <c r="Y536" s="3"/>
      <c r="Z536" s="3"/>
      <c r="AA536" s="3"/>
      <c r="AB536" s="3"/>
    </row>
    <row r="537" customFormat="false" ht="15" hidden="false" customHeight="false" outlineLevel="0" collapsed="false">
      <c r="A537" s="54"/>
      <c r="B537" s="52"/>
      <c r="C537" s="56"/>
      <c r="D537" s="56"/>
      <c r="E537" s="56"/>
      <c r="F537" s="56"/>
      <c r="G537" s="55"/>
      <c r="H537" s="56"/>
      <c r="I537" s="56"/>
      <c r="J537" s="56"/>
      <c r="K537" s="56"/>
      <c r="L537" s="56"/>
      <c r="M537" s="52"/>
      <c r="N537" s="53"/>
      <c r="O537" s="62" t="str">
        <f aca="false">IF($B537="","",TEXT($A537,"YYYY-MM-DD")&amp;"|"&amp;$B537)</f>
        <v/>
      </c>
      <c r="P537" s="3"/>
      <c r="Q537" s="3"/>
      <c r="R537" s="3"/>
      <c r="S537" s="3"/>
      <c r="T537" s="3"/>
      <c r="U537" s="3"/>
      <c r="V537" s="3"/>
      <c r="W537" s="3"/>
      <c r="X537" s="3"/>
      <c r="Y537" s="3"/>
      <c r="Z537" s="3"/>
      <c r="AA537" s="3"/>
      <c r="AB537" s="3"/>
    </row>
    <row r="538" customFormat="false" ht="15" hidden="false" customHeight="false" outlineLevel="0" collapsed="false">
      <c r="A538" s="48"/>
      <c r="B538" s="46"/>
      <c r="C538" s="50"/>
      <c r="D538" s="50"/>
      <c r="E538" s="50"/>
      <c r="F538" s="50"/>
      <c r="G538" s="49"/>
      <c r="H538" s="50"/>
      <c r="I538" s="50"/>
      <c r="J538" s="50"/>
      <c r="K538" s="50"/>
      <c r="L538" s="50"/>
      <c r="M538" s="46"/>
      <c r="N538" s="47"/>
      <c r="O538" s="62" t="str">
        <f aca="false">IF($B538="","",TEXT($A538,"YYYY-MM-DD")&amp;"|"&amp;$B538)</f>
        <v/>
      </c>
      <c r="P538" s="3"/>
      <c r="Q538" s="3"/>
      <c r="R538" s="3"/>
      <c r="S538" s="3"/>
      <c r="T538" s="3"/>
      <c r="U538" s="3"/>
      <c r="V538" s="3"/>
      <c r="W538" s="3"/>
      <c r="X538" s="3"/>
      <c r="Y538" s="3"/>
      <c r="Z538" s="3"/>
      <c r="AA538" s="3"/>
      <c r="AB538" s="3"/>
    </row>
    <row r="539" customFormat="false" ht="15" hidden="false" customHeight="false" outlineLevel="0" collapsed="false">
      <c r="A539" s="54"/>
      <c r="B539" s="52"/>
      <c r="C539" s="56"/>
      <c r="D539" s="56"/>
      <c r="E539" s="56"/>
      <c r="F539" s="56"/>
      <c r="G539" s="55"/>
      <c r="H539" s="56"/>
      <c r="I539" s="56"/>
      <c r="J539" s="56"/>
      <c r="K539" s="56"/>
      <c r="L539" s="56"/>
      <c r="M539" s="52"/>
      <c r="N539" s="53"/>
      <c r="O539" s="62" t="str">
        <f aca="false">IF($B539="","",TEXT($A539,"YYYY-MM-DD")&amp;"|"&amp;$B539)</f>
        <v/>
      </c>
      <c r="P539" s="3"/>
      <c r="Q539" s="3"/>
      <c r="R539" s="3"/>
      <c r="S539" s="3"/>
      <c r="T539" s="3"/>
      <c r="U539" s="3"/>
      <c r="V539" s="3"/>
      <c r="W539" s="3"/>
      <c r="X539" s="3"/>
      <c r="Y539" s="3"/>
      <c r="Z539" s="3"/>
      <c r="AA539" s="3"/>
      <c r="AB539" s="3"/>
    </row>
    <row r="540" customFormat="false" ht="15" hidden="false" customHeight="false" outlineLevel="0" collapsed="false">
      <c r="A540" s="48"/>
      <c r="B540" s="46"/>
      <c r="C540" s="50"/>
      <c r="D540" s="50"/>
      <c r="E540" s="50"/>
      <c r="F540" s="50"/>
      <c r="G540" s="49"/>
      <c r="H540" s="50"/>
      <c r="I540" s="50"/>
      <c r="J540" s="50"/>
      <c r="K540" s="50"/>
      <c r="L540" s="50"/>
      <c r="M540" s="46"/>
      <c r="N540" s="47"/>
      <c r="O540" s="62" t="str">
        <f aca="false">IF($B540="","",TEXT($A540,"YYYY-MM-DD")&amp;"|"&amp;$B540)</f>
        <v/>
      </c>
      <c r="P540" s="3"/>
      <c r="Q540" s="3"/>
      <c r="R540" s="3"/>
      <c r="S540" s="3"/>
      <c r="T540" s="3"/>
      <c r="U540" s="3"/>
      <c r="V540" s="3"/>
      <c r="W540" s="3"/>
      <c r="X540" s="3"/>
      <c r="Y540" s="3"/>
      <c r="Z540" s="3"/>
      <c r="AA540" s="3"/>
      <c r="AB540" s="3"/>
    </row>
    <row r="541" customFormat="false" ht="15" hidden="false" customHeight="false" outlineLevel="0" collapsed="false">
      <c r="A541" s="54"/>
      <c r="B541" s="52"/>
      <c r="C541" s="56"/>
      <c r="D541" s="56"/>
      <c r="E541" s="56"/>
      <c r="F541" s="56"/>
      <c r="G541" s="55"/>
      <c r="H541" s="56"/>
      <c r="I541" s="56"/>
      <c r="J541" s="56"/>
      <c r="K541" s="56"/>
      <c r="L541" s="56"/>
      <c r="M541" s="52"/>
      <c r="N541" s="53"/>
      <c r="O541" s="62" t="str">
        <f aca="false">IF($B541="","",TEXT($A541,"YYYY-MM-DD")&amp;"|"&amp;$B541)</f>
        <v/>
      </c>
      <c r="P541" s="3"/>
      <c r="Q541" s="3"/>
      <c r="R541" s="3"/>
      <c r="S541" s="3"/>
      <c r="T541" s="3"/>
      <c r="U541" s="3"/>
      <c r="V541" s="3"/>
      <c r="W541" s="3"/>
      <c r="X541" s="3"/>
      <c r="Y541" s="3"/>
      <c r="Z541" s="3"/>
      <c r="AA541" s="3"/>
      <c r="AB541" s="3"/>
    </row>
    <row r="542" customFormat="false" ht="15" hidden="false" customHeight="false" outlineLevel="0" collapsed="false">
      <c r="A542" s="48"/>
      <c r="B542" s="46"/>
      <c r="C542" s="50"/>
      <c r="D542" s="50"/>
      <c r="E542" s="50"/>
      <c r="F542" s="50"/>
      <c r="G542" s="49"/>
      <c r="H542" s="50"/>
      <c r="I542" s="50"/>
      <c r="J542" s="50"/>
      <c r="K542" s="50"/>
      <c r="L542" s="50"/>
      <c r="M542" s="46"/>
      <c r="N542" s="47"/>
      <c r="O542" s="62" t="str">
        <f aca="false">IF($B542="","",TEXT($A542,"YYYY-MM-DD")&amp;"|"&amp;$B542)</f>
        <v/>
      </c>
      <c r="P542" s="3"/>
      <c r="Q542" s="3"/>
      <c r="R542" s="3"/>
      <c r="S542" s="3"/>
      <c r="T542" s="3"/>
      <c r="U542" s="3"/>
      <c r="V542" s="3"/>
      <c r="W542" s="3"/>
      <c r="X542" s="3"/>
      <c r="Y542" s="3"/>
      <c r="Z542" s="3"/>
      <c r="AA542" s="3"/>
      <c r="AB542" s="3"/>
    </row>
    <row r="543" customFormat="false" ht="15" hidden="false" customHeight="false" outlineLevel="0" collapsed="false">
      <c r="A543" s="54"/>
      <c r="B543" s="52"/>
      <c r="C543" s="56"/>
      <c r="D543" s="56"/>
      <c r="E543" s="56"/>
      <c r="F543" s="56"/>
      <c r="G543" s="55"/>
      <c r="H543" s="56"/>
      <c r="I543" s="56"/>
      <c r="J543" s="56"/>
      <c r="K543" s="56"/>
      <c r="L543" s="56"/>
      <c r="M543" s="52"/>
      <c r="N543" s="53"/>
      <c r="O543" s="62" t="str">
        <f aca="false">IF($B543="","",TEXT($A543,"YYYY-MM-DD")&amp;"|"&amp;$B543)</f>
        <v/>
      </c>
      <c r="P543" s="3"/>
      <c r="Q543" s="3"/>
      <c r="R543" s="3"/>
      <c r="S543" s="3"/>
      <c r="T543" s="3"/>
      <c r="U543" s="3"/>
      <c r="V543" s="3"/>
      <c r="W543" s="3"/>
      <c r="X543" s="3"/>
      <c r="Y543" s="3"/>
      <c r="Z543" s="3"/>
      <c r="AA543" s="3"/>
      <c r="AB543" s="3"/>
    </row>
    <row r="544" customFormat="false" ht="15" hidden="false" customHeight="false" outlineLevel="0" collapsed="false">
      <c r="A544" s="48"/>
      <c r="B544" s="46"/>
      <c r="C544" s="50"/>
      <c r="D544" s="50"/>
      <c r="E544" s="50"/>
      <c r="F544" s="50"/>
      <c r="G544" s="49"/>
      <c r="H544" s="50"/>
      <c r="I544" s="50"/>
      <c r="J544" s="50"/>
      <c r="K544" s="50"/>
      <c r="L544" s="50"/>
      <c r="M544" s="46"/>
      <c r="N544" s="47"/>
      <c r="O544" s="62" t="str">
        <f aca="false">IF($B544="","",TEXT($A544,"YYYY-MM-DD")&amp;"|"&amp;$B544)</f>
        <v/>
      </c>
      <c r="P544" s="3"/>
      <c r="Q544" s="3"/>
      <c r="R544" s="3"/>
      <c r="S544" s="3"/>
      <c r="T544" s="3"/>
      <c r="U544" s="3"/>
      <c r="V544" s="3"/>
      <c r="W544" s="3"/>
      <c r="X544" s="3"/>
      <c r="Y544" s="3"/>
      <c r="Z544" s="3"/>
      <c r="AA544" s="3"/>
      <c r="AB544" s="3"/>
    </row>
    <row r="545" customFormat="false" ht="15" hidden="false" customHeight="false" outlineLevel="0" collapsed="false">
      <c r="A545" s="54"/>
      <c r="B545" s="52"/>
      <c r="C545" s="56"/>
      <c r="D545" s="56"/>
      <c r="E545" s="56"/>
      <c r="F545" s="56"/>
      <c r="G545" s="55"/>
      <c r="H545" s="56"/>
      <c r="I545" s="56"/>
      <c r="J545" s="56"/>
      <c r="K545" s="56"/>
      <c r="L545" s="56"/>
      <c r="M545" s="52"/>
      <c r="N545" s="53"/>
      <c r="O545" s="62" t="str">
        <f aca="false">IF($B545="","",TEXT($A545,"YYYY-MM-DD")&amp;"|"&amp;$B545)</f>
        <v/>
      </c>
      <c r="P545" s="3"/>
      <c r="Q545" s="3"/>
      <c r="R545" s="3"/>
      <c r="S545" s="3"/>
      <c r="T545" s="3"/>
      <c r="U545" s="3"/>
      <c r="V545" s="3"/>
      <c r="W545" s="3"/>
      <c r="X545" s="3"/>
      <c r="Y545" s="3"/>
      <c r="Z545" s="3"/>
      <c r="AA545" s="3"/>
      <c r="AB545" s="3"/>
    </row>
    <row r="546" customFormat="false" ht="15" hidden="false" customHeight="false" outlineLevel="0" collapsed="false">
      <c r="A546" s="48"/>
      <c r="B546" s="46"/>
      <c r="C546" s="50"/>
      <c r="D546" s="50"/>
      <c r="E546" s="50"/>
      <c r="F546" s="50"/>
      <c r="G546" s="49"/>
      <c r="H546" s="50"/>
      <c r="I546" s="50"/>
      <c r="J546" s="50"/>
      <c r="K546" s="50"/>
      <c r="L546" s="50"/>
      <c r="M546" s="46"/>
      <c r="N546" s="47"/>
      <c r="O546" s="62" t="str">
        <f aca="false">IF($B546="","",TEXT($A546,"YYYY-MM-DD")&amp;"|"&amp;$B546)</f>
        <v/>
      </c>
      <c r="P546" s="3"/>
      <c r="Q546" s="3"/>
      <c r="R546" s="3"/>
      <c r="S546" s="3"/>
      <c r="T546" s="3"/>
      <c r="U546" s="3"/>
      <c r="V546" s="3"/>
      <c r="W546" s="3"/>
      <c r="X546" s="3"/>
      <c r="Y546" s="3"/>
      <c r="Z546" s="3"/>
      <c r="AA546" s="3"/>
      <c r="AB546" s="3"/>
    </row>
    <row r="547" customFormat="false" ht="15" hidden="false" customHeight="false" outlineLevel="0" collapsed="false">
      <c r="A547" s="54"/>
      <c r="B547" s="52"/>
      <c r="C547" s="56"/>
      <c r="D547" s="56"/>
      <c r="E547" s="56"/>
      <c r="F547" s="56"/>
      <c r="G547" s="55"/>
      <c r="H547" s="56"/>
      <c r="I547" s="56"/>
      <c r="J547" s="56"/>
      <c r="K547" s="56"/>
      <c r="L547" s="56"/>
      <c r="M547" s="52"/>
      <c r="N547" s="53"/>
      <c r="O547" s="62" t="str">
        <f aca="false">IF($B547="","",TEXT($A547,"YYYY-MM-DD")&amp;"|"&amp;$B547)</f>
        <v/>
      </c>
      <c r="P547" s="3"/>
      <c r="Q547" s="3"/>
      <c r="R547" s="3"/>
      <c r="S547" s="3"/>
      <c r="T547" s="3"/>
      <c r="U547" s="3"/>
      <c r="V547" s="3"/>
      <c r="W547" s="3"/>
      <c r="X547" s="3"/>
      <c r="Y547" s="3"/>
      <c r="Z547" s="3"/>
      <c r="AA547" s="3"/>
      <c r="AB547" s="3"/>
    </row>
    <row r="548" customFormat="false" ht="15" hidden="false" customHeight="false" outlineLevel="0" collapsed="false">
      <c r="A548" s="48"/>
      <c r="B548" s="46"/>
      <c r="C548" s="50"/>
      <c r="D548" s="50"/>
      <c r="E548" s="50"/>
      <c r="F548" s="50"/>
      <c r="G548" s="49"/>
      <c r="H548" s="50"/>
      <c r="I548" s="50"/>
      <c r="J548" s="50"/>
      <c r="K548" s="50"/>
      <c r="L548" s="50"/>
      <c r="M548" s="46"/>
      <c r="N548" s="47"/>
      <c r="O548" s="62" t="str">
        <f aca="false">IF($B548="","",TEXT($A548,"YYYY-MM-DD")&amp;"|"&amp;$B548)</f>
        <v/>
      </c>
      <c r="P548" s="3"/>
      <c r="Q548" s="3"/>
      <c r="R548" s="3"/>
      <c r="S548" s="3"/>
      <c r="T548" s="3"/>
      <c r="U548" s="3"/>
      <c r="V548" s="3"/>
      <c r="W548" s="3"/>
      <c r="X548" s="3"/>
      <c r="Y548" s="3"/>
      <c r="Z548" s="3"/>
      <c r="AA548" s="3"/>
      <c r="AB548" s="3"/>
    </row>
    <row r="549" customFormat="false" ht="15" hidden="false" customHeight="false" outlineLevel="0" collapsed="false">
      <c r="A549" s="54"/>
      <c r="B549" s="52"/>
      <c r="C549" s="56"/>
      <c r="D549" s="56"/>
      <c r="E549" s="56"/>
      <c r="F549" s="56"/>
      <c r="G549" s="55"/>
      <c r="H549" s="56"/>
      <c r="I549" s="56"/>
      <c r="J549" s="56"/>
      <c r="K549" s="56"/>
      <c r="L549" s="56"/>
      <c r="M549" s="52"/>
      <c r="N549" s="53"/>
      <c r="O549" s="62" t="str">
        <f aca="false">IF($B549="","",TEXT($A549,"YYYY-MM-DD")&amp;"|"&amp;$B549)</f>
        <v/>
      </c>
      <c r="P549" s="3"/>
      <c r="Q549" s="3"/>
      <c r="R549" s="3"/>
      <c r="S549" s="3"/>
      <c r="T549" s="3"/>
      <c r="U549" s="3"/>
      <c r="V549" s="3"/>
      <c r="W549" s="3"/>
      <c r="X549" s="3"/>
      <c r="Y549" s="3"/>
      <c r="Z549" s="3"/>
      <c r="AA549" s="3"/>
      <c r="AB549" s="3"/>
    </row>
    <row r="550" customFormat="false" ht="15" hidden="false" customHeight="false" outlineLevel="0" collapsed="false">
      <c r="A550" s="48"/>
      <c r="B550" s="46"/>
      <c r="C550" s="50"/>
      <c r="D550" s="50"/>
      <c r="E550" s="50"/>
      <c r="F550" s="50"/>
      <c r="G550" s="49"/>
      <c r="H550" s="50"/>
      <c r="I550" s="50"/>
      <c r="J550" s="50"/>
      <c r="K550" s="50"/>
      <c r="L550" s="50"/>
      <c r="M550" s="46"/>
      <c r="N550" s="47"/>
      <c r="O550" s="62" t="str">
        <f aca="false">IF($B550="","",TEXT($A550,"YYYY-MM-DD")&amp;"|"&amp;$B550)</f>
        <v/>
      </c>
      <c r="P550" s="3"/>
      <c r="Q550" s="3"/>
      <c r="R550" s="3"/>
      <c r="S550" s="3"/>
      <c r="T550" s="3"/>
      <c r="U550" s="3"/>
      <c r="V550" s="3"/>
      <c r="W550" s="3"/>
      <c r="X550" s="3"/>
      <c r="Y550" s="3"/>
      <c r="Z550" s="3"/>
      <c r="AA550" s="3"/>
      <c r="AB550" s="3"/>
    </row>
    <row r="551" customFormat="false" ht="15" hidden="false" customHeight="false" outlineLevel="0" collapsed="false">
      <c r="A551" s="54"/>
      <c r="B551" s="52"/>
      <c r="C551" s="56"/>
      <c r="D551" s="56"/>
      <c r="E551" s="56"/>
      <c r="F551" s="56"/>
      <c r="G551" s="55"/>
      <c r="H551" s="56"/>
      <c r="I551" s="56"/>
      <c r="J551" s="56"/>
      <c r="K551" s="56"/>
      <c r="L551" s="56"/>
      <c r="M551" s="52"/>
      <c r="N551" s="53"/>
      <c r="O551" s="62" t="str">
        <f aca="false">IF($B551="","",TEXT($A551,"YYYY-MM-DD")&amp;"|"&amp;$B551)</f>
        <v/>
      </c>
      <c r="P551" s="3"/>
      <c r="Q551" s="3"/>
      <c r="R551" s="3"/>
      <c r="S551" s="3"/>
      <c r="T551" s="3"/>
      <c r="U551" s="3"/>
      <c r="V551" s="3"/>
      <c r="W551" s="3"/>
      <c r="X551" s="3"/>
      <c r="Y551" s="3"/>
      <c r="Z551" s="3"/>
      <c r="AA551" s="3"/>
      <c r="AB551" s="3"/>
    </row>
    <row r="552" customFormat="false" ht="15" hidden="false" customHeight="false" outlineLevel="0" collapsed="false">
      <c r="A552" s="48"/>
      <c r="B552" s="46"/>
      <c r="C552" s="50"/>
      <c r="D552" s="50"/>
      <c r="E552" s="50"/>
      <c r="F552" s="50"/>
      <c r="G552" s="49"/>
      <c r="H552" s="50"/>
      <c r="I552" s="50"/>
      <c r="J552" s="50"/>
      <c r="K552" s="50"/>
      <c r="L552" s="50"/>
      <c r="M552" s="46"/>
      <c r="N552" s="47"/>
      <c r="O552" s="62" t="str">
        <f aca="false">IF($B552="","",TEXT($A552,"YYYY-MM-DD")&amp;"|"&amp;$B552)</f>
        <v/>
      </c>
      <c r="P552" s="3"/>
      <c r="Q552" s="3"/>
      <c r="R552" s="3"/>
      <c r="S552" s="3"/>
      <c r="T552" s="3"/>
      <c r="U552" s="3"/>
      <c r="V552" s="3"/>
      <c r="W552" s="3"/>
      <c r="X552" s="3"/>
      <c r="Y552" s="3"/>
      <c r="Z552" s="3"/>
      <c r="AA552" s="3"/>
      <c r="AB552" s="3"/>
    </row>
    <row r="553" customFormat="false" ht="15" hidden="false" customHeight="false" outlineLevel="0" collapsed="false">
      <c r="A553" s="54"/>
      <c r="B553" s="52"/>
      <c r="C553" s="56"/>
      <c r="D553" s="56"/>
      <c r="E553" s="56"/>
      <c r="F553" s="56"/>
      <c r="G553" s="55"/>
      <c r="H553" s="56"/>
      <c r="I553" s="56"/>
      <c r="J553" s="56"/>
      <c r="K553" s="56"/>
      <c r="L553" s="56"/>
      <c r="M553" s="52"/>
      <c r="N553" s="53"/>
      <c r="O553" s="62" t="str">
        <f aca="false">IF($B553="","",TEXT($A553,"YYYY-MM-DD")&amp;"|"&amp;$B553)</f>
        <v/>
      </c>
      <c r="P553" s="3"/>
      <c r="Q553" s="3"/>
      <c r="R553" s="3"/>
      <c r="S553" s="3"/>
      <c r="T553" s="3"/>
      <c r="U553" s="3"/>
      <c r="V553" s="3"/>
      <c r="W553" s="3"/>
      <c r="X553" s="3"/>
      <c r="Y553" s="3"/>
      <c r="Z553" s="3"/>
      <c r="AA553" s="3"/>
      <c r="AB553" s="3"/>
    </row>
    <row r="554" customFormat="false" ht="15" hidden="false" customHeight="false" outlineLevel="0" collapsed="false">
      <c r="A554" s="48"/>
      <c r="B554" s="46"/>
      <c r="C554" s="50"/>
      <c r="D554" s="50"/>
      <c r="E554" s="50"/>
      <c r="F554" s="50"/>
      <c r="G554" s="49"/>
      <c r="H554" s="50"/>
      <c r="I554" s="50"/>
      <c r="J554" s="50"/>
      <c r="K554" s="50"/>
      <c r="L554" s="50"/>
      <c r="M554" s="46"/>
      <c r="N554" s="47"/>
      <c r="O554" s="62" t="str">
        <f aca="false">IF($B554="","",TEXT($A554,"YYYY-MM-DD")&amp;"|"&amp;$B554)</f>
        <v/>
      </c>
      <c r="P554" s="3"/>
      <c r="Q554" s="3"/>
      <c r="R554" s="3"/>
      <c r="S554" s="3"/>
      <c r="T554" s="3"/>
      <c r="U554" s="3"/>
      <c r="V554" s="3"/>
      <c r="W554" s="3"/>
      <c r="X554" s="3"/>
      <c r="Y554" s="3"/>
      <c r="Z554" s="3"/>
      <c r="AA554" s="3"/>
      <c r="AB554" s="3"/>
    </row>
    <row r="555" customFormat="false" ht="15" hidden="false" customHeight="false" outlineLevel="0" collapsed="false">
      <c r="A555" s="54"/>
      <c r="B555" s="52"/>
      <c r="C555" s="56"/>
      <c r="D555" s="56"/>
      <c r="E555" s="56"/>
      <c r="F555" s="56"/>
      <c r="G555" s="55"/>
      <c r="H555" s="56"/>
      <c r="I555" s="56"/>
      <c r="J555" s="56"/>
      <c r="K555" s="56"/>
      <c r="L555" s="56"/>
      <c r="M555" s="52"/>
      <c r="N555" s="53"/>
      <c r="O555" s="62" t="str">
        <f aca="false">IF($B555="","",TEXT($A555,"YYYY-MM-DD")&amp;"|"&amp;$B555)</f>
        <v/>
      </c>
      <c r="P555" s="3"/>
      <c r="Q555" s="3"/>
      <c r="R555" s="3"/>
      <c r="S555" s="3"/>
      <c r="T555" s="3"/>
      <c r="U555" s="3"/>
      <c r="V555" s="3"/>
      <c r="W555" s="3"/>
      <c r="X555" s="3"/>
      <c r="Y555" s="3"/>
      <c r="Z555" s="3"/>
      <c r="AA555" s="3"/>
      <c r="AB555" s="3"/>
    </row>
    <row r="556" customFormat="false" ht="15" hidden="false" customHeight="false" outlineLevel="0" collapsed="false">
      <c r="A556" s="48"/>
      <c r="B556" s="46"/>
      <c r="C556" s="50"/>
      <c r="D556" s="50"/>
      <c r="E556" s="50"/>
      <c r="F556" s="50"/>
      <c r="G556" s="49"/>
      <c r="H556" s="50"/>
      <c r="I556" s="50"/>
      <c r="J556" s="50"/>
      <c r="K556" s="50"/>
      <c r="L556" s="50"/>
      <c r="M556" s="46"/>
      <c r="N556" s="47"/>
      <c r="O556" s="62" t="str">
        <f aca="false">IF($B556="","",TEXT($A556,"YYYY-MM-DD")&amp;"|"&amp;$B556)</f>
        <v/>
      </c>
      <c r="P556" s="3"/>
      <c r="Q556" s="3"/>
      <c r="R556" s="3"/>
      <c r="S556" s="3"/>
      <c r="T556" s="3"/>
      <c r="U556" s="3"/>
      <c r="V556" s="3"/>
      <c r="W556" s="3"/>
      <c r="X556" s="3"/>
      <c r="Y556" s="3"/>
      <c r="Z556" s="3"/>
      <c r="AA556" s="3"/>
      <c r="AB556" s="3"/>
    </row>
    <row r="557" customFormat="false" ht="15" hidden="false" customHeight="false" outlineLevel="0" collapsed="false">
      <c r="A557" s="54"/>
      <c r="B557" s="52"/>
      <c r="C557" s="56"/>
      <c r="D557" s="56"/>
      <c r="E557" s="56"/>
      <c r="F557" s="56"/>
      <c r="G557" s="55"/>
      <c r="H557" s="56"/>
      <c r="I557" s="56"/>
      <c r="J557" s="56"/>
      <c r="K557" s="56"/>
      <c r="L557" s="56"/>
      <c r="M557" s="52"/>
      <c r="N557" s="53"/>
      <c r="O557" s="62" t="str">
        <f aca="false">IF($B557="","",TEXT($A557,"YYYY-MM-DD")&amp;"|"&amp;$B557)</f>
        <v/>
      </c>
      <c r="P557" s="3"/>
      <c r="Q557" s="3"/>
      <c r="R557" s="3"/>
      <c r="S557" s="3"/>
      <c r="T557" s="3"/>
      <c r="U557" s="3"/>
      <c r="V557" s="3"/>
      <c r="W557" s="3"/>
      <c r="X557" s="3"/>
      <c r="Y557" s="3"/>
      <c r="Z557" s="3"/>
      <c r="AA557" s="3"/>
      <c r="AB557" s="3"/>
    </row>
    <row r="558" customFormat="false" ht="15" hidden="false" customHeight="false" outlineLevel="0" collapsed="false">
      <c r="A558" s="48"/>
      <c r="B558" s="46"/>
      <c r="C558" s="50"/>
      <c r="D558" s="50"/>
      <c r="E558" s="50"/>
      <c r="F558" s="50"/>
      <c r="G558" s="49"/>
      <c r="H558" s="50"/>
      <c r="I558" s="50"/>
      <c r="J558" s="50"/>
      <c r="K558" s="50"/>
      <c r="L558" s="50"/>
      <c r="M558" s="46"/>
      <c r="N558" s="47"/>
      <c r="O558" s="62" t="str">
        <f aca="false">IF($B558="","",TEXT($A558,"YYYY-MM-DD")&amp;"|"&amp;$B558)</f>
        <v/>
      </c>
      <c r="P558" s="3"/>
      <c r="Q558" s="3"/>
      <c r="R558" s="3"/>
      <c r="S558" s="3"/>
      <c r="T558" s="3"/>
      <c r="U558" s="3"/>
      <c r="V558" s="3"/>
      <c r="W558" s="3"/>
      <c r="X558" s="3"/>
      <c r="Y558" s="3"/>
      <c r="Z558" s="3"/>
      <c r="AA558" s="3"/>
      <c r="AB558" s="3"/>
    </row>
    <row r="559" customFormat="false" ht="15" hidden="false" customHeight="false" outlineLevel="0" collapsed="false">
      <c r="A559" s="54"/>
      <c r="B559" s="52"/>
      <c r="C559" s="56"/>
      <c r="D559" s="56"/>
      <c r="E559" s="56"/>
      <c r="F559" s="56"/>
      <c r="G559" s="55"/>
      <c r="H559" s="56"/>
      <c r="I559" s="56"/>
      <c r="J559" s="56"/>
      <c r="K559" s="56"/>
      <c r="L559" s="56"/>
      <c r="M559" s="52"/>
      <c r="N559" s="53"/>
      <c r="O559" s="62" t="str">
        <f aca="false">IF($B559="","",TEXT($A559,"YYYY-MM-DD")&amp;"|"&amp;$B559)</f>
        <v/>
      </c>
      <c r="P559" s="3"/>
      <c r="Q559" s="3"/>
      <c r="R559" s="3"/>
      <c r="S559" s="3"/>
      <c r="T559" s="3"/>
      <c r="U559" s="3"/>
      <c r="V559" s="3"/>
      <c r="W559" s="3"/>
      <c r="X559" s="3"/>
      <c r="Y559" s="3"/>
      <c r="Z559" s="3"/>
      <c r="AA559" s="3"/>
      <c r="AB559" s="3"/>
    </row>
    <row r="560" customFormat="false" ht="15" hidden="false" customHeight="false" outlineLevel="0" collapsed="false">
      <c r="A560" s="48"/>
      <c r="B560" s="46"/>
      <c r="C560" s="50"/>
      <c r="D560" s="50"/>
      <c r="E560" s="50"/>
      <c r="F560" s="50"/>
      <c r="G560" s="49"/>
      <c r="H560" s="50"/>
      <c r="I560" s="50"/>
      <c r="J560" s="50"/>
      <c r="K560" s="50"/>
      <c r="L560" s="50"/>
      <c r="M560" s="46"/>
      <c r="N560" s="47"/>
      <c r="O560" s="62" t="str">
        <f aca="false">IF($B560="","",TEXT($A560,"YYYY-MM-DD")&amp;"|"&amp;$B560)</f>
        <v/>
      </c>
      <c r="P560" s="3"/>
      <c r="Q560" s="3"/>
      <c r="R560" s="3"/>
      <c r="S560" s="3"/>
      <c r="T560" s="3"/>
      <c r="U560" s="3"/>
      <c r="V560" s="3"/>
      <c r="W560" s="3"/>
      <c r="X560" s="3"/>
      <c r="Y560" s="3"/>
      <c r="Z560" s="3"/>
      <c r="AA560" s="3"/>
      <c r="AB560" s="3"/>
    </row>
    <row r="561" customFormat="false" ht="15" hidden="false" customHeight="false" outlineLevel="0" collapsed="false">
      <c r="A561" s="54"/>
      <c r="B561" s="52"/>
      <c r="C561" s="56"/>
      <c r="D561" s="56"/>
      <c r="E561" s="56"/>
      <c r="F561" s="56"/>
      <c r="G561" s="55"/>
      <c r="H561" s="56"/>
      <c r="I561" s="56"/>
      <c r="J561" s="56"/>
      <c r="K561" s="56"/>
      <c r="L561" s="56"/>
      <c r="M561" s="52"/>
      <c r="N561" s="53"/>
      <c r="O561" s="62" t="str">
        <f aca="false">IF($B561="","",TEXT($A561,"YYYY-MM-DD")&amp;"|"&amp;$B561)</f>
        <v/>
      </c>
      <c r="P561" s="3"/>
      <c r="Q561" s="3"/>
      <c r="R561" s="3"/>
      <c r="S561" s="3"/>
      <c r="T561" s="3"/>
      <c r="U561" s="3"/>
      <c r="V561" s="3"/>
      <c r="W561" s="3"/>
      <c r="X561" s="3"/>
      <c r="Y561" s="3"/>
      <c r="Z561" s="3"/>
      <c r="AA561" s="3"/>
      <c r="AB561" s="3"/>
    </row>
    <row r="562" customFormat="false" ht="15" hidden="false" customHeight="false" outlineLevel="0" collapsed="false">
      <c r="A562" s="48"/>
      <c r="B562" s="46"/>
      <c r="C562" s="50"/>
      <c r="D562" s="50"/>
      <c r="E562" s="50"/>
      <c r="F562" s="50"/>
      <c r="G562" s="49"/>
      <c r="H562" s="50"/>
      <c r="I562" s="50"/>
      <c r="J562" s="50"/>
      <c r="K562" s="50"/>
      <c r="L562" s="50"/>
      <c r="M562" s="46"/>
      <c r="N562" s="47"/>
      <c r="O562" s="62" t="str">
        <f aca="false">IF($B562="","",TEXT($A562,"YYYY-MM-DD")&amp;"|"&amp;$B562)</f>
        <v/>
      </c>
      <c r="P562" s="3"/>
      <c r="Q562" s="3"/>
      <c r="R562" s="3"/>
      <c r="S562" s="3"/>
      <c r="T562" s="3"/>
      <c r="U562" s="3"/>
      <c r="V562" s="3"/>
      <c r="W562" s="3"/>
      <c r="X562" s="3"/>
      <c r="Y562" s="3"/>
      <c r="Z562" s="3"/>
      <c r="AA562" s="3"/>
      <c r="AB562" s="3"/>
    </row>
    <row r="563" customFormat="false" ht="15" hidden="false" customHeight="false" outlineLevel="0" collapsed="false">
      <c r="A563" s="54"/>
      <c r="B563" s="52"/>
      <c r="C563" s="56"/>
      <c r="D563" s="56"/>
      <c r="E563" s="56"/>
      <c r="F563" s="56"/>
      <c r="G563" s="55"/>
      <c r="H563" s="56"/>
      <c r="I563" s="56"/>
      <c r="J563" s="56"/>
      <c r="K563" s="56"/>
      <c r="L563" s="56"/>
      <c r="M563" s="52"/>
      <c r="N563" s="53"/>
      <c r="O563" s="62" t="str">
        <f aca="false">IF($B563="","",TEXT($A563,"YYYY-MM-DD")&amp;"|"&amp;$B563)</f>
        <v/>
      </c>
      <c r="P563" s="3"/>
      <c r="Q563" s="3"/>
      <c r="R563" s="3"/>
      <c r="S563" s="3"/>
      <c r="T563" s="3"/>
      <c r="U563" s="3"/>
      <c r="V563" s="3"/>
      <c r="W563" s="3"/>
      <c r="X563" s="3"/>
      <c r="Y563" s="3"/>
      <c r="Z563" s="3"/>
      <c r="AA563" s="3"/>
      <c r="AB563" s="3"/>
    </row>
    <row r="564" customFormat="false" ht="15" hidden="false" customHeight="false" outlineLevel="0" collapsed="false">
      <c r="A564" s="48"/>
      <c r="B564" s="46"/>
      <c r="C564" s="50"/>
      <c r="D564" s="50"/>
      <c r="E564" s="50"/>
      <c r="F564" s="50"/>
      <c r="G564" s="49"/>
      <c r="H564" s="50"/>
      <c r="I564" s="50"/>
      <c r="J564" s="50"/>
      <c r="K564" s="50"/>
      <c r="L564" s="50"/>
      <c r="M564" s="46"/>
      <c r="N564" s="47"/>
      <c r="O564" s="62" t="str">
        <f aca="false">IF($B564="","",TEXT($A564,"YYYY-MM-DD")&amp;"|"&amp;$B564)</f>
        <v/>
      </c>
      <c r="P564" s="3"/>
      <c r="Q564" s="3"/>
      <c r="R564" s="3"/>
      <c r="S564" s="3"/>
      <c r="T564" s="3"/>
      <c r="U564" s="3"/>
      <c r="V564" s="3"/>
      <c r="W564" s="3"/>
      <c r="X564" s="3"/>
      <c r="Y564" s="3"/>
      <c r="Z564" s="3"/>
      <c r="AA564" s="3"/>
      <c r="AB564" s="3"/>
    </row>
    <row r="565" customFormat="false" ht="15" hidden="false" customHeight="false" outlineLevel="0" collapsed="false">
      <c r="A565" s="54"/>
      <c r="B565" s="52"/>
      <c r="C565" s="56"/>
      <c r="D565" s="56"/>
      <c r="E565" s="56"/>
      <c r="F565" s="56"/>
      <c r="G565" s="55"/>
      <c r="H565" s="56"/>
      <c r="I565" s="56"/>
      <c r="J565" s="56"/>
      <c r="K565" s="56"/>
      <c r="L565" s="56"/>
      <c r="M565" s="52"/>
      <c r="N565" s="53"/>
      <c r="O565" s="62" t="str">
        <f aca="false">IF($B565="","",TEXT($A565,"YYYY-MM-DD")&amp;"|"&amp;$B565)</f>
        <v/>
      </c>
      <c r="P565" s="3"/>
      <c r="Q565" s="3"/>
      <c r="R565" s="3"/>
      <c r="S565" s="3"/>
      <c r="T565" s="3"/>
      <c r="U565" s="3"/>
      <c r="V565" s="3"/>
      <c r="W565" s="3"/>
      <c r="X565" s="3"/>
      <c r="Y565" s="3"/>
      <c r="Z565" s="3"/>
      <c r="AA565" s="3"/>
      <c r="AB565" s="3"/>
    </row>
    <row r="566" customFormat="false" ht="15" hidden="false" customHeight="false" outlineLevel="0" collapsed="false">
      <c r="A566" s="48"/>
      <c r="B566" s="46"/>
      <c r="C566" s="50"/>
      <c r="D566" s="50"/>
      <c r="E566" s="50"/>
      <c r="F566" s="50"/>
      <c r="G566" s="49"/>
      <c r="H566" s="50"/>
      <c r="I566" s="50"/>
      <c r="J566" s="50"/>
      <c r="K566" s="50"/>
      <c r="L566" s="50"/>
      <c r="M566" s="46"/>
      <c r="N566" s="47"/>
      <c r="O566" s="62" t="str">
        <f aca="false">IF($B566="","",TEXT($A566,"YYYY-MM-DD")&amp;"|"&amp;$B566)</f>
        <v/>
      </c>
      <c r="P566" s="3"/>
      <c r="Q566" s="3"/>
      <c r="R566" s="3"/>
      <c r="S566" s="3"/>
      <c r="T566" s="3"/>
      <c r="U566" s="3"/>
      <c r="V566" s="3"/>
      <c r="W566" s="3"/>
      <c r="X566" s="3"/>
      <c r="Y566" s="3"/>
      <c r="Z566" s="3"/>
      <c r="AA566" s="3"/>
      <c r="AB566" s="3"/>
    </row>
    <row r="567" customFormat="false" ht="15" hidden="false" customHeight="false" outlineLevel="0" collapsed="false">
      <c r="A567" s="54"/>
      <c r="B567" s="52"/>
      <c r="C567" s="56"/>
      <c r="D567" s="56"/>
      <c r="E567" s="56"/>
      <c r="F567" s="56"/>
      <c r="G567" s="55"/>
      <c r="H567" s="56"/>
      <c r="I567" s="56"/>
      <c r="J567" s="56"/>
      <c r="K567" s="56"/>
      <c r="L567" s="56"/>
      <c r="M567" s="52"/>
      <c r="N567" s="53"/>
      <c r="O567" s="62" t="str">
        <f aca="false">IF($B567="","",TEXT($A567,"YYYY-MM-DD")&amp;"|"&amp;$B567)</f>
        <v/>
      </c>
      <c r="P567" s="3"/>
      <c r="Q567" s="3"/>
      <c r="R567" s="3"/>
      <c r="S567" s="3"/>
      <c r="T567" s="3"/>
      <c r="U567" s="3"/>
      <c r="V567" s="3"/>
      <c r="W567" s="3"/>
      <c r="X567" s="3"/>
      <c r="Y567" s="3"/>
      <c r="Z567" s="3"/>
      <c r="AA567" s="3"/>
      <c r="AB567" s="3"/>
    </row>
    <row r="568" customFormat="false" ht="15" hidden="false" customHeight="false" outlineLevel="0" collapsed="false">
      <c r="A568" s="48"/>
      <c r="B568" s="46"/>
      <c r="C568" s="50"/>
      <c r="D568" s="50"/>
      <c r="E568" s="50"/>
      <c r="F568" s="50"/>
      <c r="G568" s="49"/>
      <c r="H568" s="50"/>
      <c r="I568" s="50"/>
      <c r="J568" s="50"/>
      <c r="K568" s="50"/>
      <c r="L568" s="50"/>
      <c r="M568" s="46"/>
      <c r="N568" s="47"/>
      <c r="O568" s="62" t="str">
        <f aca="false">IF($B568="","",TEXT($A568,"YYYY-MM-DD")&amp;"|"&amp;$B568)</f>
        <v/>
      </c>
      <c r="P568" s="3"/>
      <c r="Q568" s="3"/>
      <c r="R568" s="3"/>
      <c r="S568" s="3"/>
      <c r="T568" s="3"/>
      <c r="U568" s="3"/>
      <c r="V568" s="3"/>
      <c r="W568" s="3"/>
      <c r="X568" s="3"/>
      <c r="Y568" s="3"/>
      <c r="Z568" s="3"/>
      <c r="AA568" s="3"/>
      <c r="AB568" s="3"/>
    </row>
    <row r="569" customFormat="false" ht="15" hidden="false" customHeight="false" outlineLevel="0" collapsed="false">
      <c r="A569" s="54"/>
      <c r="B569" s="52"/>
      <c r="C569" s="56"/>
      <c r="D569" s="56"/>
      <c r="E569" s="56"/>
      <c r="F569" s="56"/>
      <c r="G569" s="55"/>
      <c r="H569" s="56"/>
      <c r="I569" s="56"/>
      <c r="J569" s="56"/>
      <c r="K569" s="56"/>
      <c r="L569" s="56"/>
      <c r="M569" s="52"/>
      <c r="N569" s="53"/>
      <c r="O569" s="62" t="str">
        <f aca="false">IF($B569="","",TEXT($A569,"YYYY-MM-DD")&amp;"|"&amp;$B569)</f>
        <v/>
      </c>
      <c r="P569" s="3"/>
      <c r="Q569" s="3"/>
      <c r="R569" s="3"/>
      <c r="S569" s="3"/>
      <c r="T569" s="3"/>
      <c r="U569" s="3"/>
      <c r="V569" s="3"/>
      <c r="W569" s="3"/>
      <c r="X569" s="3"/>
      <c r="Y569" s="3"/>
      <c r="Z569" s="3"/>
      <c r="AA569" s="3"/>
      <c r="AB569" s="3"/>
    </row>
    <row r="570" customFormat="false" ht="15" hidden="false" customHeight="false" outlineLevel="0" collapsed="false">
      <c r="A570" s="48"/>
      <c r="B570" s="46"/>
      <c r="C570" s="50"/>
      <c r="D570" s="50"/>
      <c r="E570" s="50"/>
      <c r="F570" s="50"/>
      <c r="G570" s="49"/>
      <c r="H570" s="50"/>
      <c r="I570" s="50"/>
      <c r="J570" s="50"/>
      <c r="K570" s="50"/>
      <c r="L570" s="50"/>
      <c r="M570" s="46"/>
      <c r="N570" s="47"/>
      <c r="O570" s="62" t="str">
        <f aca="false">IF($B570="","",TEXT($A570,"YYYY-MM-DD")&amp;"|"&amp;$B570)</f>
        <v/>
      </c>
      <c r="P570" s="3"/>
      <c r="Q570" s="3"/>
      <c r="R570" s="3"/>
      <c r="S570" s="3"/>
      <c r="T570" s="3"/>
      <c r="U570" s="3"/>
      <c r="V570" s="3"/>
      <c r="W570" s="3"/>
      <c r="X570" s="3"/>
      <c r="Y570" s="3"/>
      <c r="Z570" s="3"/>
      <c r="AA570" s="3"/>
      <c r="AB570" s="3"/>
    </row>
    <row r="571" customFormat="false" ht="15" hidden="false" customHeight="false" outlineLevel="0" collapsed="false">
      <c r="A571" s="54"/>
      <c r="B571" s="52"/>
      <c r="C571" s="56"/>
      <c r="D571" s="56"/>
      <c r="E571" s="56"/>
      <c r="F571" s="56"/>
      <c r="G571" s="55"/>
      <c r="H571" s="56"/>
      <c r="I571" s="56"/>
      <c r="J571" s="56"/>
      <c r="K571" s="56"/>
      <c r="L571" s="56"/>
      <c r="M571" s="52"/>
      <c r="N571" s="53"/>
      <c r="O571" s="62" t="str">
        <f aca="false">IF($B571="","",TEXT($A571,"YYYY-MM-DD")&amp;"|"&amp;$B571)</f>
        <v/>
      </c>
      <c r="P571" s="3"/>
      <c r="Q571" s="3"/>
      <c r="R571" s="3"/>
      <c r="S571" s="3"/>
      <c r="T571" s="3"/>
      <c r="U571" s="3"/>
      <c r="V571" s="3"/>
      <c r="W571" s="3"/>
      <c r="X571" s="3"/>
      <c r="Y571" s="3"/>
      <c r="Z571" s="3"/>
      <c r="AA571" s="3"/>
      <c r="AB571" s="3"/>
    </row>
    <row r="572" customFormat="false" ht="15" hidden="false" customHeight="false" outlineLevel="0" collapsed="false">
      <c r="A572" s="48"/>
      <c r="B572" s="46"/>
      <c r="C572" s="50"/>
      <c r="D572" s="50"/>
      <c r="E572" s="50"/>
      <c r="F572" s="50"/>
      <c r="G572" s="49"/>
      <c r="H572" s="50"/>
      <c r="I572" s="50"/>
      <c r="J572" s="50"/>
      <c r="K572" s="50"/>
      <c r="L572" s="50"/>
      <c r="M572" s="46"/>
      <c r="N572" s="47"/>
      <c r="O572" s="62" t="str">
        <f aca="false">IF($B572="","",TEXT($A572,"YYYY-MM-DD")&amp;"|"&amp;$B572)</f>
        <v/>
      </c>
      <c r="P572" s="3"/>
      <c r="Q572" s="3"/>
      <c r="R572" s="3"/>
      <c r="S572" s="3"/>
      <c r="T572" s="3"/>
      <c r="U572" s="3"/>
      <c r="V572" s="3"/>
      <c r="W572" s="3"/>
      <c r="X572" s="3"/>
      <c r="Y572" s="3"/>
      <c r="Z572" s="3"/>
      <c r="AA572" s="3"/>
      <c r="AB572" s="3"/>
    </row>
    <row r="573" customFormat="false" ht="15" hidden="false" customHeight="false" outlineLevel="0" collapsed="false">
      <c r="A573" s="54"/>
      <c r="B573" s="52"/>
      <c r="C573" s="56"/>
      <c r="D573" s="56"/>
      <c r="E573" s="56"/>
      <c r="F573" s="56"/>
      <c r="G573" s="55"/>
      <c r="H573" s="56"/>
      <c r="I573" s="56"/>
      <c r="J573" s="56"/>
      <c r="K573" s="56"/>
      <c r="L573" s="56"/>
      <c r="M573" s="52"/>
      <c r="N573" s="53"/>
      <c r="O573" s="62" t="str">
        <f aca="false">IF($B573="","",TEXT($A573,"YYYY-MM-DD")&amp;"|"&amp;$B573)</f>
        <v/>
      </c>
      <c r="P573" s="3"/>
      <c r="Q573" s="3"/>
      <c r="R573" s="3"/>
      <c r="S573" s="3"/>
      <c r="T573" s="3"/>
      <c r="U573" s="3"/>
      <c r="V573" s="3"/>
      <c r="W573" s="3"/>
      <c r="X573" s="3"/>
      <c r="Y573" s="3"/>
      <c r="Z573" s="3"/>
      <c r="AA573" s="3"/>
      <c r="AB573" s="3"/>
    </row>
    <row r="574" customFormat="false" ht="15" hidden="false" customHeight="false" outlineLevel="0" collapsed="false">
      <c r="A574" s="48"/>
      <c r="B574" s="46"/>
      <c r="C574" s="50"/>
      <c r="D574" s="50"/>
      <c r="E574" s="50"/>
      <c r="F574" s="50"/>
      <c r="G574" s="49"/>
      <c r="H574" s="50"/>
      <c r="I574" s="50"/>
      <c r="J574" s="50"/>
      <c r="K574" s="50"/>
      <c r="L574" s="50"/>
      <c r="M574" s="46"/>
      <c r="N574" s="47"/>
      <c r="O574" s="62" t="str">
        <f aca="false">IF($B574="","",TEXT($A574,"YYYY-MM-DD")&amp;"|"&amp;$B574)</f>
        <v/>
      </c>
      <c r="P574" s="3"/>
      <c r="Q574" s="3"/>
      <c r="R574" s="3"/>
      <c r="S574" s="3"/>
      <c r="T574" s="3"/>
      <c r="U574" s="3"/>
      <c r="V574" s="3"/>
      <c r="W574" s="3"/>
      <c r="X574" s="3"/>
      <c r="Y574" s="3"/>
      <c r="Z574" s="3"/>
      <c r="AA574" s="3"/>
      <c r="AB574" s="3"/>
    </row>
    <row r="575" customFormat="false" ht="15" hidden="false" customHeight="false" outlineLevel="0" collapsed="false">
      <c r="A575" s="54"/>
      <c r="B575" s="52"/>
      <c r="C575" s="56"/>
      <c r="D575" s="56"/>
      <c r="E575" s="56"/>
      <c r="F575" s="56"/>
      <c r="G575" s="55"/>
      <c r="H575" s="56"/>
      <c r="I575" s="56"/>
      <c r="J575" s="56"/>
      <c r="K575" s="56"/>
      <c r="L575" s="56"/>
      <c r="M575" s="52"/>
      <c r="N575" s="53"/>
      <c r="O575" s="62" t="str">
        <f aca="false">IF($B575="","",TEXT($A575,"YYYY-MM-DD")&amp;"|"&amp;$B575)</f>
        <v/>
      </c>
      <c r="P575" s="3"/>
      <c r="Q575" s="3"/>
      <c r="R575" s="3"/>
      <c r="S575" s="3"/>
      <c r="T575" s="3"/>
      <c r="U575" s="3"/>
      <c r="V575" s="3"/>
      <c r="W575" s="3"/>
      <c r="X575" s="3"/>
      <c r="Y575" s="3"/>
      <c r="Z575" s="3"/>
      <c r="AA575" s="3"/>
      <c r="AB575" s="3"/>
    </row>
    <row r="576" customFormat="false" ht="15" hidden="false" customHeight="false" outlineLevel="0" collapsed="false">
      <c r="A576" s="48"/>
      <c r="B576" s="46"/>
      <c r="C576" s="50"/>
      <c r="D576" s="50"/>
      <c r="E576" s="50"/>
      <c r="F576" s="50"/>
      <c r="G576" s="49"/>
      <c r="H576" s="50"/>
      <c r="I576" s="50"/>
      <c r="J576" s="50"/>
      <c r="K576" s="50"/>
      <c r="L576" s="50"/>
      <c r="M576" s="46"/>
      <c r="N576" s="47"/>
      <c r="O576" s="62" t="str">
        <f aca="false">IF($B576="","",TEXT($A576,"YYYY-MM-DD")&amp;"|"&amp;$B576)</f>
        <v/>
      </c>
      <c r="P576" s="3"/>
      <c r="Q576" s="3"/>
      <c r="R576" s="3"/>
      <c r="S576" s="3"/>
      <c r="T576" s="3"/>
      <c r="U576" s="3"/>
      <c r="V576" s="3"/>
      <c r="W576" s="3"/>
      <c r="X576" s="3"/>
      <c r="Y576" s="3"/>
      <c r="Z576" s="3"/>
      <c r="AA576" s="3"/>
      <c r="AB576" s="3"/>
    </row>
    <row r="577" customFormat="false" ht="15" hidden="false" customHeight="false" outlineLevel="0" collapsed="false">
      <c r="A577" s="54"/>
      <c r="B577" s="52"/>
      <c r="C577" s="56"/>
      <c r="D577" s="56"/>
      <c r="E577" s="56"/>
      <c r="F577" s="56"/>
      <c r="G577" s="55"/>
      <c r="H577" s="56"/>
      <c r="I577" s="56"/>
      <c r="J577" s="56"/>
      <c r="K577" s="56"/>
      <c r="L577" s="56"/>
      <c r="M577" s="52"/>
      <c r="N577" s="53"/>
      <c r="O577" s="62" t="str">
        <f aca="false">IF($B577="","",TEXT($A577,"YYYY-MM-DD")&amp;"|"&amp;$B577)</f>
        <v/>
      </c>
      <c r="P577" s="3"/>
      <c r="Q577" s="3"/>
      <c r="R577" s="3"/>
      <c r="S577" s="3"/>
      <c r="T577" s="3"/>
      <c r="U577" s="3"/>
      <c r="V577" s="3"/>
      <c r="W577" s="3"/>
      <c r="X577" s="3"/>
      <c r="Y577" s="3"/>
      <c r="Z577" s="3"/>
      <c r="AA577" s="3"/>
      <c r="AB577" s="3"/>
    </row>
    <row r="578" customFormat="false" ht="15" hidden="false" customHeight="false" outlineLevel="0" collapsed="false">
      <c r="A578" s="48"/>
      <c r="B578" s="46"/>
      <c r="C578" s="50"/>
      <c r="D578" s="50"/>
      <c r="E578" s="50"/>
      <c r="F578" s="50"/>
      <c r="G578" s="49"/>
      <c r="H578" s="50"/>
      <c r="I578" s="50"/>
      <c r="J578" s="50"/>
      <c r="K578" s="50"/>
      <c r="L578" s="50"/>
      <c r="M578" s="46"/>
      <c r="N578" s="47"/>
      <c r="O578" s="62" t="str">
        <f aca="false">IF($B578="","",TEXT($A578,"YYYY-MM-DD")&amp;"|"&amp;$B578)</f>
        <v/>
      </c>
      <c r="P578" s="3"/>
      <c r="Q578" s="3"/>
      <c r="R578" s="3"/>
      <c r="S578" s="3"/>
      <c r="T578" s="3"/>
      <c r="U578" s="3"/>
      <c r="V578" s="3"/>
      <c r="W578" s="3"/>
      <c r="X578" s="3"/>
      <c r="Y578" s="3"/>
      <c r="Z578" s="3"/>
      <c r="AA578" s="3"/>
      <c r="AB578" s="3"/>
    </row>
    <row r="579" customFormat="false" ht="15" hidden="false" customHeight="false" outlineLevel="0" collapsed="false">
      <c r="A579" s="54"/>
      <c r="B579" s="52"/>
      <c r="C579" s="56"/>
      <c r="D579" s="56"/>
      <c r="E579" s="56"/>
      <c r="F579" s="56"/>
      <c r="G579" s="55"/>
      <c r="H579" s="56"/>
      <c r="I579" s="56"/>
      <c r="J579" s="56"/>
      <c r="K579" s="56"/>
      <c r="L579" s="56"/>
      <c r="M579" s="52"/>
      <c r="N579" s="53"/>
      <c r="O579" s="62" t="str">
        <f aca="false">IF($B579="","",TEXT($A579,"YYYY-MM-DD")&amp;"|"&amp;$B579)</f>
        <v/>
      </c>
      <c r="P579" s="3"/>
      <c r="Q579" s="3"/>
      <c r="R579" s="3"/>
      <c r="S579" s="3"/>
      <c r="T579" s="3"/>
      <c r="U579" s="3"/>
      <c r="V579" s="3"/>
      <c r="W579" s="3"/>
      <c r="X579" s="3"/>
      <c r="Y579" s="3"/>
      <c r="Z579" s="3"/>
      <c r="AA579" s="3"/>
      <c r="AB579" s="3"/>
    </row>
    <row r="580" customFormat="false" ht="15" hidden="false" customHeight="false" outlineLevel="0" collapsed="false">
      <c r="A580" s="48"/>
      <c r="B580" s="46"/>
      <c r="C580" s="50"/>
      <c r="D580" s="50"/>
      <c r="E580" s="50"/>
      <c r="F580" s="50"/>
      <c r="G580" s="49"/>
      <c r="H580" s="50"/>
      <c r="I580" s="50"/>
      <c r="J580" s="50"/>
      <c r="K580" s="50"/>
      <c r="L580" s="50"/>
      <c r="M580" s="46"/>
      <c r="N580" s="47"/>
      <c r="O580" s="62" t="str">
        <f aca="false">IF($B580="","",TEXT($A580,"YYYY-MM-DD")&amp;"|"&amp;$B580)</f>
        <v/>
      </c>
      <c r="P580" s="3"/>
      <c r="Q580" s="3"/>
      <c r="R580" s="3"/>
      <c r="S580" s="3"/>
      <c r="T580" s="3"/>
      <c r="U580" s="3"/>
      <c r="V580" s="3"/>
      <c r="W580" s="3"/>
      <c r="X580" s="3"/>
      <c r="Y580" s="3"/>
      <c r="Z580" s="3"/>
      <c r="AA580" s="3"/>
      <c r="AB580" s="3"/>
    </row>
    <row r="581" customFormat="false" ht="15" hidden="false" customHeight="false" outlineLevel="0" collapsed="false">
      <c r="A581" s="54"/>
      <c r="B581" s="52"/>
      <c r="C581" s="56"/>
      <c r="D581" s="56"/>
      <c r="E581" s="56"/>
      <c r="F581" s="56"/>
      <c r="G581" s="55"/>
      <c r="H581" s="56"/>
      <c r="I581" s="56"/>
      <c r="J581" s="56"/>
      <c r="K581" s="56"/>
      <c r="L581" s="56"/>
      <c r="M581" s="52"/>
      <c r="N581" s="53"/>
      <c r="O581" s="62" t="str">
        <f aca="false">IF($B581="","",TEXT($A581,"YYYY-MM-DD")&amp;"|"&amp;$B581)</f>
        <v/>
      </c>
      <c r="P581" s="3"/>
      <c r="Q581" s="3"/>
      <c r="R581" s="3"/>
      <c r="S581" s="3"/>
      <c r="T581" s="3"/>
      <c r="U581" s="3"/>
      <c r="V581" s="3"/>
      <c r="W581" s="3"/>
      <c r="X581" s="3"/>
      <c r="Y581" s="3"/>
      <c r="Z581" s="3"/>
      <c r="AA581" s="3"/>
      <c r="AB581" s="3"/>
    </row>
    <row r="582" customFormat="false" ht="15" hidden="false" customHeight="false" outlineLevel="0" collapsed="false">
      <c r="A582" s="48"/>
      <c r="B582" s="46"/>
      <c r="C582" s="50"/>
      <c r="D582" s="50"/>
      <c r="E582" s="50"/>
      <c r="F582" s="50"/>
      <c r="G582" s="49"/>
      <c r="H582" s="50"/>
      <c r="I582" s="50"/>
      <c r="J582" s="50"/>
      <c r="K582" s="50"/>
      <c r="L582" s="50"/>
      <c r="M582" s="46"/>
      <c r="N582" s="47"/>
      <c r="O582" s="62" t="str">
        <f aca="false">IF($B582="","",TEXT($A582,"YYYY-MM-DD")&amp;"|"&amp;$B582)</f>
        <v/>
      </c>
      <c r="P582" s="3"/>
      <c r="Q582" s="3"/>
      <c r="R582" s="3"/>
      <c r="S582" s="3"/>
      <c r="T582" s="3"/>
      <c r="U582" s="3"/>
      <c r="V582" s="3"/>
      <c r="W582" s="3"/>
      <c r="X582" s="3"/>
      <c r="Y582" s="3"/>
      <c r="Z582" s="3"/>
      <c r="AA582" s="3"/>
      <c r="AB582" s="3"/>
    </row>
    <row r="583" customFormat="false" ht="15" hidden="false" customHeight="false" outlineLevel="0" collapsed="false">
      <c r="A583" s="54"/>
      <c r="B583" s="52"/>
      <c r="C583" s="56"/>
      <c r="D583" s="56"/>
      <c r="E583" s="56"/>
      <c r="F583" s="56"/>
      <c r="G583" s="55"/>
      <c r="H583" s="56"/>
      <c r="I583" s="56"/>
      <c r="J583" s="56"/>
      <c r="K583" s="56"/>
      <c r="L583" s="56"/>
      <c r="M583" s="52"/>
      <c r="N583" s="53"/>
      <c r="O583" s="62" t="str">
        <f aca="false">IF($B583="","",TEXT($A583,"YYYY-MM-DD")&amp;"|"&amp;$B583)</f>
        <v/>
      </c>
      <c r="P583" s="3"/>
      <c r="Q583" s="3"/>
      <c r="R583" s="3"/>
      <c r="S583" s="3"/>
      <c r="T583" s="3"/>
      <c r="U583" s="3"/>
      <c r="V583" s="3"/>
      <c r="W583" s="3"/>
      <c r="X583" s="3"/>
      <c r="Y583" s="3"/>
      <c r="Z583" s="3"/>
      <c r="AA583" s="3"/>
      <c r="AB583" s="3"/>
    </row>
    <row r="584" customFormat="false" ht="15" hidden="false" customHeight="false" outlineLevel="0" collapsed="false">
      <c r="A584" s="48"/>
      <c r="B584" s="46"/>
      <c r="C584" s="50"/>
      <c r="D584" s="50"/>
      <c r="E584" s="50"/>
      <c r="F584" s="50"/>
      <c r="G584" s="49"/>
      <c r="H584" s="50"/>
      <c r="I584" s="50"/>
      <c r="J584" s="50"/>
      <c r="K584" s="50"/>
      <c r="L584" s="50"/>
      <c r="M584" s="46"/>
      <c r="N584" s="47"/>
      <c r="O584" s="62" t="str">
        <f aca="false">IF($B584="","",TEXT($A584,"YYYY-MM-DD")&amp;"|"&amp;$B584)</f>
        <v/>
      </c>
      <c r="P584" s="3"/>
      <c r="Q584" s="3"/>
      <c r="R584" s="3"/>
      <c r="S584" s="3"/>
      <c r="T584" s="3"/>
      <c r="U584" s="3"/>
      <c r="V584" s="3"/>
      <c r="W584" s="3"/>
      <c r="X584" s="3"/>
      <c r="Y584" s="3"/>
      <c r="Z584" s="3"/>
      <c r="AA584" s="3"/>
      <c r="AB584" s="3"/>
    </row>
    <row r="585" customFormat="false" ht="15" hidden="false" customHeight="false" outlineLevel="0" collapsed="false">
      <c r="A585" s="54"/>
      <c r="B585" s="52"/>
      <c r="C585" s="56"/>
      <c r="D585" s="56"/>
      <c r="E585" s="56"/>
      <c r="F585" s="56"/>
      <c r="G585" s="55"/>
      <c r="H585" s="56"/>
      <c r="I585" s="56"/>
      <c r="J585" s="56"/>
      <c r="K585" s="56"/>
      <c r="L585" s="56"/>
      <c r="M585" s="52"/>
      <c r="N585" s="53"/>
      <c r="O585" s="62" t="str">
        <f aca="false">IF($B585="","",TEXT($A585,"YYYY-MM-DD")&amp;"|"&amp;$B585)</f>
        <v/>
      </c>
      <c r="P585" s="3"/>
      <c r="Q585" s="3"/>
      <c r="R585" s="3"/>
      <c r="S585" s="3"/>
      <c r="T585" s="3"/>
      <c r="U585" s="3"/>
      <c r="V585" s="3"/>
      <c r="W585" s="3"/>
      <c r="X585" s="3"/>
      <c r="Y585" s="3"/>
      <c r="Z585" s="3"/>
      <c r="AA585" s="3"/>
      <c r="AB585" s="3"/>
    </row>
    <row r="586" customFormat="false" ht="15" hidden="false" customHeight="false" outlineLevel="0" collapsed="false">
      <c r="A586" s="48"/>
      <c r="B586" s="46"/>
      <c r="C586" s="50"/>
      <c r="D586" s="50"/>
      <c r="E586" s="50"/>
      <c r="F586" s="50"/>
      <c r="G586" s="49"/>
      <c r="H586" s="50"/>
      <c r="I586" s="50"/>
      <c r="J586" s="50"/>
      <c r="K586" s="50"/>
      <c r="L586" s="50"/>
      <c r="M586" s="46"/>
      <c r="N586" s="47"/>
      <c r="O586" s="62" t="str">
        <f aca="false">IF($B586="","",TEXT($A586,"YYYY-MM-DD")&amp;"|"&amp;$B586)</f>
        <v/>
      </c>
      <c r="P586" s="3"/>
      <c r="Q586" s="3"/>
      <c r="R586" s="3"/>
      <c r="S586" s="3"/>
      <c r="T586" s="3"/>
      <c r="U586" s="3"/>
      <c r="V586" s="3"/>
      <c r="W586" s="3"/>
      <c r="X586" s="3"/>
      <c r="Y586" s="3"/>
      <c r="Z586" s="3"/>
      <c r="AA586" s="3"/>
      <c r="AB586" s="3"/>
    </row>
    <row r="587" customFormat="false" ht="15" hidden="false" customHeight="false" outlineLevel="0" collapsed="false">
      <c r="A587" s="54"/>
      <c r="B587" s="52"/>
      <c r="C587" s="56"/>
      <c r="D587" s="56"/>
      <c r="E587" s="56"/>
      <c r="F587" s="56"/>
      <c r="G587" s="55"/>
      <c r="H587" s="56"/>
      <c r="I587" s="56"/>
      <c r="J587" s="56"/>
      <c r="K587" s="56"/>
      <c r="L587" s="56"/>
      <c r="M587" s="52"/>
      <c r="N587" s="53"/>
      <c r="O587" s="62" t="str">
        <f aca="false">IF($B587="","",TEXT($A587,"YYYY-MM-DD")&amp;"|"&amp;$B587)</f>
        <v/>
      </c>
      <c r="P587" s="3"/>
      <c r="Q587" s="3"/>
      <c r="R587" s="3"/>
      <c r="S587" s="3"/>
      <c r="T587" s="3"/>
      <c r="U587" s="3"/>
      <c r="V587" s="3"/>
      <c r="W587" s="3"/>
      <c r="X587" s="3"/>
      <c r="Y587" s="3"/>
      <c r="Z587" s="3"/>
      <c r="AA587" s="3"/>
      <c r="AB587" s="3"/>
    </row>
    <row r="588" customFormat="false" ht="15" hidden="false" customHeight="false" outlineLevel="0" collapsed="false">
      <c r="A588" s="48"/>
      <c r="B588" s="46"/>
      <c r="C588" s="50"/>
      <c r="D588" s="50"/>
      <c r="E588" s="50"/>
      <c r="F588" s="50"/>
      <c r="G588" s="49"/>
      <c r="H588" s="50"/>
      <c r="I588" s="50"/>
      <c r="J588" s="50"/>
      <c r="K588" s="50"/>
      <c r="L588" s="50"/>
      <c r="M588" s="46"/>
      <c r="N588" s="47"/>
      <c r="O588" s="62" t="str">
        <f aca="false">IF($B588="","",TEXT($A588,"YYYY-MM-DD")&amp;"|"&amp;$B588)</f>
        <v/>
      </c>
      <c r="P588" s="3"/>
      <c r="Q588" s="3"/>
      <c r="R588" s="3"/>
      <c r="S588" s="3"/>
      <c r="T588" s="3"/>
      <c r="U588" s="3"/>
      <c r="V588" s="3"/>
      <c r="W588" s="3"/>
      <c r="X588" s="3"/>
      <c r="Y588" s="3"/>
      <c r="Z588" s="3"/>
      <c r="AA588" s="3"/>
      <c r="AB588" s="3"/>
    </row>
    <row r="589" customFormat="false" ht="15" hidden="false" customHeight="false" outlineLevel="0" collapsed="false">
      <c r="A589" s="54"/>
      <c r="B589" s="52"/>
      <c r="C589" s="56"/>
      <c r="D589" s="56"/>
      <c r="E589" s="56"/>
      <c r="F589" s="56"/>
      <c r="G589" s="55"/>
      <c r="H589" s="56"/>
      <c r="I589" s="56"/>
      <c r="J589" s="56"/>
      <c r="K589" s="56"/>
      <c r="L589" s="56"/>
      <c r="M589" s="52"/>
      <c r="N589" s="53"/>
      <c r="O589" s="62" t="str">
        <f aca="false">IF($B589="","",TEXT($A589,"YYYY-MM-DD")&amp;"|"&amp;$B589)</f>
        <v/>
      </c>
      <c r="P589" s="3"/>
      <c r="Q589" s="3"/>
      <c r="R589" s="3"/>
      <c r="S589" s="3"/>
      <c r="T589" s="3"/>
      <c r="U589" s="3"/>
      <c r="V589" s="3"/>
      <c r="W589" s="3"/>
      <c r="X589" s="3"/>
      <c r="Y589" s="3"/>
      <c r="Z589" s="3"/>
      <c r="AA589" s="3"/>
      <c r="AB589" s="3"/>
    </row>
    <row r="590" customFormat="false" ht="15" hidden="false" customHeight="false" outlineLevel="0" collapsed="false">
      <c r="A590" s="48"/>
      <c r="B590" s="46"/>
      <c r="C590" s="50"/>
      <c r="D590" s="50"/>
      <c r="E590" s="50"/>
      <c r="F590" s="50"/>
      <c r="G590" s="49"/>
      <c r="H590" s="50"/>
      <c r="I590" s="50"/>
      <c r="J590" s="50"/>
      <c r="K590" s="50"/>
      <c r="L590" s="50"/>
      <c r="M590" s="46"/>
      <c r="N590" s="47"/>
      <c r="O590" s="62" t="str">
        <f aca="false">IF($B590="","",TEXT($A590,"YYYY-MM-DD")&amp;"|"&amp;$B590)</f>
        <v/>
      </c>
      <c r="P590" s="3"/>
      <c r="Q590" s="3"/>
      <c r="R590" s="3"/>
      <c r="S590" s="3"/>
      <c r="T590" s="3"/>
      <c r="U590" s="3"/>
      <c r="V590" s="3"/>
      <c r="W590" s="3"/>
      <c r="X590" s="3"/>
      <c r="Y590" s="3"/>
      <c r="Z590" s="3"/>
      <c r="AA590" s="3"/>
      <c r="AB590" s="3"/>
    </row>
    <row r="591" customFormat="false" ht="15" hidden="false" customHeight="false" outlineLevel="0" collapsed="false">
      <c r="A591" s="54"/>
      <c r="B591" s="52"/>
      <c r="C591" s="56"/>
      <c r="D591" s="56"/>
      <c r="E591" s="56"/>
      <c r="F591" s="56"/>
      <c r="G591" s="55"/>
      <c r="H591" s="56"/>
      <c r="I591" s="56"/>
      <c r="J591" s="56"/>
      <c r="K591" s="56"/>
      <c r="L591" s="56"/>
      <c r="M591" s="52"/>
      <c r="N591" s="53"/>
      <c r="O591" s="62" t="str">
        <f aca="false">IF($B591="","",TEXT($A591,"YYYY-MM-DD")&amp;"|"&amp;$B591)</f>
        <v/>
      </c>
      <c r="P591" s="3"/>
      <c r="Q591" s="3"/>
      <c r="R591" s="3"/>
      <c r="S591" s="3"/>
      <c r="T591" s="3"/>
      <c r="U591" s="3"/>
      <c r="V591" s="3"/>
      <c r="W591" s="3"/>
      <c r="X591" s="3"/>
      <c r="Y591" s="3"/>
      <c r="Z591" s="3"/>
      <c r="AA591" s="3"/>
      <c r="AB591" s="3"/>
    </row>
    <row r="592" customFormat="false" ht="15" hidden="false" customHeight="false" outlineLevel="0" collapsed="false">
      <c r="A592" s="48"/>
      <c r="B592" s="46"/>
      <c r="C592" s="50"/>
      <c r="D592" s="50"/>
      <c r="E592" s="50"/>
      <c r="F592" s="50"/>
      <c r="G592" s="49"/>
      <c r="H592" s="50"/>
      <c r="I592" s="50"/>
      <c r="J592" s="50"/>
      <c r="K592" s="50"/>
      <c r="L592" s="50"/>
      <c r="M592" s="46"/>
      <c r="N592" s="47"/>
      <c r="O592" s="62" t="str">
        <f aca="false">IF($B592="","",TEXT($A592,"YYYY-MM-DD")&amp;"|"&amp;$B592)</f>
        <v/>
      </c>
      <c r="P592" s="3"/>
      <c r="Q592" s="3"/>
      <c r="R592" s="3"/>
      <c r="S592" s="3"/>
      <c r="T592" s="3"/>
      <c r="U592" s="3"/>
      <c r="V592" s="3"/>
      <c r="W592" s="3"/>
      <c r="X592" s="3"/>
      <c r="Y592" s="3"/>
      <c r="Z592" s="3"/>
      <c r="AA592" s="3"/>
      <c r="AB592" s="3"/>
    </row>
    <row r="593" customFormat="false" ht="15" hidden="false" customHeight="false" outlineLevel="0" collapsed="false">
      <c r="A593" s="54"/>
      <c r="B593" s="52"/>
      <c r="C593" s="56"/>
      <c r="D593" s="56"/>
      <c r="E593" s="56"/>
      <c r="F593" s="56"/>
      <c r="G593" s="55"/>
      <c r="H593" s="56"/>
      <c r="I593" s="56"/>
      <c r="J593" s="56"/>
      <c r="K593" s="56"/>
      <c r="L593" s="56"/>
      <c r="M593" s="52"/>
      <c r="N593" s="53"/>
      <c r="O593" s="62" t="str">
        <f aca="false">IF($B593="","",TEXT($A593,"YYYY-MM-DD")&amp;"|"&amp;$B593)</f>
        <v/>
      </c>
      <c r="P593" s="3"/>
      <c r="Q593" s="3"/>
      <c r="R593" s="3"/>
      <c r="S593" s="3"/>
      <c r="T593" s="3"/>
      <c r="U593" s="3"/>
      <c r="V593" s="3"/>
      <c r="W593" s="3"/>
      <c r="X593" s="3"/>
      <c r="Y593" s="3"/>
      <c r="Z593" s="3"/>
      <c r="AA593" s="3"/>
      <c r="AB593" s="3"/>
    </row>
    <row r="594" customFormat="false" ht="15" hidden="false" customHeight="false" outlineLevel="0" collapsed="false">
      <c r="A594" s="48"/>
      <c r="B594" s="46"/>
      <c r="C594" s="50"/>
      <c r="D594" s="50"/>
      <c r="E594" s="50"/>
      <c r="F594" s="50"/>
      <c r="G594" s="49"/>
      <c r="H594" s="50"/>
      <c r="I594" s="50"/>
      <c r="J594" s="50"/>
      <c r="K594" s="50"/>
      <c r="L594" s="50"/>
      <c r="M594" s="46"/>
      <c r="N594" s="47"/>
      <c r="O594" s="62" t="str">
        <f aca="false">IF($B594="","",TEXT($A594,"YYYY-MM-DD")&amp;"|"&amp;$B594)</f>
        <v/>
      </c>
      <c r="P594" s="3"/>
      <c r="Q594" s="3"/>
      <c r="R594" s="3"/>
      <c r="S594" s="3"/>
      <c r="T594" s="3"/>
      <c r="U594" s="3"/>
      <c r="V594" s="3"/>
      <c r="W594" s="3"/>
      <c r="X594" s="3"/>
      <c r="Y594" s="3"/>
      <c r="Z594" s="3"/>
      <c r="AA594" s="3"/>
      <c r="AB594" s="3"/>
    </row>
    <row r="595" customFormat="false" ht="15" hidden="false" customHeight="false" outlineLevel="0" collapsed="false">
      <c r="A595" s="54"/>
      <c r="B595" s="52"/>
      <c r="C595" s="56"/>
      <c r="D595" s="56"/>
      <c r="E595" s="56"/>
      <c r="F595" s="56"/>
      <c r="G595" s="55"/>
      <c r="H595" s="56"/>
      <c r="I595" s="56"/>
      <c r="J595" s="56"/>
      <c r="K595" s="56"/>
      <c r="L595" s="56"/>
      <c r="M595" s="52"/>
      <c r="N595" s="53"/>
      <c r="O595" s="62" t="str">
        <f aca="false">IF($B595="","",TEXT($A595,"YYYY-MM-DD")&amp;"|"&amp;$B595)</f>
        <v/>
      </c>
      <c r="P595" s="3"/>
      <c r="Q595" s="3"/>
      <c r="R595" s="3"/>
      <c r="S595" s="3"/>
      <c r="T595" s="3"/>
      <c r="U595" s="3"/>
      <c r="V595" s="3"/>
      <c r="W595" s="3"/>
      <c r="X595" s="3"/>
      <c r="Y595" s="3"/>
      <c r="Z595" s="3"/>
      <c r="AA595" s="3"/>
      <c r="AB595" s="3"/>
    </row>
    <row r="596" customFormat="false" ht="15" hidden="false" customHeight="false" outlineLevel="0" collapsed="false">
      <c r="A596" s="48"/>
      <c r="B596" s="46"/>
      <c r="C596" s="50"/>
      <c r="D596" s="50"/>
      <c r="E596" s="50"/>
      <c r="F596" s="50"/>
      <c r="G596" s="49"/>
      <c r="H596" s="50"/>
      <c r="I596" s="50"/>
      <c r="J596" s="50"/>
      <c r="K596" s="50"/>
      <c r="L596" s="50"/>
      <c r="M596" s="46"/>
      <c r="N596" s="47"/>
      <c r="O596" s="62" t="str">
        <f aca="false">IF($B596="","",TEXT($A596,"YYYY-MM-DD")&amp;"|"&amp;$B596)</f>
        <v/>
      </c>
      <c r="P596" s="3"/>
      <c r="Q596" s="3"/>
      <c r="R596" s="3"/>
      <c r="S596" s="3"/>
      <c r="T596" s="3"/>
      <c r="U596" s="3"/>
      <c r="V596" s="3"/>
      <c r="W596" s="3"/>
      <c r="X596" s="3"/>
      <c r="Y596" s="3"/>
      <c r="Z596" s="3"/>
      <c r="AA596" s="3"/>
      <c r="AB596" s="3"/>
    </row>
    <row r="597" customFormat="false" ht="15" hidden="false" customHeight="false" outlineLevel="0" collapsed="false">
      <c r="A597" s="54"/>
      <c r="B597" s="52"/>
      <c r="C597" s="56"/>
      <c r="D597" s="56"/>
      <c r="E597" s="56"/>
      <c r="F597" s="56"/>
      <c r="G597" s="55"/>
      <c r="H597" s="56"/>
      <c r="I597" s="56"/>
      <c r="J597" s="56"/>
      <c r="K597" s="56"/>
      <c r="L597" s="56"/>
      <c r="M597" s="52"/>
      <c r="N597" s="53"/>
      <c r="O597" s="62" t="str">
        <f aca="false">IF($B597="","",TEXT($A597,"YYYY-MM-DD")&amp;"|"&amp;$B597)</f>
        <v/>
      </c>
      <c r="P597" s="3"/>
      <c r="Q597" s="3"/>
      <c r="R597" s="3"/>
      <c r="S597" s="3"/>
      <c r="T597" s="3"/>
      <c r="U597" s="3"/>
      <c r="V597" s="3"/>
      <c r="W597" s="3"/>
      <c r="X597" s="3"/>
      <c r="Y597" s="3"/>
      <c r="Z597" s="3"/>
      <c r="AA597" s="3"/>
      <c r="AB597" s="3"/>
    </row>
    <row r="598" customFormat="false" ht="15" hidden="false" customHeight="false" outlineLevel="0" collapsed="false">
      <c r="A598" s="48"/>
      <c r="B598" s="46"/>
      <c r="C598" s="50"/>
      <c r="D598" s="50"/>
      <c r="E598" s="50"/>
      <c r="F598" s="50"/>
      <c r="G598" s="49"/>
      <c r="H598" s="50"/>
      <c r="I598" s="50"/>
      <c r="J598" s="50"/>
      <c r="K598" s="50"/>
      <c r="L598" s="50"/>
      <c r="M598" s="46"/>
      <c r="N598" s="47"/>
      <c r="O598" s="62" t="str">
        <f aca="false">IF($B598="","",TEXT($A598,"YYYY-MM-DD")&amp;"|"&amp;$B598)</f>
        <v/>
      </c>
      <c r="P598" s="3"/>
      <c r="Q598" s="3"/>
      <c r="R598" s="3"/>
      <c r="S598" s="3"/>
      <c r="T598" s="3"/>
      <c r="U598" s="3"/>
      <c r="V598" s="3"/>
      <c r="W598" s="3"/>
      <c r="X598" s="3"/>
      <c r="Y598" s="3"/>
      <c r="Z598" s="3"/>
      <c r="AA598" s="3"/>
      <c r="AB598" s="3"/>
    </row>
    <row r="599" customFormat="false" ht="15" hidden="false" customHeight="false" outlineLevel="0" collapsed="false">
      <c r="A599" s="54"/>
      <c r="B599" s="52"/>
      <c r="C599" s="56"/>
      <c r="D599" s="56"/>
      <c r="E599" s="56"/>
      <c r="F599" s="56"/>
      <c r="G599" s="55"/>
      <c r="H599" s="56"/>
      <c r="I599" s="56"/>
      <c r="J599" s="56"/>
      <c r="K599" s="56"/>
      <c r="L599" s="56"/>
      <c r="M599" s="52"/>
      <c r="N599" s="53"/>
      <c r="O599" s="62" t="str">
        <f aca="false">IF($B599="","",TEXT($A599,"YYYY-MM-DD")&amp;"|"&amp;$B599)</f>
        <v/>
      </c>
      <c r="P599" s="3"/>
      <c r="Q599" s="3"/>
      <c r="R599" s="3"/>
      <c r="S599" s="3"/>
      <c r="T599" s="3"/>
      <c r="U599" s="3"/>
      <c r="V599" s="3"/>
      <c r="W599" s="3"/>
      <c r="X599" s="3"/>
      <c r="Y599" s="3"/>
      <c r="Z599" s="3"/>
      <c r="AA599" s="3"/>
      <c r="AB599" s="3"/>
    </row>
    <row r="600" customFormat="false" ht="15" hidden="false" customHeight="false" outlineLevel="0" collapsed="false">
      <c r="A600" s="48"/>
      <c r="B600" s="46"/>
      <c r="C600" s="50"/>
      <c r="D600" s="50"/>
      <c r="E600" s="50"/>
      <c r="F600" s="50"/>
      <c r="G600" s="49"/>
      <c r="H600" s="50"/>
      <c r="I600" s="50"/>
      <c r="J600" s="50"/>
      <c r="K600" s="50"/>
      <c r="L600" s="50"/>
      <c r="M600" s="46"/>
      <c r="N600" s="47"/>
      <c r="O600" s="62" t="str">
        <f aca="false">IF($B600="","",TEXT($A600,"YYYY-MM-DD")&amp;"|"&amp;$B600)</f>
        <v/>
      </c>
      <c r="P600" s="3"/>
      <c r="Q600" s="3"/>
      <c r="R600" s="3"/>
      <c r="S600" s="3"/>
      <c r="T600" s="3"/>
      <c r="U600" s="3"/>
      <c r="V600" s="3"/>
      <c r="W600" s="3"/>
      <c r="X600" s="3"/>
      <c r="Y600" s="3"/>
      <c r="Z600" s="3"/>
      <c r="AA600" s="3"/>
      <c r="AB600" s="3"/>
    </row>
    <row r="601" customFormat="false" ht="15" hidden="false" customHeight="false" outlineLevel="0" collapsed="false">
      <c r="A601" s="54"/>
      <c r="B601" s="52"/>
      <c r="C601" s="56"/>
      <c r="D601" s="56"/>
      <c r="E601" s="56"/>
      <c r="F601" s="56"/>
      <c r="G601" s="55"/>
      <c r="H601" s="56"/>
      <c r="I601" s="56"/>
      <c r="J601" s="56"/>
      <c r="K601" s="56"/>
      <c r="L601" s="56"/>
      <c r="M601" s="52"/>
      <c r="N601" s="53"/>
      <c r="O601" s="62" t="str">
        <f aca="false">IF($B601="","",TEXT($A601,"YYYY-MM-DD")&amp;"|"&amp;$B601)</f>
        <v/>
      </c>
      <c r="P601" s="3"/>
      <c r="Q601" s="3"/>
      <c r="R601" s="3"/>
      <c r="S601" s="3"/>
      <c r="T601" s="3"/>
      <c r="U601" s="3"/>
      <c r="V601" s="3"/>
      <c r="W601" s="3"/>
      <c r="X601" s="3"/>
      <c r="Y601" s="3"/>
      <c r="Z601" s="3"/>
      <c r="AA601" s="3"/>
      <c r="AB601" s="3"/>
    </row>
    <row r="602" customFormat="false" ht="15" hidden="false" customHeight="false" outlineLevel="0" collapsed="false">
      <c r="A602" s="48"/>
      <c r="B602" s="46"/>
      <c r="C602" s="50"/>
      <c r="D602" s="50"/>
      <c r="E602" s="50"/>
      <c r="F602" s="50"/>
      <c r="G602" s="49"/>
      <c r="H602" s="50"/>
      <c r="I602" s="50"/>
      <c r="J602" s="50"/>
      <c r="K602" s="50"/>
      <c r="L602" s="50"/>
      <c r="M602" s="46"/>
      <c r="N602" s="47"/>
      <c r="O602" s="62" t="str">
        <f aca="false">IF($B602="","",TEXT($A602,"YYYY-MM-DD")&amp;"|"&amp;$B602)</f>
        <v/>
      </c>
      <c r="P602" s="3"/>
      <c r="Q602" s="3"/>
      <c r="R602" s="3"/>
      <c r="S602" s="3"/>
      <c r="T602" s="3"/>
      <c r="U602" s="3"/>
      <c r="V602" s="3"/>
      <c r="W602" s="3"/>
      <c r="X602" s="3"/>
      <c r="Y602" s="3"/>
      <c r="Z602" s="3"/>
      <c r="AA602" s="3"/>
      <c r="AB602" s="3"/>
    </row>
    <row r="603" customFormat="false" ht="15" hidden="false" customHeight="false" outlineLevel="0" collapsed="false">
      <c r="A603" s="54"/>
      <c r="B603" s="52"/>
      <c r="C603" s="56"/>
      <c r="D603" s="56"/>
      <c r="E603" s="56"/>
      <c r="F603" s="56"/>
      <c r="G603" s="55"/>
      <c r="H603" s="56"/>
      <c r="I603" s="56"/>
      <c r="J603" s="56"/>
      <c r="K603" s="56"/>
      <c r="L603" s="56"/>
      <c r="M603" s="52"/>
      <c r="N603" s="53"/>
      <c r="O603" s="62" t="str">
        <f aca="false">IF($B603="","",TEXT($A603,"YYYY-MM-DD")&amp;"|"&amp;$B603)</f>
        <v/>
      </c>
      <c r="P603" s="3"/>
      <c r="Q603" s="3"/>
      <c r="R603" s="3"/>
      <c r="S603" s="3"/>
      <c r="T603" s="3"/>
      <c r="U603" s="3"/>
      <c r="V603" s="3"/>
      <c r="W603" s="3"/>
      <c r="X603" s="3"/>
      <c r="Y603" s="3"/>
      <c r="Z603" s="3"/>
      <c r="AA603" s="3"/>
      <c r="AB603" s="3"/>
    </row>
    <row r="604" customFormat="false" ht="15" hidden="false" customHeight="false" outlineLevel="0" collapsed="false">
      <c r="A604" s="48"/>
      <c r="B604" s="46"/>
      <c r="C604" s="50"/>
      <c r="D604" s="50"/>
      <c r="E604" s="50"/>
      <c r="F604" s="50"/>
      <c r="G604" s="49"/>
      <c r="H604" s="50"/>
      <c r="I604" s="50"/>
      <c r="J604" s="50"/>
      <c r="K604" s="50"/>
      <c r="L604" s="50"/>
      <c r="M604" s="46"/>
      <c r="N604" s="47"/>
      <c r="O604" s="62" t="str">
        <f aca="false">IF($B604="","",TEXT($A604,"YYYY-MM-DD")&amp;"|"&amp;$B604)</f>
        <v/>
      </c>
      <c r="P604" s="3"/>
      <c r="Q604" s="3"/>
      <c r="R604" s="3"/>
      <c r="S604" s="3"/>
      <c r="T604" s="3"/>
      <c r="U604" s="3"/>
      <c r="V604" s="3"/>
      <c r="W604" s="3"/>
      <c r="X604" s="3"/>
      <c r="Y604" s="3"/>
      <c r="Z604" s="3"/>
      <c r="AA604" s="3"/>
      <c r="AB604" s="3"/>
    </row>
    <row r="605" customFormat="false" ht="15" hidden="false" customHeight="false" outlineLevel="0" collapsed="false">
      <c r="A605" s="54"/>
      <c r="B605" s="52"/>
      <c r="C605" s="56"/>
      <c r="D605" s="56"/>
      <c r="E605" s="56"/>
      <c r="F605" s="56"/>
      <c r="G605" s="55"/>
      <c r="H605" s="56"/>
      <c r="I605" s="56"/>
      <c r="J605" s="56"/>
      <c r="K605" s="56"/>
      <c r="L605" s="56"/>
      <c r="M605" s="52"/>
      <c r="N605" s="53"/>
      <c r="O605" s="62" t="str">
        <f aca="false">IF($B605="","",TEXT($A605,"YYYY-MM-DD")&amp;"|"&amp;$B605)</f>
        <v/>
      </c>
      <c r="P605" s="3"/>
      <c r="Q605" s="3"/>
      <c r="R605" s="3"/>
      <c r="S605" s="3"/>
      <c r="T605" s="3"/>
      <c r="U605" s="3"/>
      <c r="V605" s="3"/>
      <c r="W605" s="3"/>
      <c r="X605" s="3"/>
      <c r="Y605" s="3"/>
      <c r="Z605" s="3"/>
      <c r="AA605" s="3"/>
      <c r="AB605" s="3"/>
    </row>
    <row r="606" customFormat="false" ht="15" hidden="false" customHeight="false" outlineLevel="0" collapsed="false">
      <c r="A606" s="48"/>
      <c r="B606" s="46"/>
      <c r="C606" s="50"/>
      <c r="D606" s="50"/>
      <c r="E606" s="50"/>
      <c r="F606" s="50"/>
      <c r="G606" s="49"/>
      <c r="H606" s="50"/>
      <c r="I606" s="50"/>
      <c r="J606" s="50"/>
      <c r="K606" s="50"/>
      <c r="L606" s="50"/>
      <c r="M606" s="46"/>
      <c r="N606" s="47"/>
      <c r="O606" s="62" t="str">
        <f aca="false">IF($B606="","",TEXT($A606,"YYYY-MM-DD")&amp;"|"&amp;$B606)</f>
        <v/>
      </c>
      <c r="P606" s="3"/>
      <c r="Q606" s="3"/>
      <c r="R606" s="3"/>
      <c r="S606" s="3"/>
      <c r="T606" s="3"/>
      <c r="U606" s="3"/>
      <c r="V606" s="3"/>
      <c r="W606" s="3"/>
      <c r="X606" s="3"/>
      <c r="Y606" s="3"/>
      <c r="Z606" s="3"/>
      <c r="AA606" s="3"/>
      <c r="AB606" s="3"/>
    </row>
    <row r="607" customFormat="false" ht="15" hidden="false" customHeight="false" outlineLevel="0" collapsed="false">
      <c r="A607" s="54"/>
      <c r="B607" s="52"/>
      <c r="C607" s="56"/>
      <c r="D607" s="56"/>
      <c r="E607" s="56"/>
      <c r="F607" s="56"/>
      <c r="G607" s="55"/>
      <c r="H607" s="56"/>
      <c r="I607" s="56"/>
      <c r="J607" s="56"/>
      <c r="K607" s="56"/>
      <c r="L607" s="56"/>
      <c r="M607" s="52"/>
      <c r="N607" s="53"/>
      <c r="O607" s="62" t="str">
        <f aca="false">IF($B607="","",TEXT($A607,"YYYY-MM-DD")&amp;"|"&amp;$B607)</f>
        <v/>
      </c>
      <c r="P607" s="3"/>
      <c r="Q607" s="3"/>
      <c r="R607" s="3"/>
      <c r="S607" s="3"/>
      <c r="T607" s="3"/>
      <c r="U607" s="3"/>
      <c r="V607" s="3"/>
      <c r="W607" s="3"/>
      <c r="X607" s="3"/>
      <c r="Y607" s="3"/>
      <c r="Z607" s="3"/>
      <c r="AA607" s="3"/>
      <c r="AB607" s="3"/>
    </row>
    <row r="608" customFormat="false" ht="15" hidden="false" customHeight="false" outlineLevel="0" collapsed="false">
      <c r="A608" s="48"/>
      <c r="B608" s="46"/>
      <c r="C608" s="50"/>
      <c r="D608" s="50"/>
      <c r="E608" s="50"/>
      <c r="F608" s="50"/>
      <c r="G608" s="49"/>
      <c r="H608" s="50"/>
      <c r="I608" s="50"/>
      <c r="J608" s="50"/>
      <c r="K608" s="50"/>
      <c r="L608" s="50"/>
      <c r="M608" s="46"/>
      <c r="N608" s="47"/>
      <c r="O608" s="62" t="str">
        <f aca="false">IF($B608="","",TEXT($A608,"YYYY-MM-DD")&amp;"|"&amp;$B608)</f>
        <v/>
      </c>
      <c r="P608" s="3"/>
      <c r="Q608" s="3"/>
      <c r="R608" s="3"/>
      <c r="S608" s="3"/>
      <c r="T608" s="3"/>
      <c r="U608" s="3"/>
      <c r="V608" s="3"/>
      <c r="W608" s="3"/>
      <c r="X608" s="3"/>
      <c r="Y608" s="3"/>
      <c r="Z608" s="3"/>
      <c r="AA608" s="3"/>
      <c r="AB608" s="3"/>
    </row>
    <row r="609" customFormat="false" ht="15" hidden="false" customHeight="false" outlineLevel="0" collapsed="false">
      <c r="A609" s="54"/>
      <c r="B609" s="52"/>
      <c r="C609" s="56"/>
      <c r="D609" s="56"/>
      <c r="E609" s="56"/>
      <c r="F609" s="56"/>
      <c r="G609" s="55"/>
      <c r="H609" s="56"/>
      <c r="I609" s="56"/>
      <c r="J609" s="56"/>
      <c r="K609" s="56"/>
      <c r="L609" s="56"/>
      <c r="M609" s="52"/>
      <c r="N609" s="53"/>
      <c r="O609" s="62" t="str">
        <f aca="false">IF($B609="","",TEXT($A609,"YYYY-MM-DD")&amp;"|"&amp;$B609)</f>
        <v/>
      </c>
      <c r="P609" s="3"/>
      <c r="Q609" s="3"/>
      <c r="R609" s="3"/>
      <c r="S609" s="3"/>
      <c r="T609" s="3"/>
      <c r="U609" s="3"/>
      <c r="V609" s="3"/>
      <c r="W609" s="3"/>
      <c r="X609" s="3"/>
      <c r="Y609" s="3"/>
      <c r="Z609" s="3"/>
      <c r="AA609" s="3"/>
      <c r="AB609" s="3"/>
    </row>
    <row r="610" customFormat="false" ht="15" hidden="false" customHeight="false" outlineLevel="0" collapsed="false">
      <c r="A610" s="48"/>
      <c r="B610" s="46"/>
      <c r="C610" s="50"/>
      <c r="D610" s="50"/>
      <c r="E610" s="50"/>
      <c r="F610" s="50"/>
      <c r="G610" s="49"/>
      <c r="H610" s="50"/>
      <c r="I610" s="50"/>
      <c r="J610" s="50"/>
      <c r="K610" s="50"/>
      <c r="L610" s="50"/>
      <c r="M610" s="46"/>
      <c r="N610" s="47"/>
      <c r="O610" s="62" t="str">
        <f aca="false">IF($B610="","",TEXT($A610,"YYYY-MM-DD")&amp;"|"&amp;$B610)</f>
        <v/>
      </c>
      <c r="P610" s="3"/>
      <c r="Q610" s="3"/>
      <c r="R610" s="3"/>
      <c r="S610" s="3"/>
      <c r="T610" s="3"/>
      <c r="U610" s="3"/>
      <c r="V610" s="3"/>
      <c r="W610" s="3"/>
      <c r="X610" s="3"/>
      <c r="Y610" s="3"/>
      <c r="Z610" s="3"/>
      <c r="AA610" s="3"/>
      <c r="AB610" s="3"/>
    </row>
    <row r="611" customFormat="false" ht="15" hidden="false" customHeight="false" outlineLevel="0" collapsed="false">
      <c r="A611" s="54"/>
      <c r="B611" s="52"/>
      <c r="C611" s="56"/>
      <c r="D611" s="56"/>
      <c r="E611" s="56"/>
      <c r="F611" s="56"/>
      <c r="G611" s="55"/>
      <c r="H611" s="56"/>
      <c r="I611" s="56"/>
      <c r="J611" s="56"/>
      <c r="K611" s="56"/>
      <c r="L611" s="56"/>
      <c r="M611" s="52"/>
      <c r="N611" s="53"/>
      <c r="O611" s="62" t="str">
        <f aca="false">IF($B611="","",TEXT($A611,"YYYY-MM-DD")&amp;"|"&amp;$B611)</f>
        <v/>
      </c>
      <c r="P611" s="3"/>
      <c r="Q611" s="3"/>
      <c r="R611" s="3"/>
      <c r="S611" s="3"/>
      <c r="T611" s="3"/>
      <c r="U611" s="3"/>
      <c r="V611" s="3"/>
      <c r="W611" s="3"/>
      <c r="X611" s="3"/>
      <c r="Y611" s="3"/>
      <c r="Z611" s="3"/>
      <c r="AA611" s="3"/>
      <c r="AB611" s="3"/>
    </row>
    <row r="612" customFormat="false" ht="15" hidden="false" customHeight="false" outlineLevel="0" collapsed="false">
      <c r="A612" s="48"/>
      <c r="B612" s="46"/>
      <c r="C612" s="50"/>
      <c r="D612" s="50"/>
      <c r="E612" s="50"/>
      <c r="F612" s="50"/>
      <c r="G612" s="49"/>
      <c r="H612" s="50"/>
      <c r="I612" s="50"/>
      <c r="J612" s="50"/>
      <c r="K612" s="50"/>
      <c r="L612" s="50"/>
      <c r="M612" s="46"/>
      <c r="N612" s="47"/>
      <c r="O612" s="62" t="str">
        <f aca="false">IF($B612="","",TEXT($A612,"YYYY-MM-DD")&amp;"|"&amp;$B612)</f>
        <v/>
      </c>
      <c r="P612" s="3"/>
      <c r="Q612" s="3"/>
      <c r="R612" s="3"/>
      <c r="S612" s="3"/>
      <c r="T612" s="3"/>
      <c r="U612" s="3"/>
      <c r="V612" s="3"/>
      <c r="W612" s="3"/>
      <c r="X612" s="3"/>
      <c r="Y612" s="3"/>
      <c r="Z612" s="3"/>
      <c r="AA612" s="3"/>
      <c r="AB612" s="3"/>
    </row>
    <row r="613" customFormat="false" ht="15" hidden="false" customHeight="false" outlineLevel="0" collapsed="false">
      <c r="A613" s="54"/>
      <c r="B613" s="52"/>
      <c r="C613" s="56"/>
      <c r="D613" s="56"/>
      <c r="E613" s="56"/>
      <c r="F613" s="56"/>
      <c r="G613" s="55"/>
      <c r="H613" s="56"/>
      <c r="I613" s="56"/>
      <c r="J613" s="56"/>
      <c r="K613" s="56"/>
      <c r="L613" s="56"/>
      <c r="M613" s="52"/>
      <c r="N613" s="53"/>
      <c r="O613" s="62" t="str">
        <f aca="false">IF($B613="","",TEXT($A613,"YYYY-MM-DD")&amp;"|"&amp;$B613)</f>
        <v/>
      </c>
      <c r="P613" s="3"/>
      <c r="Q613" s="3"/>
      <c r="R613" s="3"/>
      <c r="S613" s="3"/>
      <c r="T613" s="3"/>
      <c r="U613" s="3"/>
      <c r="V613" s="3"/>
      <c r="W613" s="3"/>
      <c r="X613" s="3"/>
      <c r="Y613" s="3"/>
      <c r="Z613" s="3"/>
      <c r="AA613" s="3"/>
      <c r="AB613" s="3"/>
    </row>
    <row r="614" customFormat="false" ht="15" hidden="false" customHeight="false" outlineLevel="0" collapsed="false">
      <c r="A614" s="48"/>
      <c r="B614" s="46"/>
      <c r="C614" s="50"/>
      <c r="D614" s="50"/>
      <c r="E614" s="50"/>
      <c r="F614" s="50"/>
      <c r="G614" s="49"/>
      <c r="H614" s="50"/>
      <c r="I614" s="50"/>
      <c r="J614" s="50"/>
      <c r="K614" s="50"/>
      <c r="L614" s="50"/>
      <c r="M614" s="46"/>
      <c r="N614" s="47"/>
      <c r="O614" s="62" t="str">
        <f aca="false">IF($B614="","",TEXT($A614,"YYYY-MM-DD")&amp;"|"&amp;$B614)</f>
        <v/>
      </c>
      <c r="P614" s="3"/>
      <c r="Q614" s="3"/>
      <c r="R614" s="3"/>
      <c r="S614" s="3"/>
      <c r="T614" s="3"/>
      <c r="U614" s="3"/>
      <c r="V614" s="3"/>
      <c r="W614" s="3"/>
      <c r="X614" s="3"/>
      <c r="Y614" s="3"/>
      <c r="Z614" s="3"/>
      <c r="AA614" s="3"/>
      <c r="AB614" s="3"/>
    </row>
    <row r="615" customFormat="false" ht="15" hidden="false" customHeight="false" outlineLevel="0" collapsed="false">
      <c r="A615" s="54"/>
      <c r="B615" s="52"/>
      <c r="C615" s="56"/>
      <c r="D615" s="56"/>
      <c r="E615" s="56"/>
      <c r="F615" s="56"/>
      <c r="G615" s="55"/>
      <c r="H615" s="56"/>
      <c r="I615" s="56"/>
      <c r="J615" s="56"/>
      <c r="K615" s="56"/>
      <c r="L615" s="56"/>
      <c r="M615" s="52"/>
      <c r="N615" s="53"/>
      <c r="O615" s="62" t="str">
        <f aca="false">IF($B615="","",TEXT($A615,"YYYY-MM-DD")&amp;"|"&amp;$B615)</f>
        <v/>
      </c>
      <c r="P615" s="3"/>
      <c r="Q615" s="3"/>
      <c r="R615" s="3"/>
      <c r="S615" s="3"/>
      <c r="T615" s="3"/>
      <c r="U615" s="3"/>
      <c r="V615" s="3"/>
      <c r="W615" s="3"/>
      <c r="X615" s="3"/>
      <c r="Y615" s="3"/>
      <c r="Z615" s="3"/>
      <c r="AA615" s="3"/>
      <c r="AB615" s="3"/>
    </row>
    <row r="616" customFormat="false" ht="15" hidden="false" customHeight="false" outlineLevel="0" collapsed="false">
      <c r="A616" s="48"/>
      <c r="B616" s="46"/>
      <c r="C616" s="50"/>
      <c r="D616" s="50"/>
      <c r="E616" s="50"/>
      <c r="F616" s="50"/>
      <c r="G616" s="49"/>
      <c r="H616" s="50"/>
      <c r="I616" s="50"/>
      <c r="J616" s="50"/>
      <c r="K616" s="50"/>
      <c r="L616" s="50"/>
      <c r="M616" s="46"/>
      <c r="N616" s="47"/>
      <c r="O616" s="62" t="str">
        <f aca="false">IF($B616="","",TEXT($A616,"YYYY-MM-DD")&amp;"|"&amp;$B616)</f>
        <v/>
      </c>
      <c r="P616" s="3"/>
      <c r="Q616" s="3"/>
      <c r="R616" s="3"/>
      <c r="S616" s="3"/>
      <c r="T616" s="3"/>
      <c r="U616" s="3"/>
      <c r="V616" s="3"/>
      <c r="W616" s="3"/>
      <c r="X616" s="3"/>
      <c r="Y616" s="3"/>
      <c r="Z616" s="3"/>
      <c r="AA616" s="3"/>
      <c r="AB616" s="3"/>
    </row>
    <row r="617" customFormat="false" ht="15" hidden="false" customHeight="false" outlineLevel="0" collapsed="false">
      <c r="A617" s="54"/>
      <c r="B617" s="52"/>
      <c r="C617" s="56"/>
      <c r="D617" s="56"/>
      <c r="E617" s="56"/>
      <c r="F617" s="56"/>
      <c r="G617" s="55"/>
      <c r="H617" s="56"/>
      <c r="I617" s="56"/>
      <c r="J617" s="56"/>
      <c r="K617" s="56"/>
      <c r="L617" s="56"/>
      <c r="M617" s="52"/>
      <c r="N617" s="53"/>
      <c r="O617" s="62" t="str">
        <f aca="false">IF($B617="","",TEXT($A617,"YYYY-MM-DD")&amp;"|"&amp;$B617)</f>
        <v/>
      </c>
      <c r="P617" s="3"/>
      <c r="Q617" s="3"/>
      <c r="R617" s="3"/>
      <c r="S617" s="3"/>
      <c r="T617" s="3"/>
      <c r="U617" s="3"/>
      <c r="V617" s="3"/>
      <c r="W617" s="3"/>
      <c r="X617" s="3"/>
      <c r="Y617" s="3"/>
      <c r="Z617" s="3"/>
      <c r="AA617" s="3"/>
      <c r="AB617" s="3"/>
    </row>
    <row r="618" customFormat="false" ht="15" hidden="false" customHeight="false" outlineLevel="0" collapsed="false">
      <c r="A618" s="48"/>
      <c r="B618" s="46"/>
      <c r="C618" s="50"/>
      <c r="D618" s="50"/>
      <c r="E618" s="50"/>
      <c r="F618" s="50"/>
      <c r="G618" s="49"/>
      <c r="H618" s="50"/>
      <c r="I618" s="50"/>
      <c r="J618" s="50"/>
      <c r="K618" s="50"/>
      <c r="L618" s="50"/>
      <c r="M618" s="46"/>
      <c r="N618" s="47"/>
      <c r="O618" s="62" t="str">
        <f aca="false">IF($B618="","",TEXT($A618,"YYYY-MM-DD")&amp;"|"&amp;$B618)</f>
        <v/>
      </c>
      <c r="P618" s="3"/>
      <c r="Q618" s="3"/>
      <c r="R618" s="3"/>
      <c r="S618" s="3"/>
      <c r="T618" s="3"/>
      <c r="U618" s="3"/>
      <c r="V618" s="3"/>
      <c r="W618" s="3"/>
      <c r="X618" s="3"/>
      <c r="Y618" s="3"/>
      <c r="Z618" s="3"/>
      <c r="AA618" s="3"/>
      <c r="AB618" s="3"/>
    </row>
    <row r="619" customFormat="false" ht="15" hidden="false" customHeight="false" outlineLevel="0" collapsed="false">
      <c r="A619" s="54"/>
      <c r="B619" s="52"/>
      <c r="C619" s="56"/>
      <c r="D619" s="56"/>
      <c r="E619" s="56"/>
      <c r="F619" s="56"/>
      <c r="G619" s="55"/>
      <c r="H619" s="56"/>
      <c r="I619" s="56"/>
      <c r="J619" s="56"/>
      <c r="K619" s="56"/>
      <c r="L619" s="56"/>
      <c r="M619" s="52"/>
      <c r="N619" s="53"/>
      <c r="O619" s="62" t="str">
        <f aca="false">IF($B619="","",TEXT($A619,"YYYY-MM-DD")&amp;"|"&amp;$B619)</f>
        <v/>
      </c>
      <c r="P619" s="3"/>
      <c r="Q619" s="3"/>
      <c r="R619" s="3"/>
      <c r="S619" s="3"/>
      <c r="T619" s="3"/>
      <c r="U619" s="3"/>
      <c r="V619" s="3"/>
      <c r="W619" s="3"/>
      <c r="X619" s="3"/>
      <c r="Y619" s="3"/>
      <c r="Z619" s="3"/>
      <c r="AA619" s="3"/>
      <c r="AB619" s="3"/>
    </row>
    <row r="620" customFormat="false" ht="15" hidden="false" customHeight="false" outlineLevel="0" collapsed="false">
      <c r="A620" s="48"/>
      <c r="B620" s="46"/>
      <c r="C620" s="50"/>
      <c r="D620" s="50"/>
      <c r="E620" s="50"/>
      <c r="F620" s="50"/>
      <c r="G620" s="49"/>
      <c r="H620" s="50"/>
      <c r="I620" s="50"/>
      <c r="J620" s="50"/>
      <c r="K620" s="50"/>
      <c r="L620" s="50"/>
      <c r="M620" s="46"/>
      <c r="N620" s="47"/>
      <c r="O620" s="62" t="str">
        <f aca="false">IF($B620="","",TEXT($A620,"YYYY-MM-DD")&amp;"|"&amp;$B620)</f>
        <v/>
      </c>
      <c r="P620" s="3"/>
      <c r="Q620" s="3"/>
      <c r="R620" s="3"/>
      <c r="S620" s="3"/>
      <c r="T620" s="3"/>
      <c r="U620" s="3"/>
      <c r="V620" s="3"/>
      <c r="W620" s="3"/>
      <c r="X620" s="3"/>
      <c r="Y620" s="3"/>
      <c r="Z620" s="3"/>
      <c r="AA620" s="3"/>
      <c r="AB620" s="3"/>
    </row>
    <row r="621" customFormat="false" ht="15" hidden="false" customHeight="false" outlineLevel="0" collapsed="false">
      <c r="A621" s="54"/>
      <c r="B621" s="52"/>
      <c r="C621" s="56"/>
      <c r="D621" s="56"/>
      <c r="E621" s="56"/>
      <c r="F621" s="56"/>
      <c r="G621" s="55"/>
      <c r="H621" s="56"/>
      <c r="I621" s="56"/>
      <c r="J621" s="56"/>
      <c r="K621" s="56"/>
      <c r="L621" s="56"/>
      <c r="M621" s="52"/>
      <c r="N621" s="53"/>
      <c r="O621" s="62" t="str">
        <f aca="false">IF($B621="","",TEXT($A621,"YYYY-MM-DD")&amp;"|"&amp;$B621)</f>
        <v/>
      </c>
      <c r="P621" s="3"/>
      <c r="Q621" s="3"/>
      <c r="R621" s="3"/>
      <c r="S621" s="3"/>
      <c r="T621" s="3"/>
      <c r="U621" s="3"/>
      <c r="V621" s="3"/>
      <c r="W621" s="3"/>
      <c r="X621" s="3"/>
      <c r="Y621" s="3"/>
      <c r="Z621" s="3"/>
      <c r="AA621" s="3"/>
      <c r="AB621" s="3"/>
    </row>
    <row r="622" customFormat="false" ht="15" hidden="false" customHeight="false" outlineLevel="0" collapsed="false">
      <c r="A622" s="48"/>
      <c r="B622" s="46"/>
      <c r="C622" s="50"/>
      <c r="D622" s="50"/>
      <c r="E622" s="50"/>
      <c r="F622" s="50"/>
      <c r="G622" s="49"/>
      <c r="H622" s="50"/>
      <c r="I622" s="50"/>
      <c r="J622" s="50"/>
      <c r="K622" s="50"/>
      <c r="L622" s="50"/>
      <c r="M622" s="46"/>
      <c r="N622" s="47"/>
      <c r="O622" s="62" t="str">
        <f aca="false">IF($B622="","",TEXT($A622,"YYYY-MM-DD")&amp;"|"&amp;$B622)</f>
        <v/>
      </c>
      <c r="P622" s="3"/>
      <c r="Q622" s="3"/>
      <c r="R622" s="3"/>
      <c r="S622" s="3"/>
      <c r="T622" s="3"/>
      <c r="U622" s="3"/>
      <c r="V622" s="3"/>
      <c r="W622" s="3"/>
      <c r="X622" s="3"/>
      <c r="Y622" s="3"/>
      <c r="Z622" s="3"/>
      <c r="AA622" s="3"/>
      <c r="AB622" s="3"/>
    </row>
    <row r="623" customFormat="false" ht="15" hidden="false" customHeight="false" outlineLevel="0" collapsed="false">
      <c r="A623" s="54"/>
      <c r="B623" s="52"/>
      <c r="C623" s="56"/>
      <c r="D623" s="56"/>
      <c r="E623" s="56"/>
      <c r="F623" s="56"/>
      <c r="G623" s="55"/>
      <c r="H623" s="56"/>
      <c r="I623" s="56"/>
      <c r="J623" s="56"/>
      <c r="K623" s="56"/>
      <c r="L623" s="56"/>
      <c r="M623" s="52"/>
      <c r="N623" s="53"/>
      <c r="O623" s="62" t="str">
        <f aca="false">IF($B623="","",TEXT($A623,"YYYY-MM-DD")&amp;"|"&amp;$B623)</f>
        <v/>
      </c>
      <c r="P623" s="3"/>
      <c r="Q623" s="3"/>
      <c r="R623" s="3"/>
      <c r="S623" s="3"/>
      <c r="T623" s="3"/>
      <c r="U623" s="3"/>
      <c r="V623" s="3"/>
      <c r="W623" s="3"/>
      <c r="X623" s="3"/>
      <c r="Y623" s="3"/>
      <c r="Z623" s="3"/>
      <c r="AA623" s="3"/>
      <c r="AB623" s="3"/>
    </row>
    <row r="624" customFormat="false" ht="15" hidden="false" customHeight="false" outlineLevel="0" collapsed="false">
      <c r="A624" s="48"/>
      <c r="B624" s="46"/>
      <c r="C624" s="50"/>
      <c r="D624" s="50"/>
      <c r="E624" s="50"/>
      <c r="F624" s="50"/>
      <c r="G624" s="49"/>
      <c r="H624" s="50"/>
      <c r="I624" s="50"/>
      <c r="J624" s="50"/>
      <c r="K624" s="50"/>
      <c r="L624" s="50"/>
      <c r="M624" s="46"/>
      <c r="N624" s="47"/>
      <c r="O624" s="62" t="str">
        <f aca="false">IF($B624="","",TEXT($A624,"YYYY-MM-DD")&amp;"|"&amp;$B624)</f>
        <v/>
      </c>
      <c r="P624" s="3"/>
      <c r="Q624" s="3"/>
      <c r="R624" s="3"/>
      <c r="S624" s="3"/>
      <c r="T624" s="3"/>
      <c r="U624" s="3"/>
      <c r="V624" s="3"/>
      <c r="W624" s="3"/>
      <c r="X624" s="3"/>
      <c r="Y624" s="3"/>
      <c r="Z624" s="3"/>
      <c r="AA624" s="3"/>
      <c r="AB624" s="3"/>
    </row>
    <row r="625" customFormat="false" ht="15" hidden="false" customHeight="false" outlineLevel="0" collapsed="false">
      <c r="A625" s="54"/>
      <c r="B625" s="52"/>
      <c r="C625" s="56"/>
      <c r="D625" s="56"/>
      <c r="E625" s="56"/>
      <c r="F625" s="56"/>
      <c r="G625" s="55"/>
      <c r="H625" s="56"/>
      <c r="I625" s="56"/>
      <c r="J625" s="56"/>
      <c r="K625" s="56"/>
      <c r="L625" s="56"/>
      <c r="M625" s="52"/>
      <c r="N625" s="53"/>
      <c r="O625" s="62" t="str">
        <f aca="false">IF($B625="","",TEXT($A625,"YYYY-MM-DD")&amp;"|"&amp;$B625)</f>
        <v/>
      </c>
      <c r="P625" s="3"/>
      <c r="Q625" s="3"/>
      <c r="R625" s="3"/>
      <c r="S625" s="3"/>
      <c r="T625" s="3"/>
      <c r="U625" s="3"/>
      <c r="V625" s="3"/>
      <c r="W625" s="3"/>
      <c r="X625" s="3"/>
      <c r="Y625" s="3"/>
      <c r="Z625" s="3"/>
      <c r="AA625" s="3"/>
      <c r="AB625" s="3"/>
    </row>
    <row r="626" customFormat="false" ht="15" hidden="false" customHeight="false" outlineLevel="0" collapsed="false">
      <c r="A626" s="48"/>
      <c r="B626" s="46"/>
      <c r="C626" s="50"/>
      <c r="D626" s="50"/>
      <c r="E626" s="50"/>
      <c r="F626" s="50"/>
      <c r="G626" s="49"/>
      <c r="H626" s="50"/>
      <c r="I626" s="50"/>
      <c r="J626" s="50"/>
      <c r="K626" s="50"/>
      <c r="L626" s="50"/>
      <c r="M626" s="46"/>
      <c r="N626" s="47"/>
      <c r="O626" s="62" t="str">
        <f aca="false">IF($B626="","",TEXT($A626,"YYYY-MM-DD")&amp;"|"&amp;$B626)</f>
        <v/>
      </c>
      <c r="P626" s="3"/>
      <c r="Q626" s="3"/>
      <c r="R626" s="3"/>
      <c r="S626" s="3"/>
      <c r="T626" s="3"/>
      <c r="U626" s="3"/>
      <c r="V626" s="3"/>
      <c r="W626" s="3"/>
      <c r="X626" s="3"/>
      <c r="Y626" s="3"/>
      <c r="Z626" s="3"/>
      <c r="AA626" s="3"/>
      <c r="AB626" s="3"/>
    </row>
    <row r="627" customFormat="false" ht="15" hidden="false" customHeight="false" outlineLevel="0" collapsed="false">
      <c r="A627" s="54"/>
      <c r="B627" s="52"/>
      <c r="C627" s="56"/>
      <c r="D627" s="56"/>
      <c r="E627" s="56"/>
      <c r="F627" s="56"/>
      <c r="G627" s="55"/>
      <c r="H627" s="56"/>
      <c r="I627" s="56"/>
      <c r="J627" s="56"/>
      <c r="K627" s="56"/>
      <c r="L627" s="56"/>
      <c r="M627" s="52"/>
      <c r="N627" s="53"/>
      <c r="O627" s="62" t="str">
        <f aca="false">IF($B627="","",TEXT($A627,"YYYY-MM-DD")&amp;"|"&amp;$B627)</f>
        <v/>
      </c>
      <c r="P627" s="3"/>
      <c r="Q627" s="3"/>
      <c r="R627" s="3"/>
      <c r="S627" s="3"/>
      <c r="T627" s="3"/>
      <c r="U627" s="3"/>
      <c r="V627" s="3"/>
      <c r="W627" s="3"/>
      <c r="X627" s="3"/>
      <c r="Y627" s="3"/>
      <c r="Z627" s="3"/>
      <c r="AA627" s="3"/>
      <c r="AB627" s="3"/>
    </row>
    <row r="628" customFormat="false" ht="15" hidden="false" customHeight="false" outlineLevel="0" collapsed="false">
      <c r="A628" s="48"/>
      <c r="B628" s="46"/>
      <c r="C628" s="50"/>
      <c r="D628" s="50"/>
      <c r="E628" s="50"/>
      <c r="F628" s="50"/>
      <c r="G628" s="49"/>
      <c r="H628" s="50"/>
      <c r="I628" s="50"/>
      <c r="J628" s="50"/>
      <c r="K628" s="50"/>
      <c r="L628" s="50"/>
      <c r="M628" s="46"/>
      <c r="N628" s="47"/>
      <c r="O628" s="62" t="str">
        <f aca="false">IF($B628="","",TEXT($A628,"YYYY-MM-DD")&amp;"|"&amp;$B628)</f>
        <v/>
      </c>
      <c r="P628" s="3"/>
      <c r="Q628" s="3"/>
      <c r="R628" s="3"/>
      <c r="S628" s="3"/>
      <c r="T628" s="3"/>
      <c r="U628" s="3"/>
      <c r="V628" s="3"/>
      <c r="W628" s="3"/>
      <c r="X628" s="3"/>
      <c r="Y628" s="3"/>
      <c r="Z628" s="3"/>
      <c r="AA628" s="3"/>
      <c r="AB628" s="3"/>
    </row>
    <row r="629" customFormat="false" ht="15" hidden="false" customHeight="false" outlineLevel="0" collapsed="false">
      <c r="A629" s="54"/>
      <c r="B629" s="52"/>
      <c r="C629" s="56"/>
      <c r="D629" s="56"/>
      <c r="E629" s="56"/>
      <c r="F629" s="56"/>
      <c r="G629" s="55"/>
      <c r="H629" s="56"/>
      <c r="I629" s="56"/>
      <c r="J629" s="56"/>
      <c r="K629" s="56"/>
      <c r="L629" s="56"/>
      <c r="M629" s="52"/>
      <c r="N629" s="53"/>
      <c r="O629" s="62" t="str">
        <f aca="false">IF($B629="","",TEXT($A629,"YYYY-MM-DD")&amp;"|"&amp;$B629)</f>
        <v/>
      </c>
      <c r="P629" s="3"/>
      <c r="Q629" s="3"/>
      <c r="R629" s="3"/>
      <c r="S629" s="3"/>
      <c r="T629" s="3"/>
      <c r="U629" s="3"/>
      <c r="V629" s="3"/>
      <c r="W629" s="3"/>
      <c r="X629" s="3"/>
      <c r="Y629" s="3"/>
      <c r="Z629" s="3"/>
      <c r="AA629" s="3"/>
      <c r="AB629" s="3"/>
    </row>
    <row r="630" customFormat="false" ht="15" hidden="false" customHeight="false" outlineLevel="0" collapsed="false">
      <c r="A630" s="48"/>
      <c r="B630" s="46"/>
      <c r="C630" s="50"/>
      <c r="D630" s="50"/>
      <c r="E630" s="50"/>
      <c r="F630" s="50"/>
      <c r="G630" s="49"/>
      <c r="H630" s="50"/>
      <c r="I630" s="50"/>
      <c r="J630" s="50"/>
      <c r="K630" s="50"/>
      <c r="L630" s="50"/>
      <c r="M630" s="46"/>
      <c r="N630" s="47"/>
      <c r="O630" s="62" t="str">
        <f aca="false">IF($B630="","",TEXT($A630,"YYYY-MM-DD")&amp;"|"&amp;$B630)</f>
        <v/>
      </c>
      <c r="P630" s="3"/>
      <c r="Q630" s="3"/>
      <c r="R630" s="3"/>
      <c r="S630" s="3"/>
      <c r="T630" s="3"/>
      <c r="U630" s="3"/>
      <c r="V630" s="3"/>
      <c r="W630" s="3"/>
      <c r="X630" s="3"/>
      <c r="Y630" s="3"/>
      <c r="Z630" s="3"/>
      <c r="AA630" s="3"/>
      <c r="AB630" s="3"/>
    </row>
    <row r="631" customFormat="false" ht="15" hidden="false" customHeight="false" outlineLevel="0" collapsed="false">
      <c r="A631" s="54"/>
      <c r="B631" s="52"/>
      <c r="C631" s="56"/>
      <c r="D631" s="56"/>
      <c r="E631" s="56"/>
      <c r="F631" s="56"/>
      <c r="G631" s="55"/>
      <c r="H631" s="56"/>
      <c r="I631" s="56"/>
      <c r="J631" s="56"/>
      <c r="K631" s="56"/>
      <c r="L631" s="56"/>
      <c r="M631" s="52"/>
      <c r="N631" s="53"/>
      <c r="O631" s="62" t="str">
        <f aca="false">IF($B631="","",TEXT($A631,"YYYY-MM-DD")&amp;"|"&amp;$B631)</f>
        <v/>
      </c>
      <c r="P631" s="3"/>
      <c r="Q631" s="3"/>
      <c r="R631" s="3"/>
      <c r="S631" s="3"/>
      <c r="T631" s="3"/>
      <c r="U631" s="3"/>
      <c r="V631" s="3"/>
      <c r="W631" s="3"/>
      <c r="X631" s="3"/>
      <c r="Y631" s="3"/>
      <c r="Z631" s="3"/>
      <c r="AA631" s="3"/>
      <c r="AB631" s="3"/>
    </row>
    <row r="632" customFormat="false" ht="15" hidden="false" customHeight="false" outlineLevel="0" collapsed="false">
      <c r="A632" s="48"/>
      <c r="B632" s="46"/>
      <c r="C632" s="50"/>
      <c r="D632" s="50"/>
      <c r="E632" s="50"/>
      <c r="F632" s="50"/>
      <c r="G632" s="49"/>
      <c r="H632" s="50"/>
      <c r="I632" s="50"/>
      <c r="J632" s="50"/>
      <c r="K632" s="50"/>
      <c r="L632" s="50"/>
      <c r="M632" s="46"/>
      <c r="N632" s="47"/>
      <c r="O632" s="62" t="str">
        <f aca="false">IF($B632="","",TEXT($A632,"YYYY-MM-DD")&amp;"|"&amp;$B632)</f>
        <v/>
      </c>
      <c r="P632" s="3"/>
      <c r="Q632" s="3"/>
      <c r="R632" s="3"/>
      <c r="S632" s="3"/>
      <c r="T632" s="3"/>
      <c r="U632" s="3"/>
      <c r="V632" s="3"/>
      <c r="W632" s="3"/>
      <c r="X632" s="3"/>
      <c r="Y632" s="3"/>
      <c r="Z632" s="3"/>
      <c r="AA632" s="3"/>
      <c r="AB632" s="3"/>
    </row>
    <row r="633" customFormat="false" ht="15" hidden="false" customHeight="false" outlineLevel="0" collapsed="false">
      <c r="A633" s="54"/>
      <c r="B633" s="52"/>
      <c r="C633" s="56"/>
      <c r="D633" s="56"/>
      <c r="E633" s="56"/>
      <c r="F633" s="56"/>
      <c r="G633" s="55"/>
      <c r="H633" s="56"/>
      <c r="I633" s="56"/>
      <c r="J633" s="56"/>
      <c r="K633" s="56"/>
      <c r="L633" s="56"/>
      <c r="M633" s="52"/>
      <c r="N633" s="53"/>
      <c r="O633" s="62" t="str">
        <f aca="false">IF($B633="","",TEXT($A633,"YYYY-MM-DD")&amp;"|"&amp;$B633)</f>
        <v/>
      </c>
      <c r="P633" s="3"/>
      <c r="Q633" s="3"/>
      <c r="R633" s="3"/>
      <c r="S633" s="3"/>
      <c r="T633" s="3"/>
      <c r="U633" s="3"/>
      <c r="V633" s="3"/>
      <c r="W633" s="3"/>
      <c r="X633" s="3"/>
      <c r="Y633" s="3"/>
      <c r="Z633" s="3"/>
      <c r="AA633" s="3"/>
      <c r="AB633" s="3"/>
    </row>
    <row r="634" customFormat="false" ht="15" hidden="false" customHeight="false" outlineLevel="0" collapsed="false">
      <c r="A634" s="48"/>
      <c r="B634" s="46"/>
      <c r="C634" s="50"/>
      <c r="D634" s="50"/>
      <c r="E634" s="50"/>
      <c r="F634" s="50"/>
      <c r="G634" s="49"/>
      <c r="H634" s="50"/>
      <c r="I634" s="50"/>
      <c r="J634" s="50"/>
      <c r="K634" s="50"/>
      <c r="L634" s="50"/>
      <c r="M634" s="46"/>
      <c r="N634" s="47"/>
      <c r="O634" s="62" t="str">
        <f aca="false">IF($B634="","",TEXT($A634,"YYYY-MM-DD")&amp;"|"&amp;$B634)</f>
        <v/>
      </c>
      <c r="P634" s="3"/>
      <c r="Q634" s="3"/>
      <c r="R634" s="3"/>
      <c r="S634" s="3"/>
      <c r="T634" s="3"/>
      <c r="U634" s="3"/>
      <c r="V634" s="3"/>
      <c r="W634" s="3"/>
      <c r="X634" s="3"/>
      <c r="Y634" s="3"/>
      <c r="Z634" s="3"/>
      <c r="AA634" s="3"/>
      <c r="AB634" s="3"/>
    </row>
    <row r="635" customFormat="false" ht="15" hidden="false" customHeight="false" outlineLevel="0" collapsed="false">
      <c r="A635" s="54"/>
      <c r="B635" s="52"/>
      <c r="C635" s="56"/>
      <c r="D635" s="56"/>
      <c r="E635" s="56"/>
      <c r="F635" s="56"/>
      <c r="G635" s="55"/>
      <c r="H635" s="56"/>
      <c r="I635" s="56"/>
      <c r="J635" s="56"/>
      <c r="K635" s="56"/>
      <c r="L635" s="56"/>
      <c r="M635" s="52"/>
      <c r="N635" s="53"/>
      <c r="O635" s="62" t="str">
        <f aca="false">IF($B635="","",TEXT($A635,"YYYY-MM-DD")&amp;"|"&amp;$B635)</f>
        <v/>
      </c>
      <c r="P635" s="3"/>
      <c r="Q635" s="3"/>
      <c r="R635" s="3"/>
      <c r="S635" s="3"/>
      <c r="T635" s="3"/>
      <c r="U635" s="3"/>
      <c r="V635" s="3"/>
      <c r="W635" s="3"/>
      <c r="X635" s="3"/>
      <c r="Y635" s="3"/>
      <c r="Z635" s="3"/>
      <c r="AA635" s="3"/>
      <c r="AB635" s="3"/>
    </row>
    <row r="636" customFormat="false" ht="15" hidden="false" customHeight="false" outlineLevel="0" collapsed="false">
      <c r="A636" s="48"/>
      <c r="B636" s="46"/>
      <c r="C636" s="50"/>
      <c r="D636" s="50"/>
      <c r="E636" s="50"/>
      <c r="F636" s="50"/>
      <c r="G636" s="49"/>
      <c r="H636" s="50"/>
      <c r="I636" s="50"/>
      <c r="J636" s="50"/>
      <c r="K636" s="50"/>
      <c r="L636" s="50"/>
      <c r="M636" s="46"/>
      <c r="N636" s="47"/>
      <c r="O636" s="62" t="str">
        <f aca="false">IF($B636="","",TEXT($A636,"YYYY-MM-DD")&amp;"|"&amp;$B636)</f>
        <v/>
      </c>
      <c r="P636" s="3"/>
      <c r="Q636" s="3"/>
      <c r="R636" s="3"/>
      <c r="S636" s="3"/>
      <c r="T636" s="3"/>
      <c r="U636" s="3"/>
      <c r="V636" s="3"/>
      <c r="W636" s="3"/>
      <c r="X636" s="3"/>
      <c r="Y636" s="3"/>
      <c r="Z636" s="3"/>
      <c r="AA636" s="3"/>
      <c r="AB636" s="3"/>
    </row>
    <row r="637" customFormat="false" ht="15" hidden="false" customHeight="false" outlineLevel="0" collapsed="false">
      <c r="A637" s="54"/>
      <c r="B637" s="52"/>
      <c r="C637" s="56"/>
      <c r="D637" s="56"/>
      <c r="E637" s="56"/>
      <c r="F637" s="56"/>
      <c r="G637" s="55"/>
      <c r="H637" s="56"/>
      <c r="I637" s="56"/>
      <c r="J637" s="56"/>
      <c r="K637" s="56"/>
      <c r="L637" s="56"/>
      <c r="M637" s="52"/>
      <c r="N637" s="53"/>
      <c r="O637" s="62" t="str">
        <f aca="false">IF($B637="","",TEXT($A637,"YYYY-MM-DD")&amp;"|"&amp;$B637)</f>
        <v/>
      </c>
      <c r="P637" s="3"/>
      <c r="Q637" s="3"/>
      <c r="R637" s="3"/>
      <c r="S637" s="3"/>
      <c r="T637" s="3"/>
      <c r="U637" s="3"/>
      <c r="V637" s="3"/>
      <c r="W637" s="3"/>
      <c r="X637" s="3"/>
      <c r="Y637" s="3"/>
      <c r="Z637" s="3"/>
      <c r="AA637" s="3"/>
      <c r="AB637" s="3"/>
    </row>
    <row r="638" customFormat="false" ht="15" hidden="false" customHeight="false" outlineLevel="0" collapsed="false">
      <c r="A638" s="48"/>
      <c r="B638" s="46"/>
      <c r="C638" s="50"/>
      <c r="D638" s="50"/>
      <c r="E638" s="50"/>
      <c r="F638" s="50"/>
      <c r="G638" s="49"/>
      <c r="H638" s="50"/>
      <c r="I638" s="50"/>
      <c r="J638" s="50"/>
      <c r="K638" s="50"/>
      <c r="L638" s="50"/>
      <c r="M638" s="46"/>
      <c r="N638" s="47"/>
      <c r="O638" s="62" t="str">
        <f aca="false">IF($B638="","",TEXT($A638,"YYYY-MM-DD")&amp;"|"&amp;$B638)</f>
        <v/>
      </c>
      <c r="P638" s="3"/>
      <c r="Q638" s="3"/>
      <c r="R638" s="3"/>
      <c r="S638" s="3"/>
      <c r="T638" s="3"/>
      <c r="U638" s="3"/>
      <c r="V638" s="3"/>
      <c r="W638" s="3"/>
      <c r="X638" s="3"/>
      <c r="Y638" s="3"/>
      <c r="Z638" s="3"/>
      <c r="AA638" s="3"/>
      <c r="AB638" s="3"/>
    </row>
    <row r="639" customFormat="false" ht="15" hidden="false" customHeight="false" outlineLevel="0" collapsed="false">
      <c r="A639" s="54"/>
      <c r="B639" s="52"/>
      <c r="C639" s="56"/>
      <c r="D639" s="56"/>
      <c r="E639" s="56"/>
      <c r="F639" s="56"/>
      <c r="G639" s="55"/>
      <c r="H639" s="56"/>
      <c r="I639" s="56"/>
      <c r="J639" s="56"/>
      <c r="K639" s="56"/>
      <c r="L639" s="56"/>
      <c r="M639" s="52"/>
      <c r="N639" s="53"/>
      <c r="O639" s="62" t="str">
        <f aca="false">IF($B639="","",TEXT($A639,"YYYY-MM-DD")&amp;"|"&amp;$B639)</f>
        <v/>
      </c>
      <c r="P639" s="3"/>
      <c r="Q639" s="3"/>
      <c r="R639" s="3"/>
      <c r="S639" s="3"/>
      <c r="T639" s="3"/>
      <c r="U639" s="3"/>
      <c r="V639" s="3"/>
      <c r="W639" s="3"/>
      <c r="X639" s="3"/>
      <c r="Y639" s="3"/>
      <c r="Z639" s="3"/>
      <c r="AA639" s="3"/>
      <c r="AB639" s="3"/>
    </row>
    <row r="640" customFormat="false" ht="15" hidden="false" customHeight="false" outlineLevel="0" collapsed="false">
      <c r="A640" s="48"/>
      <c r="B640" s="46"/>
      <c r="C640" s="50"/>
      <c r="D640" s="50"/>
      <c r="E640" s="50"/>
      <c r="F640" s="50"/>
      <c r="G640" s="49"/>
      <c r="H640" s="50"/>
      <c r="I640" s="50"/>
      <c r="J640" s="50"/>
      <c r="K640" s="50"/>
      <c r="L640" s="50"/>
      <c r="M640" s="46"/>
      <c r="N640" s="47"/>
      <c r="O640" s="62" t="str">
        <f aca="false">IF($B640="","",TEXT($A640,"YYYY-MM-DD")&amp;"|"&amp;$B640)</f>
        <v/>
      </c>
      <c r="P640" s="3"/>
      <c r="Q640" s="3"/>
      <c r="R640" s="3"/>
      <c r="S640" s="3"/>
      <c r="T640" s="3"/>
      <c r="U640" s="3"/>
      <c r="V640" s="3"/>
      <c r="W640" s="3"/>
      <c r="X640" s="3"/>
      <c r="Y640" s="3"/>
      <c r="Z640" s="3"/>
      <c r="AA640" s="3"/>
      <c r="AB640" s="3"/>
    </row>
    <row r="641" customFormat="false" ht="15" hidden="false" customHeight="false" outlineLevel="0" collapsed="false">
      <c r="A641" s="54"/>
      <c r="B641" s="52"/>
      <c r="C641" s="56"/>
      <c r="D641" s="56"/>
      <c r="E641" s="56"/>
      <c r="F641" s="56"/>
      <c r="G641" s="55"/>
      <c r="H641" s="56"/>
      <c r="I641" s="56"/>
      <c r="J641" s="56"/>
      <c r="K641" s="56"/>
      <c r="L641" s="56"/>
      <c r="M641" s="52"/>
      <c r="N641" s="53"/>
      <c r="O641" s="62" t="str">
        <f aca="false">IF($B641="","",TEXT($A641,"YYYY-MM-DD")&amp;"|"&amp;$B641)</f>
        <v/>
      </c>
      <c r="P641" s="3"/>
      <c r="Q641" s="3"/>
      <c r="R641" s="3"/>
      <c r="S641" s="3"/>
      <c r="T641" s="3"/>
      <c r="U641" s="3"/>
      <c r="V641" s="3"/>
      <c r="W641" s="3"/>
      <c r="X641" s="3"/>
      <c r="Y641" s="3"/>
      <c r="Z641" s="3"/>
      <c r="AA641" s="3"/>
      <c r="AB641" s="3"/>
    </row>
    <row r="642" customFormat="false" ht="15" hidden="false" customHeight="false" outlineLevel="0" collapsed="false">
      <c r="A642" s="48"/>
      <c r="B642" s="46"/>
      <c r="C642" s="50"/>
      <c r="D642" s="50"/>
      <c r="E642" s="50"/>
      <c r="F642" s="50"/>
      <c r="G642" s="49"/>
      <c r="H642" s="50"/>
      <c r="I642" s="50"/>
      <c r="J642" s="50"/>
      <c r="K642" s="50"/>
      <c r="L642" s="50"/>
      <c r="M642" s="46"/>
      <c r="N642" s="47"/>
      <c r="O642" s="62" t="str">
        <f aca="false">IF($B642="","",TEXT($A642,"YYYY-MM-DD")&amp;"|"&amp;$B642)</f>
        <v/>
      </c>
      <c r="P642" s="3"/>
      <c r="Q642" s="3"/>
      <c r="R642" s="3"/>
      <c r="S642" s="3"/>
      <c r="T642" s="3"/>
      <c r="U642" s="3"/>
      <c r="V642" s="3"/>
      <c r="W642" s="3"/>
      <c r="X642" s="3"/>
      <c r="Y642" s="3"/>
      <c r="Z642" s="3"/>
      <c r="AA642" s="3"/>
      <c r="AB642" s="3"/>
    </row>
    <row r="643" customFormat="false" ht="15" hidden="false" customHeight="false" outlineLevel="0" collapsed="false">
      <c r="A643" s="54"/>
      <c r="B643" s="52"/>
      <c r="C643" s="56"/>
      <c r="D643" s="56"/>
      <c r="E643" s="56"/>
      <c r="F643" s="56"/>
      <c r="G643" s="55"/>
      <c r="H643" s="56"/>
      <c r="I643" s="56"/>
      <c r="J643" s="56"/>
      <c r="K643" s="56"/>
      <c r="L643" s="56"/>
      <c r="M643" s="52"/>
      <c r="N643" s="53"/>
      <c r="O643" s="62" t="str">
        <f aca="false">IF($B643="","",TEXT($A643,"YYYY-MM-DD")&amp;"|"&amp;$B643)</f>
        <v/>
      </c>
      <c r="P643" s="3"/>
      <c r="Q643" s="3"/>
      <c r="R643" s="3"/>
      <c r="S643" s="3"/>
      <c r="T643" s="3"/>
      <c r="U643" s="3"/>
      <c r="V643" s="3"/>
      <c r="W643" s="3"/>
      <c r="X643" s="3"/>
      <c r="Y643" s="3"/>
      <c r="Z643" s="3"/>
      <c r="AA643" s="3"/>
      <c r="AB643" s="3"/>
    </row>
    <row r="644" customFormat="false" ht="15" hidden="false" customHeight="false" outlineLevel="0" collapsed="false">
      <c r="A644" s="48"/>
      <c r="B644" s="46"/>
      <c r="C644" s="50"/>
      <c r="D644" s="50"/>
      <c r="E644" s="50"/>
      <c r="F644" s="50"/>
      <c r="G644" s="49"/>
      <c r="H644" s="50"/>
      <c r="I644" s="50"/>
      <c r="J644" s="50"/>
      <c r="K644" s="50"/>
      <c r="L644" s="50"/>
      <c r="M644" s="46"/>
      <c r="N644" s="47"/>
      <c r="O644" s="62" t="str">
        <f aca="false">IF($B644="","",TEXT($A644,"YYYY-MM-DD")&amp;"|"&amp;$B644)</f>
        <v/>
      </c>
      <c r="P644" s="3"/>
      <c r="Q644" s="3"/>
      <c r="R644" s="3"/>
      <c r="S644" s="3"/>
      <c r="T644" s="3"/>
      <c r="U644" s="3"/>
      <c r="V644" s="3"/>
      <c r="W644" s="3"/>
      <c r="X644" s="3"/>
      <c r="Y644" s="3"/>
      <c r="Z644" s="3"/>
      <c r="AA644" s="3"/>
      <c r="AB644" s="3"/>
    </row>
    <row r="645" customFormat="false" ht="15" hidden="false" customHeight="false" outlineLevel="0" collapsed="false">
      <c r="A645" s="54"/>
      <c r="B645" s="52"/>
      <c r="C645" s="56"/>
      <c r="D645" s="56"/>
      <c r="E645" s="56"/>
      <c r="F645" s="56"/>
      <c r="G645" s="55"/>
      <c r="H645" s="56"/>
      <c r="I645" s="56"/>
      <c r="J645" s="56"/>
      <c r="K645" s="56"/>
      <c r="L645" s="56"/>
      <c r="M645" s="52"/>
      <c r="N645" s="53"/>
      <c r="O645" s="62" t="str">
        <f aca="false">IF($B645="","",TEXT($A645,"YYYY-MM-DD")&amp;"|"&amp;$B645)</f>
        <v/>
      </c>
      <c r="P645" s="3"/>
      <c r="Q645" s="3"/>
      <c r="R645" s="3"/>
      <c r="S645" s="3"/>
      <c r="T645" s="3"/>
      <c r="U645" s="3"/>
      <c r="V645" s="3"/>
      <c r="W645" s="3"/>
      <c r="X645" s="3"/>
      <c r="Y645" s="3"/>
      <c r="Z645" s="3"/>
      <c r="AA645" s="3"/>
      <c r="AB645" s="3"/>
    </row>
    <row r="646" customFormat="false" ht="15" hidden="false" customHeight="false" outlineLevel="0" collapsed="false">
      <c r="A646" s="48"/>
      <c r="B646" s="46"/>
      <c r="C646" s="50"/>
      <c r="D646" s="50"/>
      <c r="E646" s="50"/>
      <c r="F646" s="50"/>
      <c r="G646" s="49"/>
      <c r="H646" s="50"/>
      <c r="I646" s="50"/>
      <c r="J646" s="50"/>
      <c r="K646" s="50"/>
      <c r="L646" s="50"/>
      <c r="M646" s="46"/>
      <c r="N646" s="47"/>
      <c r="O646" s="62" t="str">
        <f aca="false">IF($B646="","",TEXT($A646,"YYYY-MM-DD")&amp;"|"&amp;$B646)</f>
        <v/>
      </c>
      <c r="P646" s="3"/>
      <c r="Q646" s="3"/>
      <c r="R646" s="3"/>
      <c r="S646" s="3"/>
      <c r="T646" s="3"/>
      <c r="U646" s="3"/>
      <c r="V646" s="3"/>
      <c r="W646" s="3"/>
      <c r="X646" s="3"/>
      <c r="Y646" s="3"/>
      <c r="Z646" s="3"/>
      <c r="AA646" s="3"/>
      <c r="AB646" s="3"/>
    </row>
    <row r="647" customFormat="false" ht="15" hidden="false" customHeight="false" outlineLevel="0" collapsed="false">
      <c r="A647" s="54"/>
      <c r="B647" s="52"/>
      <c r="C647" s="56"/>
      <c r="D647" s="56"/>
      <c r="E647" s="56"/>
      <c r="F647" s="56"/>
      <c r="G647" s="55"/>
      <c r="H647" s="56"/>
      <c r="I647" s="56"/>
      <c r="J647" s="56"/>
      <c r="K647" s="56"/>
      <c r="L647" s="56"/>
      <c r="M647" s="52"/>
      <c r="N647" s="53"/>
      <c r="O647" s="62" t="str">
        <f aca="false">IF($B647="","",TEXT($A647,"YYYY-MM-DD")&amp;"|"&amp;$B647)</f>
        <v/>
      </c>
      <c r="P647" s="3"/>
      <c r="Q647" s="3"/>
      <c r="R647" s="3"/>
      <c r="S647" s="3"/>
      <c r="T647" s="3"/>
      <c r="U647" s="3"/>
      <c r="V647" s="3"/>
      <c r="W647" s="3"/>
      <c r="X647" s="3"/>
      <c r="Y647" s="3"/>
      <c r="Z647" s="3"/>
      <c r="AA647" s="3"/>
      <c r="AB647" s="3"/>
    </row>
    <row r="648" customFormat="false" ht="15" hidden="false" customHeight="false" outlineLevel="0" collapsed="false">
      <c r="A648" s="48"/>
      <c r="B648" s="46"/>
      <c r="C648" s="50"/>
      <c r="D648" s="50"/>
      <c r="E648" s="50"/>
      <c r="F648" s="50"/>
      <c r="G648" s="49"/>
      <c r="H648" s="50"/>
      <c r="I648" s="50"/>
      <c r="J648" s="50"/>
      <c r="K648" s="50"/>
      <c r="L648" s="50"/>
      <c r="M648" s="46"/>
      <c r="N648" s="47"/>
      <c r="O648" s="62" t="str">
        <f aca="false">IF($B648="","",TEXT($A648,"YYYY-MM-DD")&amp;"|"&amp;$B648)</f>
        <v/>
      </c>
      <c r="P648" s="3"/>
      <c r="Q648" s="3"/>
      <c r="R648" s="3"/>
      <c r="S648" s="3"/>
      <c r="T648" s="3"/>
      <c r="U648" s="3"/>
      <c r="V648" s="3"/>
      <c r="W648" s="3"/>
      <c r="X648" s="3"/>
      <c r="Y648" s="3"/>
      <c r="Z648" s="3"/>
      <c r="AA648" s="3"/>
      <c r="AB648" s="3"/>
    </row>
    <row r="649" customFormat="false" ht="15" hidden="false" customHeight="false" outlineLevel="0" collapsed="false">
      <c r="A649" s="54"/>
      <c r="B649" s="52"/>
      <c r="C649" s="56"/>
      <c r="D649" s="56"/>
      <c r="E649" s="56"/>
      <c r="F649" s="56"/>
      <c r="G649" s="55"/>
      <c r="H649" s="56"/>
      <c r="I649" s="56"/>
      <c r="J649" s="56"/>
      <c r="K649" s="56"/>
      <c r="L649" s="56"/>
      <c r="M649" s="52"/>
      <c r="N649" s="53"/>
      <c r="O649" s="62" t="str">
        <f aca="false">IF($B649="","",TEXT($A649,"YYYY-MM-DD")&amp;"|"&amp;$B649)</f>
        <v/>
      </c>
      <c r="P649" s="3"/>
      <c r="Q649" s="3"/>
      <c r="R649" s="3"/>
      <c r="S649" s="3"/>
      <c r="T649" s="3"/>
      <c r="U649" s="3"/>
      <c r="V649" s="3"/>
      <c r="W649" s="3"/>
      <c r="X649" s="3"/>
      <c r="Y649" s="3"/>
      <c r="Z649" s="3"/>
      <c r="AA649" s="3"/>
      <c r="AB649" s="3"/>
    </row>
    <row r="650" customFormat="false" ht="15" hidden="false" customHeight="false" outlineLevel="0" collapsed="false">
      <c r="A650" s="48"/>
      <c r="B650" s="46"/>
      <c r="C650" s="50"/>
      <c r="D650" s="50"/>
      <c r="E650" s="50"/>
      <c r="F650" s="50"/>
      <c r="G650" s="49"/>
      <c r="H650" s="50"/>
      <c r="I650" s="50"/>
      <c r="J650" s="50"/>
      <c r="K650" s="50"/>
      <c r="L650" s="50"/>
      <c r="M650" s="46"/>
      <c r="N650" s="47"/>
      <c r="O650" s="62" t="str">
        <f aca="false">IF($B650="","",TEXT($A650,"YYYY-MM-DD")&amp;"|"&amp;$B650)</f>
        <v/>
      </c>
      <c r="P650" s="3"/>
      <c r="Q650" s="3"/>
      <c r="R650" s="3"/>
      <c r="S650" s="3"/>
      <c r="T650" s="3"/>
      <c r="U650" s="3"/>
      <c r="V650" s="3"/>
      <c r="W650" s="3"/>
      <c r="X650" s="3"/>
      <c r="Y650" s="3"/>
      <c r="Z650" s="3"/>
      <c r="AA650" s="3"/>
      <c r="AB650" s="3"/>
    </row>
    <row r="651" customFormat="false" ht="15" hidden="false" customHeight="false" outlineLevel="0" collapsed="false">
      <c r="A651" s="54"/>
      <c r="B651" s="52"/>
      <c r="C651" s="56"/>
      <c r="D651" s="56"/>
      <c r="E651" s="56"/>
      <c r="F651" s="56"/>
      <c r="G651" s="55"/>
      <c r="H651" s="56"/>
      <c r="I651" s="56"/>
      <c r="J651" s="56"/>
      <c r="K651" s="56"/>
      <c r="L651" s="56"/>
      <c r="M651" s="52"/>
      <c r="N651" s="53"/>
      <c r="O651" s="62" t="str">
        <f aca="false">IF($B651="","",TEXT($A651,"YYYY-MM-DD")&amp;"|"&amp;$B651)</f>
        <v/>
      </c>
      <c r="P651" s="3"/>
      <c r="Q651" s="3"/>
      <c r="R651" s="3"/>
      <c r="S651" s="3"/>
      <c r="T651" s="3"/>
      <c r="U651" s="3"/>
      <c r="V651" s="3"/>
      <c r="W651" s="3"/>
      <c r="X651" s="3"/>
      <c r="Y651" s="3"/>
      <c r="Z651" s="3"/>
      <c r="AA651" s="3"/>
      <c r="AB651" s="3"/>
    </row>
    <row r="652" customFormat="false" ht="15" hidden="false" customHeight="false" outlineLevel="0" collapsed="false">
      <c r="A652" s="48"/>
      <c r="B652" s="46"/>
      <c r="C652" s="50"/>
      <c r="D652" s="50"/>
      <c r="E652" s="50"/>
      <c r="F652" s="50"/>
      <c r="G652" s="49"/>
      <c r="H652" s="50"/>
      <c r="I652" s="50"/>
      <c r="J652" s="50"/>
      <c r="K652" s="50"/>
      <c r="L652" s="50"/>
      <c r="M652" s="46"/>
      <c r="N652" s="47"/>
      <c r="O652" s="62" t="str">
        <f aca="false">IF($B652="","",TEXT($A652,"YYYY-MM-DD")&amp;"|"&amp;$B652)</f>
        <v/>
      </c>
      <c r="P652" s="3"/>
      <c r="Q652" s="3"/>
      <c r="R652" s="3"/>
      <c r="S652" s="3"/>
      <c r="T652" s="3"/>
      <c r="U652" s="3"/>
      <c r="V652" s="3"/>
      <c r="W652" s="3"/>
      <c r="X652" s="3"/>
      <c r="Y652" s="3"/>
      <c r="Z652" s="3"/>
      <c r="AA652" s="3"/>
      <c r="AB652" s="3"/>
    </row>
    <row r="653" customFormat="false" ht="15" hidden="false" customHeight="false" outlineLevel="0" collapsed="false">
      <c r="A653" s="54"/>
      <c r="B653" s="52"/>
      <c r="C653" s="56"/>
      <c r="D653" s="56"/>
      <c r="E653" s="56"/>
      <c r="F653" s="56"/>
      <c r="G653" s="55"/>
      <c r="H653" s="56"/>
      <c r="I653" s="56"/>
      <c r="J653" s="56"/>
      <c r="K653" s="56"/>
      <c r="L653" s="56"/>
      <c r="M653" s="52"/>
      <c r="N653" s="53"/>
      <c r="O653" s="62" t="str">
        <f aca="false">IF($B653="","",TEXT($A653,"YYYY-MM-DD")&amp;"|"&amp;$B653)</f>
        <v/>
      </c>
      <c r="P653" s="3"/>
      <c r="Q653" s="3"/>
      <c r="R653" s="3"/>
      <c r="S653" s="3"/>
      <c r="T653" s="3"/>
      <c r="U653" s="3"/>
      <c r="V653" s="3"/>
      <c r="W653" s="3"/>
      <c r="X653" s="3"/>
      <c r="Y653" s="3"/>
      <c r="Z653" s="3"/>
      <c r="AA653" s="3"/>
      <c r="AB653" s="3"/>
    </row>
    <row r="654" customFormat="false" ht="15" hidden="false" customHeight="false" outlineLevel="0" collapsed="false">
      <c r="A654" s="48"/>
      <c r="B654" s="46"/>
      <c r="C654" s="50"/>
      <c r="D654" s="50"/>
      <c r="E654" s="50"/>
      <c r="F654" s="50"/>
      <c r="G654" s="49"/>
      <c r="H654" s="50"/>
      <c r="I654" s="50"/>
      <c r="J654" s="50"/>
      <c r="K654" s="50"/>
      <c r="L654" s="50"/>
      <c r="M654" s="46"/>
      <c r="N654" s="47"/>
      <c r="O654" s="62" t="str">
        <f aca="false">IF($B654="","",TEXT($A654,"YYYY-MM-DD")&amp;"|"&amp;$B654)</f>
        <v/>
      </c>
      <c r="P654" s="3"/>
      <c r="Q654" s="3"/>
      <c r="R654" s="3"/>
      <c r="S654" s="3"/>
      <c r="T654" s="3"/>
      <c r="U654" s="3"/>
      <c r="V654" s="3"/>
      <c r="W654" s="3"/>
      <c r="X654" s="3"/>
      <c r="Y654" s="3"/>
      <c r="Z654" s="3"/>
      <c r="AA654" s="3"/>
      <c r="AB654" s="3"/>
    </row>
    <row r="655" customFormat="false" ht="15" hidden="false" customHeight="false" outlineLevel="0" collapsed="false">
      <c r="A655" s="54"/>
      <c r="B655" s="52"/>
      <c r="C655" s="56"/>
      <c r="D655" s="56"/>
      <c r="E655" s="56"/>
      <c r="F655" s="56"/>
      <c r="G655" s="55"/>
      <c r="H655" s="56"/>
      <c r="I655" s="56"/>
      <c r="J655" s="56"/>
      <c r="K655" s="56"/>
      <c r="L655" s="56"/>
      <c r="M655" s="52"/>
      <c r="N655" s="53"/>
      <c r="O655" s="62" t="str">
        <f aca="false">IF($B655="","",TEXT($A655,"YYYY-MM-DD")&amp;"|"&amp;$B655)</f>
        <v/>
      </c>
      <c r="P655" s="3"/>
      <c r="Q655" s="3"/>
      <c r="R655" s="3"/>
      <c r="S655" s="3"/>
      <c r="T655" s="3"/>
      <c r="U655" s="3"/>
      <c r="V655" s="3"/>
      <c r="W655" s="3"/>
      <c r="X655" s="3"/>
      <c r="Y655" s="3"/>
      <c r="Z655" s="3"/>
      <c r="AA655" s="3"/>
      <c r="AB655" s="3"/>
    </row>
    <row r="656" customFormat="false" ht="15" hidden="false" customHeight="false" outlineLevel="0" collapsed="false">
      <c r="A656" s="48"/>
      <c r="B656" s="46"/>
      <c r="C656" s="50"/>
      <c r="D656" s="50"/>
      <c r="E656" s="50"/>
      <c r="F656" s="50"/>
      <c r="G656" s="49"/>
      <c r="H656" s="50"/>
      <c r="I656" s="50"/>
      <c r="J656" s="50"/>
      <c r="K656" s="50"/>
      <c r="L656" s="50"/>
      <c r="M656" s="46"/>
      <c r="N656" s="47"/>
      <c r="O656" s="62" t="str">
        <f aca="false">IF($B656="","",TEXT($A656,"YYYY-MM-DD")&amp;"|"&amp;$B656)</f>
        <v/>
      </c>
      <c r="P656" s="3"/>
      <c r="Q656" s="3"/>
      <c r="R656" s="3"/>
      <c r="S656" s="3"/>
      <c r="T656" s="3"/>
      <c r="U656" s="3"/>
      <c r="V656" s="3"/>
      <c r="W656" s="3"/>
      <c r="X656" s="3"/>
      <c r="Y656" s="3"/>
      <c r="Z656" s="3"/>
      <c r="AA656" s="3"/>
      <c r="AB656" s="3"/>
    </row>
    <row r="657" customFormat="false" ht="15" hidden="false" customHeight="false" outlineLevel="0" collapsed="false">
      <c r="A657" s="54"/>
      <c r="B657" s="52"/>
      <c r="C657" s="56"/>
      <c r="D657" s="56"/>
      <c r="E657" s="56"/>
      <c r="F657" s="56"/>
      <c r="G657" s="55"/>
      <c r="H657" s="56"/>
      <c r="I657" s="56"/>
      <c r="J657" s="56"/>
      <c r="K657" s="56"/>
      <c r="L657" s="56"/>
      <c r="M657" s="52"/>
      <c r="N657" s="53"/>
      <c r="O657" s="62" t="str">
        <f aca="false">IF($B657="","",TEXT($A657,"YYYY-MM-DD")&amp;"|"&amp;$B657)</f>
        <v/>
      </c>
      <c r="P657" s="3"/>
      <c r="Q657" s="3"/>
      <c r="R657" s="3"/>
      <c r="S657" s="3"/>
      <c r="T657" s="3"/>
      <c r="U657" s="3"/>
      <c r="V657" s="3"/>
      <c r="W657" s="3"/>
      <c r="X657" s="3"/>
      <c r="Y657" s="3"/>
      <c r="Z657" s="3"/>
      <c r="AA657" s="3"/>
      <c r="AB657" s="3"/>
    </row>
    <row r="658" customFormat="false" ht="15" hidden="false" customHeight="false" outlineLevel="0" collapsed="false">
      <c r="A658" s="48"/>
      <c r="B658" s="46"/>
      <c r="C658" s="50"/>
      <c r="D658" s="50"/>
      <c r="E658" s="50"/>
      <c r="F658" s="50"/>
      <c r="G658" s="49"/>
      <c r="H658" s="50"/>
      <c r="I658" s="50"/>
      <c r="J658" s="50"/>
      <c r="K658" s="50"/>
      <c r="L658" s="50"/>
      <c r="M658" s="46"/>
      <c r="N658" s="47"/>
      <c r="O658" s="62" t="str">
        <f aca="false">IF($B658="","",TEXT($A658,"YYYY-MM-DD")&amp;"|"&amp;$B658)</f>
        <v/>
      </c>
      <c r="P658" s="3"/>
      <c r="Q658" s="3"/>
      <c r="R658" s="3"/>
      <c r="S658" s="3"/>
      <c r="T658" s="3"/>
      <c r="U658" s="3"/>
      <c r="V658" s="3"/>
      <c r="W658" s="3"/>
      <c r="X658" s="3"/>
      <c r="Y658" s="3"/>
      <c r="Z658" s="3"/>
      <c r="AA658" s="3"/>
      <c r="AB658" s="3"/>
    </row>
    <row r="659" customFormat="false" ht="15" hidden="false" customHeight="false" outlineLevel="0" collapsed="false">
      <c r="A659" s="54"/>
      <c r="B659" s="52"/>
      <c r="C659" s="56"/>
      <c r="D659" s="56"/>
      <c r="E659" s="56"/>
      <c r="F659" s="56"/>
      <c r="G659" s="55"/>
      <c r="H659" s="56"/>
      <c r="I659" s="56"/>
      <c r="J659" s="56"/>
      <c r="K659" s="56"/>
      <c r="L659" s="56"/>
      <c r="M659" s="52"/>
      <c r="N659" s="53"/>
      <c r="O659" s="62" t="str">
        <f aca="false">IF($B659="","",TEXT($A659,"YYYY-MM-DD")&amp;"|"&amp;$B659)</f>
        <v/>
      </c>
      <c r="P659" s="3"/>
      <c r="Q659" s="3"/>
      <c r="R659" s="3"/>
      <c r="S659" s="3"/>
      <c r="T659" s="3"/>
      <c r="U659" s="3"/>
      <c r="V659" s="3"/>
      <c r="W659" s="3"/>
      <c r="X659" s="3"/>
      <c r="Y659" s="3"/>
      <c r="Z659" s="3"/>
      <c r="AA659" s="3"/>
      <c r="AB659" s="3"/>
    </row>
    <row r="660" customFormat="false" ht="15" hidden="false" customHeight="false" outlineLevel="0" collapsed="false">
      <c r="A660" s="48"/>
      <c r="B660" s="46"/>
      <c r="C660" s="50"/>
      <c r="D660" s="50"/>
      <c r="E660" s="50"/>
      <c r="F660" s="50"/>
      <c r="G660" s="49"/>
      <c r="H660" s="50"/>
      <c r="I660" s="50"/>
      <c r="J660" s="50"/>
      <c r="K660" s="50"/>
      <c r="L660" s="50"/>
      <c r="M660" s="46"/>
      <c r="N660" s="47"/>
      <c r="O660" s="62" t="str">
        <f aca="false">IF($B660="","",TEXT($A660,"YYYY-MM-DD")&amp;"|"&amp;$B660)</f>
        <v/>
      </c>
      <c r="P660" s="3"/>
      <c r="Q660" s="3"/>
      <c r="R660" s="3"/>
      <c r="S660" s="3"/>
      <c r="T660" s="3"/>
      <c r="U660" s="3"/>
      <c r="V660" s="3"/>
      <c r="W660" s="3"/>
      <c r="X660" s="3"/>
      <c r="Y660" s="3"/>
      <c r="Z660" s="3"/>
      <c r="AA660" s="3"/>
      <c r="AB660" s="3"/>
    </row>
    <row r="661" customFormat="false" ht="15" hidden="false" customHeight="false" outlineLevel="0" collapsed="false">
      <c r="A661" s="54"/>
      <c r="B661" s="52"/>
      <c r="C661" s="56"/>
      <c r="D661" s="56"/>
      <c r="E661" s="56"/>
      <c r="F661" s="56"/>
      <c r="G661" s="55"/>
      <c r="H661" s="56"/>
      <c r="I661" s="56"/>
      <c r="J661" s="56"/>
      <c r="K661" s="56"/>
      <c r="L661" s="56"/>
      <c r="M661" s="52"/>
      <c r="N661" s="53"/>
      <c r="O661" s="62" t="str">
        <f aca="false">IF($B661="","",TEXT($A661,"YYYY-MM-DD")&amp;"|"&amp;$B661)</f>
        <v/>
      </c>
      <c r="P661" s="3"/>
      <c r="Q661" s="3"/>
      <c r="R661" s="3"/>
      <c r="S661" s="3"/>
      <c r="T661" s="3"/>
      <c r="U661" s="3"/>
      <c r="V661" s="3"/>
      <c r="W661" s="3"/>
      <c r="X661" s="3"/>
      <c r="Y661" s="3"/>
      <c r="Z661" s="3"/>
      <c r="AA661" s="3"/>
      <c r="AB661" s="3"/>
    </row>
    <row r="662" customFormat="false" ht="15" hidden="false" customHeight="false" outlineLevel="0" collapsed="false">
      <c r="A662" s="48"/>
      <c r="B662" s="46"/>
      <c r="C662" s="50"/>
      <c r="D662" s="50"/>
      <c r="E662" s="50"/>
      <c r="F662" s="50"/>
      <c r="G662" s="49"/>
      <c r="H662" s="50"/>
      <c r="I662" s="50"/>
      <c r="J662" s="50"/>
      <c r="K662" s="50"/>
      <c r="L662" s="50"/>
      <c r="M662" s="46"/>
      <c r="N662" s="47"/>
      <c r="O662" s="62" t="str">
        <f aca="false">IF($B662="","",TEXT($A662,"YYYY-MM-DD")&amp;"|"&amp;$B662)</f>
        <v/>
      </c>
      <c r="P662" s="3"/>
      <c r="Q662" s="3"/>
      <c r="R662" s="3"/>
      <c r="S662" s="3"/>
      <c r="T662" s="3"/>
      <c r="U662" s="3"/>
      <c r="V662" s="3"/>
      <c r="W662" s="3"/>
      <c r="X662" s="3"/>
      <c r="Y662" s="3"/>
      <c r="Z662" s="3"/>
      <c r="AA662" s="3"/>
      <c r="AB662" s="3"/>
    </row>
    <row r="663" customFormat="false" ht="15" hidden="false" customHeight="false" outlineLevel="0" collapsed="false">
      <c r="A663" s="54"/>
      <c r="B663" s="52"/>
      <c r="C663" s="56"/>
      <c r="D663" s="56"/>
      <c r="E663" s="56"/>
      <c r="F663" s="56"/>
      <c r="G663" s="55"/>
      <c r="H663" s="56"/>
      <c r="I663" s="56"/>
      <c r="J663" s="56"/>
      <c r="K663" s="56"/>
      <c r="L663" s="56"/>
      <c r="M663" s="52"/>
      <c r="N663" s="53"/>
      <c r="O663" s="62" t="str">
        <f aca="false">IF($B663="","",TEXT($A663,"YYYY-MM-DD")&amp;"|"&amp;$B663)</f>
        <v/>
      </c>
      <c r="P663" s="3"/>
      <c r="Q663" s="3"/>
      <c r="R663" s="3"/>
      <c r="S663" s="3"/>
      <c r="T663" s="3"/>
      <c r="U663" s="3"/>
      <c r="V663" s="3"/>
      <c r="W663" s="3"/>
      <c r="X663" s="3"/>
      <c r="Y663" s="3"/>
      <c r="Z663" s="3"/>
      <c r="AA663" s="3"/>
      <c r="AB663" s="3"/>
    </row>
    <row r="664" customFormat="false" ht="15" hidden="false" customHeight="false" outlineLevel="0" collapsed="false">
      <c r="A664" s="48"/>
      <c r="B664" s="46"/>
      <c r="C664" s="50"/>
      <c r="D664" s="50"/>
      <c r="E664" s="50"/>
      <c r="F664" s="50"/>
      <c r="G664" s="49"/>
      <c r="H664" s="50"/>
      <c r="I664" s="50"/>
      <c r="J664" s="50"/>
      <c r="K664" s="50"/>
      <c r="L664" s="50"/>
      <c r="M664" s="46"/>
      <c r="N664" s="47"/>
      <c r="O664" s="62" t="str">
        <f aca="false">IF($B664="","",TEXT($A664,"YYYY-MM-DD")&amp;"|"&amp;$B664)</f>
        <v/>
      </c>
      <c r="P664" s="3"/>
      <c r="Q664" s="3"/>
      <c r="R664" s="3"/>
      <c r="S664" s="3"/>
      <c r="T664" s="3"/>
      <c r="U664" s="3"/>
      <c r="V664" s="3"/>
      <c r="W664" s="3"/>
      <c r="X664" s="3"/>
      <c r="Y664" s="3"/>
      <c r="Z664" s="3"/>
      <c r="AA664" s="3"/>
      <c r="AB664" s="3"/>
    </row>
    <row r="665" customFormat="false" ht="15" hidden="false" customHeight="false" outlineLevel="0" collapsed="false">
      <c r="A665" s="54"/>
      <c r="B665" s="52"/>
      <c r="C665" s="56"/>
      <c r="D665" s="56"/>
      <c r="E665" s="56"/>
      <c r="F665" s="56"/>
      <c r="G665" s="55"/>
      <c r="H665" s="56"/>
      <c r="I665" s="56"/>
      <c r="J665" s="56"/>
      <c r="K665" s="56"/>
      <c r="L665" s="56"/>
      <c r="M665" s="52"/>
      <c r="N665" s="53"/>
      <c r="O665" s="62" t="str">
        <f aca="false">IF($B665="","",TEXT($A665,"YYYY-MM-DD")&amp;"|"&amp;$B665)</f>
        <v/>
      </c>
      <c r="P665" s="3"/>
      <c r="Q665" s="3"/>
      <c r="R665" s="3"/>
      <c r="S665" s="3"/>
      <c r="T665" s="3"/>
      <c r="U665" s="3"/>
      <c r="V665" s="3"/>
      <c r="W665" s="3"/>
      <c r="X665" s="3"/>
      <c r="Y665" s="3"/>
      <c r="Z665" s="3"/>
      <c r="AA665" s="3"/>
      <c r="AB665" s="3"/>
    </row>
    <row r="666" customFormat="false" ht="15" hidden="false" customHeight="false" outlineLevel="0" collapsed="false">
      <c r="A666" s="48"/>
      <c r="B666" s="46"/>
      <c r="C666" s="50"/>
      <c r="D666" s="50"/>
      <c r="E666" s="50"/>
      <c r="F666" s="50"/>
      <c r="G666" s="49"/>
      <c r="H666" s="50"/>
      <c r="I666" s="50"/>
      <c r="J666" s="50"/>
      <c r="K666" s="50"/>
      <c r="L666" s="50"/>
      <c r="M666" s="46"/>
      <c r="N666" s="47"/>
      <c r="O666" s="62" t="str">
        <f aca="false">IF($B666="","",TEXT($A666,"YYYY-MM-DD")&amp;"|"&amp;$B666)</f>
        <v/>
      </c>
      <c r="P666" s="3"/>
      <c r="Q666" s="3"/>
      <c r="R666" s="3"/>
      <c r="S666" s="3"/>
      <c r="T666" s="3"/>
      <c r="U666" s="3"/>
      <c r="V666" s="3"/>
      <c r="W666" s="3"/>
      <c r="X666" s="3"/>
      <c r="Y666" s="3"/>
      <c r="Z666" s="3"/>
      <c r="AA666" s="3"/>
      <c r="AB666" s="3"/>
    </row>
    <row r="667" customFormat="false" ht="15" hidden="false" customHeight="false" outlineLevel="0" collapsed="false">
      <c r="A667" s="54"/>
      <c r="B667" s="52"/>
      <c r="C667" s="56"/>
      <c r="D667" s="56"/>
      <c r="E667" s="56"/>
      <c r="F667" s="56"/>
      <c r="G667" s="55"/>
      <c r="H667" s="56"/>
      <c r="I667" s="56"/>
      <c r="J667" s="56"/>
      <c r="K667" s="56"/>
      <c r="L667" s="56"/>
      <c r="M667" s="52"/>
      <c r="N667" s="53"/>
      <c r="O667" s="62" t="str">
        <f aca="false">IF($B667="","",TEXT($A667,"YYYY-MM-DD")&amp;"|"&amp;$B667)</f>
        <v/>
      </c>
      <c r="P667" s="3"/>
      <c r="Q667" s="3"/>
      <c r="R667" s="3"/>
      <c r="S667" s="3"/>
      <c r="T667" s="3"/>
      <c r="U667" s="3"/>
      <c r="V667" s="3"/>
      <c r="W667" s="3"/>
      <c r="X667" s="3"/>
      <c r="Y667" s="3"/>
      <c r="Z667" s="3"/>
      <c r="AA667" s="3"/>
      <c r="AB667" s="3"/>
    </row>
    <row r="668" customFormat="false" ht="15" hidden="false" customHeight="false" outlineLevel="0" collapsed="false">
      <c r="A668" s="48"/>
      <c r="B668" s="46"/>
      <c r="C668" s="50"/>
      <c r="D668" s="50"/>
      <c r="E668" s="50"/>
      <c r="F668" s="50"/>
      <c r="G668" s="49"/>
      <c r="H668" s="50"/>
      <c r="I668" s="50"/>
      <c r="J668" s="50"/>
      <c r="K668" s="50"/>
      <c r="L668" s="50"/>
      <c r="M668" s="46"/>
      <c r="N668" s="47"/>
      <c r="O668" s="62" t="str">
        <f aca="false">IF($B668="","",TEXT($A668,"YYYY-MM-DD")&amp;"|"&amp;$B668)</f>
        <v/>
      </c>
      <c r="P668" s="3"/>
      <c r="Q668" s="3"/>
      <c r="R668" s="3"/>
      <c r="S668" s="3"/>
      <c r="T668" s="3"/>
      <c r="U668" s="3"/>
      <c r="V668" s="3"/>
      <c r="W668" s="3"/>
      <c r="X668" s="3"/>
      <c r="Y668" s="3"/>
      <c r="Z668" s="3"/>
      <c r="AA668" s="3"/>
      <c r="AB668" s="3"/>
    </row>
    <row r="669" customFormat="false" ht="15" hidden="false" customHeight="false" outlineLevel="0" collapsed="false">
      <c r="A669" s="54"/>
      <c r="B669" s="52"/>
      <c r="C669" s="56"/>
      <c r="D669" s="56"/>
      <c r="E669" s="56"/>
      <c r="F669" s="56"/>
      <c r="G669" s="55"/>
      <c r="H669" s="56"/>
      <c r="I669" s="56"/>
      <c r="J669" s="56"/>
      <c r="K669" s="56"/>
      <c r="L669" s="56"/>
      <c r="M669" s="52"/>
      <c r="N669" s="53"/>
      <c r="O669" s="62" t="str">
        <f aca="false">IF($B669="","",TEXT($A669,"YYYY-MM-DD")&amp;"|"&amp;$B669)</f>
        <v/>
      </c>
      <c r="P669" s="3"/>
      <c r="Q669" s="3"/>
      <c r="R669" s="3"/>
      <c r="S669" s="3"/>
      <c r="T669" s="3"/>
      <c r="U669" s="3"/>
      <c r="V669" s="3"/>
      <c r="W669" s="3"/>
      <c r="X669" s="3"/>
      <c r="Y669" s="3"/>
      <c r="Z669" s="3"/>
      <c r="AA669" s="3"/>
      <c r="AB669" s="3"/>
    </row>
    <row r="670" customFormat="false" ht="15" hidden="false" customHeight="false" outlineLevel="0" collapsed="false">
      <c r="A670" s="48"/>
      <c r="B670" s="46"/>
      <c r="C670" s="50"/>
      <c r="D670" s="50"/>
      <c r="E670" s="50"/>
      <c r="F670" s="50"/>
      <c r="G670" s="49"/>
      <c r="H670" s="50"/>
      <c r="I670" s="50"/>
      <c r="J670" s="50"/>
      <c r="K670" s="50"/>
      <c r="L670" s="50"/>
      <c r="M670" s="46"/>
      <c r="N670" s="47"/>
      <c r="O670" s="62" t="str">
        <f aca="false">IF($B670="","",TEXT($A670,"YYYY-MM-DD")&amp;"|"&amp;$B670)</f>
        <v/>
      </c>
      <c r="P670" s="3"/>
      <c r="Q670" s="3"/>
      <c r="R670" s="3"/>
      <c r="S670" s="3"/>
      <c r="T670" s="3"/>
      <c r="U670" s="3"/>
      <c r="V670" s="3"/>
      <c r="W670" s="3"/>
      <c r="X670" s="3"/>
      <c r="Y670" s="3"/>
      <c r="Z670" s="3"/>
      <c r="AA670" s="3"/>
      <c r="AB670" s="3"/>
    </row>
    <row r="671" customFormat="false" ht="15" hidden="false" customHeight="false" outlineLevel="0" collapsed="false">
      <c r="A671" s="54"/>
      <c r="B671" s="52"/>
      <c r="C671" s="56"/>
      <c r="D671" s="56"/>
      <c r="E671" s="56"/>
      <c r="F671" s="56"/>
      <c r="G671" s="55"/>
      <c r="H671" s="56"/>
      <c r="I671" s="56"/>
      <c r="J671" s="56"/>
      <c r="K671" s="56"/>
      <c r="L671" s="56"/>
      <c r="M671" s="52"/>
      <c r="N671" s="53"/>
      <c r="O671" s="62" t="str">
        <f aca="false">IF($B671="","",TEXT($A671,"YYYY-MM-DD")&amp;"|"&amp;$B671)</f>
        <v/>
      </c>
      <c r="P671" s="3"/>
      <c r="Q671" s="3"/>
      <c r="R671" s="3"/>
      <c r="S671" s="3"/>
      <c r="T671" s="3"/>
      <c r="U671" s="3"/>
      <c r="V671" s="3"/>
      <c r="W671" s="3"/>
      <c r="X671" s="3"/>
      <c r="Y671" s="3"/>
      <c r="Z671" s="3"/>
      <c r="AA671" s="3"/>
      <c r="AB671" s="3"/>
    </row>
    <row r="672" customFormat="false" ht="15" hidden="false" customHeight="false" outlineLevel="0" collapsed="false">
      <c r="A672" s="48"/>
      <c r="B672" s="46"/>
      <c r="C672" s="50"/>
      <c r="D672" s="50"/>
      <c r="E672" s="50"/>
      <c r="F672" s="50"/>
      <c r="G672" s="49"/>
      <c r="H672" s="50"/>
      <c r="I672" s="50"/>
      <c r="J672" s="50"/>
      <c r="K672" s="50"/>
      <c r="L672" s="50"/>
      <c r="M672" s="46"/>
      <c r="N672" s="47"/>
      <c r="O672" s="62" t="str">
        <f aca="false">IF($B672="","",TEXT($A672,"YYYY-MM-DD")&amp;"|"&amp;$B672)</f>
        <v/>
      </c>
      <c r="P672" s="3"/>
      <c r="Q672" s="3"/>
      <c r="R672" s="3"/>
      <c r="S672" s="3"/>
      <c r="T672" s="3"/>
      <c r="U672" s="3"/>
      <c r="V672" s="3"/>
      <c r="W672" s="3"/>
      <c r="X672" s="3"/>
      <c r="Y672" s="3"/>
      <c r="Z672" s="3"/>
      <c r="AA672" s="3"/>
      <c r="AB672" s="3"/>
    </row>
    <row r="673" customFormat="false" ht="15" hidden="false" customHeight="false" outlineLevel="0" collapsed="false">
      <c r="A673" s="54"/>
      <c r="B673" s="52"/>
      <c r="C673" s="56"/>
      <c r="D673" s="56"/>
      <c r="E673" s="56"/>
      <c r="F673" s="56"/>
      <c r="G673" s="55"/>
      <c r="H673" s="56"/>
      <c r="I673" s="56"/>
      <c r="J673" s="56"/>
      <c r="K673" s="56"/>
      <c r="L673" s="56"/>
      <c r="M673" s="52"/>
      <c r="N673" s="53"/>
      <c r="O673" s="62" t="str">
        <f aca="false">IF($B673="","",TEXT($A673,"YYYY-MM-DD")&amp;"|"&amp;$B673)</f>
        <v/>
      </c>
      <c r="P673" s="3"/>
      <c r="Q673" s="3"/>
      <c r="R673" s="3"/>
      <c r="S673" s="3"/>
      <c r="T673" s="3"/>
      <c r="U673" s="3"/>
      <c r="V673" s="3"/>
      <c r="W673" s="3"/>
      <c r="X673" s="3"/>
      <c r="Y673" s="3"/>
      <c r="Z673" s="3"/>
      <c r="AA673" s="3"/>
      <c r="AB673" s="3"/>
    </row>
    <row r="674" customFormat="false" ht="15" hidden="false" customHeight="false" outlineLevel="0" collapsed="false">
      <c r="A674" s="48"/>
      <c r="B674" s="46"/>
      <c r="C674" s="50"/>
      <c r="D674" s="50"/>
      <c r="E674" s="50"/>
      <c r="F674" s="50"/>
      <c r="G674" s="49"/>
      <c r="H674" s="50"/>
      <c r="I674" s="50"/>
      <c r="J674" s="50"/>
      <c r="K674" s="50"/>
      <c r="L674" s="50"/>
      <c r="M674" s="46"/>
      <c r="N674" s="47"/>
      <c r="O674" s="62" t="str">
        <f aca="false">IF($B674="","",TEXT($A674,"YYYY-MM-DD")&amp;"|"&amp;$B674)</f>
        <v/>
      </c>
      <c r="P674" s="3"/>
      <c r="Q674" s="3"/>
      <c r="R674" s="3"/>
      <c r="S674" s="3"/>
      <c r="T674" s="3"/>
      <c r="U674" s="3"/>
      <c r="V674" s="3"/>
      <c r="W674" s="3"/>
      <c r="X674" s="3"/>
      <c r="Y674" s="3"/>
      <c r="Z674" s="3"/>
      <c r="AA674" s="3"/>
      <c r="AB674" s="3"/>
    </row>
    <row r="675" customFormat="false" ht="15" hidden="false" customHeight="false" outlineLevel="0" collapsed="false">
      <c r="A675" s="54"/>
      <c r="B675" s="52"/>
      <c r="C675" s="56"/>
      <c r="D675" s="56"/>
      <c r="E675" s="56"/>
      <c r="F675" s="56"/>
      <c r="G675" s="55"/>
      <c r="H675" s="56"/>
      <c r="I675" s="56"/>
      <c r="J675" s="56"/>
      <c r="K675" s="56"/>
      <c r="L675" s="56"/>
      <c r="M675" s="52"/>
      <c r="N675" s="53"/>
      <c r="O675" s="62" t="str">
        <f aca="false">IF($B675="","",TEXT($A675,"YYYY-MM-DD")&amp;"|"&amp;$B675)</f>
        <v/>
      </c>
      <c r="P675" s="3"/>
      <c r="Q675" s="3"/>
      <c r="R675" s="3"/>
      <c r="S675" s="3"/>
      <c r="T675" s="3"/>
      <c r="U675" s="3"/>
      <c r="V675" s="3"/>
      <c r="W675" s="3"/>
      <c r="X675" s="3"/>
      <c r="Y675" s="3"/>
      <c r="Z675" s="3"/>
      <c r="AA675" s="3"/>
      <c r="AB675" s="3"/>
    </row>
    <row r="676" customFormat="false" ht="15" hidden="false" customHeight="false" outlineLevel="0" collapsed="false">
      <c r="A676" s="48"/>
      <c r="B676" s="46"/>
      <c r="C676" s="50"/>
      <c r="D676" s="50"/>
      <c r="E676" s="50"/>
      <c r="F676" s="50"/>
      <c r="G676" s="49"/>
      <c r="H676" s="50"/>
      <c r="I676" s="50"/>
      <c r="J676" s="50"/>
      <c r="K676" s="50"/>
      <c r="L676" s="50"/>
      <c r="M676" s="46"/>
      <c r="N676" s="47"/>
      <c r="O676" s="62" t="str">
        <f aca="false">IF($B676="","",TEXT($A676,"YYYY-MM-DD")&amp;"|"&amp;$B676)</f>
        <v/>
      </c>
      <c r="P676" s="3"/>
      <c r="Q676" s="3"/>
      <c r="R676" s="3"/>
      <c r="S676" s="3"/>
      <c r="T676" s="3"/>
      <c r="U676" s="3"/>
      <c r="V676" s="3"/>
      <c r="W676" s="3"/>
      <c r="X676" s="3"/>
      <c r="Y676" s="3"/>
      <c r="Z676" s="3"/>
      <c r="AA676" s="3"/>
      <c r="AB676" s="3"/>
    </row>
    <row r="677" customFormat="false" ht="15" hidden="false" customHeight="false" outlineLevel="0" collapsed="false">
      <c r="A677" s="54"/>
      <c r="B677" s="52"/>
      <c r="C677" s="56"/>
      <c r="D677" s="56"/>
      <c r="E677" s="56"/>
      <c r="F677" s="56"/>
      <c r="G677" s="55"/>
      <c r="H677" s="56"/>
      <c r="I677" s="56"/>
      <c r="J677" s="56"/>
      <c r="K677" s="56"/>
      <c r="L677" s="56"/>
      <c r="M677" s="52"/>
      <c r="N677" s="53"/>
      <c r="O677" s="62" t="str">
        <f aca="false">IF($B677="","",TEXT($A677,"YYYY-MM-DD")&amp;"|"&amp;$B677)</f>
        <v/>
      </c>
      <c r="P677" s="3"/>
      <c r="Q677" s="3"/>
      <c r="R677" s="3"/>
      <c r="S677" s="3"/>
      <c r="T677" s="3"/>
      <c r="U677" s="3"/>
      <c r="V677" s="3"/>
      <c r="W677" s="3"/>
      <c r="X677" s="3"/>
      <c r="Y677" s="3"/>
      <c r="Z677" s="3"/>
      <c r="AA677" s="3"/>
      <c r="AB677" s="3"/>
    </row>
    <row r="678" customFormat="false" ht="15" hidden="false" customHeight="false" outlineLevel="0" collapsed="false">
      <c r="A678" s="48"/>
      <c r="B678" s="46"/>
      <c r="C678" s="50"/>
      <c r="D678" s="50"/>
      <c r="E678" s="50"/>
      <c r="F678" s="50"/>
      <c r="G678" s="49"/>
      <c r="H678" s="50"/>
      <c r="I678" s="50"/>
      <c r="J678" s="50"/>
      <c r="K678" s="50"/>
      <c r="L678" s="50"/>
      <c r="M678" s="46"/>
      <c r="N678" s="47"/>
      <c r="O678" s="62" t="str">
        <f aca="false">IF($B678="","",TEXT($A678,"YYYY-MM-DD")&amp;"|"&amp;$B678)</f>
        <v/>
      </c>
      <c r="P678" s="3"/>
      <c r="Q678" s="3"/>
      <c r="R678" s="3"/>
      <c r="S678" s="3"/>
      <c r="T678" s="3"/>
      <c r="U678" s="3"/>
      <c r="V678" s="3"/>
      <c r="W678" s="3"/>
      <c r="X678" s="3"/>
      <c r="Y678" s="3"/>
      <c r="Z678" s="3"/>
      <c r="AA678" s="3"/>
      <c r="AB678" s="3"/>
    </row>
    <row r="679" customFormat="false" ht="15" hidden="false" customHeight="false" outlineLevel="0" collapsed="false">
      <c r="A679" s="54"/>
      <c r="B679" s="52"/>
      <c r="C679" s="56"/>
      <c r="D679" s="56"/>
      <c r="E679" s="56"/>
      <c r="F679" s="56"/>
      <c r="G679" s="55"/>
      <c r="H679" s="56"/>
      <c r="I679" s="56"/>
      <c r="J679" s="56"/>
      <c r="K679" s="56"/>
      <c r="L679" s="56"/>
      <c r="M679" s="52"/>
      <c r="N679" s="53"/>
      <c r="O679" s="62" t="str">
        <f aca="false">IF($B679="","",TEXT($A679,"YYYY-MM-DD")&amp;"|"&amp;$B679)</f>
        <v/>
      </c>
      <c r="P679" s="3"/>
      <c r="Q679" s="3"/>
      <c r="R679" s="3"/>
      <c r="S679" s="3"/>
      <c r="T679" s="3"/>
      <c r="U679" s="3"/>
      <c r="V679" s="3"/>
      <c r="W679" s="3"/>
      <c r="X679" s="3"/>
      <c r="Y679" s="3"/>
      <c r="Z679" s="3"/>
      <c r="AA679" s="3"/>
      <c r="AB679" s="3"/>
    </row>
    <row r="680" customFormat="false" ht="15" hidden="false" customHeight="false" outlineLevel="0" collapsed="false">
      <c r="A680" s="48"/>
      <c r="B680" s="46"/>
      <c r="C680" s="50"/>
      <c r="D680" s="50"/>
      <c r="E680" s="50"/>
      <c r="F680" s="50"/>
      <c r="G680" s="49"/>
      <c r="H680" s="50"/>
      <c r="I680" s="50"/>
      <c r="J680" s="50"/>
      <c r="K680" s="50"/>
      <c r="L680" s="50"/>
      <c r="M680" s="46"/>
      <c r="N680" s="47"/>
      <c r="O680" s="62" t="str">
        <f aca="false">IF($B680="","",TEXT($A680,"YYYY-MM-DD")&amp;"|"&amp;$B680)</f>
        <v/>
      </c>
      <c r="P680" s="3"/>
      <c r="Q680" s="3"/>
      <c r="R680" s="3"/>
      <c r="S680" s="3"/>
      <c r="T680" s="3"/>
      <c r="U680" s="3"/>
      <c r="V680" s="3"/>
      <c r="W680" s="3"/>
      <c r="X680" s="3"/>
      <c r="Y680" s="3"/>
      <c r="Z680" s="3"/>
      <c r="AA680" s="3"/>
      <c r="AB680" s="3"/>
    </row>
    <row r="681" customFormat="false" ht="15" hidden="false" customHeight="false" outlineLevel="0" collapsed="false">
      <c r="A681" s="54"/>
      <c r="B681" s="52"/>
      <c r="C681" s="56"/>
      <c r="D681" s="56"/>
      <c r="E681" s="56"/>
      <c r="F681" s="56"/>
      <c r="G681" s="55"/>
      <c r="H681" s="56"/>
      <c r="I681" s="56"/>
      <c r="J681" s="56"/>
      <c r="K681" s="56"/>
      <c r="L681" s="56"/>
      <c r="M681" s="52"/>
      <c r="N681" s="53"/>
      <c r="O681" s="62" t="str">
        <f aca="false">IF($B681="","",TEXT($A681,"YYYY-MM-DD")&amp;"|"&amp;$B681)</f>
        <v/>
      </c>
      <c r="P681" s="3"/>
      <c r="Q681" s="3"/>
      <c r="R681" s="3"/>
      <c r="S681" s="3"/>
      <c r="T681" s="3"/>
      <c r="U681" s="3"/>
      <c r="V681" s="3"/>
      <c r="W681" s="3"/>
      <c r="X681" s="3"/>
      <c r="Y681" s="3"/>
      <c r="Z681" s="3"/>
      <c r="AA681" s="3"/>
      <c r="AB681" s="3"/>
    </row>
    <row r="682" customFormat="false" ht="15" hidden="false" customHeight="false" outlineLevel="0" collapsed="false">
      <c r="A682" s="48"/>
      <c r="B682" s="46"/>
      <c r="C682" s="50"/>
      <c r="D682" s="50"/>
      <c r="E682" s="50"/>
      <c r="F682" s="50"/>
      <c r="G682" s="49"/>
      <c r="H682" s="50"/>
      <c r="I682" s="50"/>
      <c r="J682" s="50"/>
      <c r="K682" s="50"/>
      <c r="L682" s="50"/>
      <c r="M682" s="46"/>
      <c r="N682" s="47"/>
      <c r="O682" s="62" t="str">
        <f aca="false">IF($B682="","",TEXT($A682,"YYYY-MM-DD")&amp;"|"&amp;$B682)</f>
        <v/>
      </c>
      <c r="P682" s="3"/>
      <c r="Q682" s="3"/>
      <c r="R682" s="3"/>
      <c r="S682" s="3"/>
      <c r="T682" s="3"/>
      <c r="U682" s="3"/>
      <c r="V682" s="3"/>
      <c r="W682" s="3"/>
      <c r="X682" s="3"/>
      <c r="Y682" s="3"/>
      <c r="Z682" s="3"/>
      <c r="AA682" s="3"/>
      <c r="AB682" s="3"/>
    </row>
    <row r="683" customFormat="false" ht="15" hidden="false" customHeight="false" outlineLevel="0" collapsed="false">
      <c r="A683" s="54"/>
      <c r="B683" s="52"/>
      <c r="C683" s="56"/>
      <c r="D683" s="56"/>
      <c r="E683" s="56"/>
      <c r="F683" s="56"/>
      <c r="G683" s="55"/>
      <c r="H683" s="56"/>
      <c r="I683" s="56"/>
      <c r="J683" s="56"/>
      <c r="K683" s="56"/>
      <c r="L683" s="56"/>
      <c r="M683" s="52"/>
      <c r="N683" s="53"/>
      <c r="O683" s="62" t="str">
        <f aca="false">IF($B683="","",TEXT($A683,"YYYY-MM-DD")&amp;"|"&amp;$B683)</f>
        <v/>
      </c>
      <c r="P683" s="3"/>
      <c r="Q683" s="3"/>
      <c r="R683" s="3"/>
      <c r="S683" s="3"/>
      <c r="T683" s="3"/>
      <c r="U683" s="3"/>
      <c r="V683" s="3"/>
      <c r="W683" s="3"/>
      <c r="X683" s="3"/>
      <c r="Y683" s="3"/>
      <c r="Z683" s="3"/>
      <c r="AA683" s="3"/>
      <c r="AB683" s="3"/>
    </row>
    <row r="684" customFormat="false" ht="15" hidden="false" customHeight="false" outlineLevel="0" collapsed="false">
      <c r="A684" s="48"/>
      <c r="B684" s="46"/>
      <c r="C684" s="50"/>
      <c r="D684" s="50"/>
      <c r="E684" s="50"/>
      <c r="F684" s="50"/>
      <c r="G684" s="49"/>
      <c r="H684" s="50"/>
      <c r="I684" s="50"/>
      <c r="J684" s="50"/>
      <c r="K684" s="50"/>
      <c r="L684" s="50"/>
      <c r="M684" s="46"/>
      <c r="N684" s="47"/>
      <c r="O684" s="62" t="str">
        <f aca="false">IF($B684="","",TEXT($A684,"YYYY-MM-DD")&amp;"|"&amp;$B684)</f>
        <v/>
      </c>
      <c r="P684" s="3"/>
      <c r="Q684" s="3"/>
      <c r="R684" s="3"/>
      <c r="S684" s="3"/>
      <c r="T684" s="3"/>
      <c r="U684" s="3"/>
      <c r="V684" s="3"/>
      <c r="W684" s="3"/>
      <c r="X684" s="3"/>
      <c r="Y684" s="3"/>
      <c r="Z684" s="3"/>
      <c r="AA684" s="3"/>
      <c r="AB684" s="3"/>
    </row>
    <row r="685" customFormat="false" ht="15" hidden="false" customHeight="false" outlineLevel="0" collapsed="false">
      <c r="A685" s="54"/>
      <c r="B685" s="52"/>
      <c r="C685" s="56"/>
      <c r="D685" s="56"/>
      <c r="E685" s="56"/>
      <c r="F685" s="56"/>
      <c r="G685" s="55"/>
      <c r="H685" s="56"/>
      <c r="I685" s="56"/>
      <c r="J685" s="56"/>
      <c r="K685" s="56"/>
      <c r="L685" s="56"/>
      <c r="M685" s="52"/>
      <c r="N685" s="53"/>
      <c r="O685" s="62" t="str">
        <f aca="false">IF($B685="","",TEXT($A685,"YYYY-MM-DD")&amp;"|"&amp;$B685)</f>
        <v/>
      </c>
      <c r="P685" s="3"/>
      <c r="Q685" s="3"/>
      <c r="R685" s="3"/>
      <c r="S685" s="3"/>
      <c r="T685" s="3"/>
      <c r="U685" s="3"/>
      <c r="V685" s="3"/>
      <c r="W685" s="3"/>
      <c r="X685" s="3"/>
      <c r="Y685" s="3"/>
      <c r="Z685" s="3"/>
      <c r="AA685" s="3"/>
      <c r="AB685" s="3"/>
    </row>
    <row r="686" customFormat="false" ht="15" hidden="false" customHeight="false" outlineLevel="0" collapsed="false">
      <c r="A686" s="48"/>
      <c r="B686" s="46"/>
      <c r="C686" s="50"/>
      <c r="D686" s="50"/>
      <c r="E686" s="50"/>
      <c r="F686" s="50"/>
      <c r="G686" s="49"/>
      <c r="H686" s="50"/>
      <c r="I686" s="50"/>
      <c r="J686" s="50"/>
      <c r="K686" s="50"/>
      <c r="L686" s="50"/>
      <c r="M686" s="46"/>
      <c r="N686" s="47"/>
      <c r="O686" s="62" t="str">
        <f aca="false">IF($B686="","",TEXT($A686,"YYYY-MM-DD")&amp;"|"&amp;$B686)</f>
        <v/>
      </c>
      <c r="P686" s="3"/>
      <c r="Q686" s="3"/>
      <c r="R686" s="3"/>
      <c r="S686" s="3"/>
      <c r="T686" s="3"/>
      <c r="U686" s="3"/>
      <c r="V686" s="3"/>
      <c r="W686" s="3"/>
      <c r="X686" s="3"/>
      <c r="Y686" s="3"/>
      <c r="Z686" s="3"/>
      <c r="AA686" s="3"/>
      <c r="AB686" s="3"/>
    </row>
    <row r="687" customFormat="false" ht="15" hidden="false" customHeight="false" outlineLevel="0" collapsed="false">
      <c r="A687" s="54"/>
      <c r="B687" s="52"/>
      <c r="C687" s="56"/>
      <c r="D687" s="56"/>
      <c r="E687" s="56"/>
      <c r="F687" s="56"/>
      <c r="G687" s="55"/>
      <c r="H687" s="56"/>
      <c r="I687" s="56"/>
      <c r="J687" s="56"/>
      <c r="K687" s="56"/>
      <c r="L687" s="56"/>
      <c r="M687" s="52"/>
      <c r="N687" s="53"/>
      <c r="O687" s="62" t="str">
        <f aca="false">IF($B687="","",TEXT($A687,"YYYY-MM-DD")&amp;"|"&amp;$B687)</f>
        <v/>
      </c>
      <c r="P687" s="3"/>
      <c r="Q687" s="3"/>
      <c r="R687" s="3"/>
      <c r="S687" s="3"/>
      <c r="T687" s="3"/>
      <c r="U687" s="3"/>
      <c r="V687" s="3"/>
      <c r="W687" s="3"/>
      <c r="X687" s="3"/>
      <c r="Y687" s="3"/>
      <c r="Z687" s="3"/>
      <c r="AA687" s="3"/>
      <c r="AB687" s="3"/>
    </row>
    <row r="688" customFormat="false" ht="15" hidden="false" customHeight="false" outlineLevel="0" collapsed="false">
      <c r="A688" s="48"/>
      <c r="B688" s="46"/>
      <c r="C688" s="50"/>
      <c r="D688" s="50"/>
      <c r="E688" s="50"/>
      <c r="F688" s="50"/>
      <c r="G688" s="49"/>
      <c r="H688" s="50"/>
      <c r="I688" s="50"/>
      <c r="J688" s="50"/>
      <c r="K688" s="50"/>
      <c r="L688" s="50"/>
      <c r="M688" s="46"/>
      <c r="N688" s="47"/>
      <c r="O688" s="62" t="str">
        <f aca="false">IF($B688="","",TEXT($A688,"YYYY-MM-DD")&amp;"|"&amp;$B688)</f>
        <v/>
      </c>
      <c r="P688" s="3"/>
      <c r="Q688" s="3"/>
      <c r="R688" s="3"/>
      <c r="S688" s="3"/>
      <c r="T688" s="3"/>
      <c r="U688" s="3"/>
      <c r="V688" s="3"/>
      <c r="W688" s="3"/>
      <c r="X688" s="3"/>
      <c r="Y688" s="3"/>
      <c r="Z688" s="3"/>
      <c r="AA688" s="3"/>
      <c r="AB688" s="3"/>
    </row>
    <row r="689" customFormat="false" ht="15" hidden="false" customHeight="false" outlineLevel="0" collapsed="false">
      <c r="A689" s="54"/>
      <c r="B689" s="52"/>
      <c r="C689" s="56"/>
      <c r="D689" s="56"/>
      <c r="E689" s="56"/>
      <c r="F689" s="56"/>
      <c r="G689" s="55"/>
      <c r="H689" s="56"/>
      <c r="I689" s="56"/>
      <c r="J689" s="56"/>
      <c r="K689" s="56"/>
      <c r="L689" s="56"/>
      <c r="M689" s="52"/>
      <c r="N689" s="53"/>
      <c r="O689" s="62" t="str">
        <f aca="false">IF($B689="","",TEXT($A689,"YYYY-MM-DD")&amp;"|"&amp;$B689)</f>
        <v/>
      </c>
      <c r="P689" s="3"/>
      <c r="Q689" s="3"/>
      <c r="R689" s="3"/>
      <c r="S689" s="3"/>
      <c r="T689" s="3"/>
      <c r="U689" s="3"/>
      <c r="V689" s="3"/>
      <c r="W689" s="3"/>
      <c r="X689" s="3"/>
      <c r="Y689" s="3"/>
      <c r="Z689" s="3"/>
      <c r="AA689" s="3"/>
      <c r="AB689" s="3"/>
    </row>
    <row r="690" customFormat="false" ht="15" hidden="false" customHeight="false" outlineLevel="0" collapsed="false">
      <c r="A690" s="48"/>
      <c r="B690" s="46"/>
      <c r="C690" s="50"/>
      <c r="D690" s="50"/>
      <c r="E690" s="50"/>
      <c r="F690" s="50"/>
      <c r="G690" s="49"/>
      <c r="H690" s="50"/>
      <c r="I690" s="50"/>
      <c r="J690" s="50"/>
      <c r="K690" s="50"/>
      <c r="L690" s="50"/>
      <c r="M690" s="46"/>
      <c r="N690" s="47"/>
      <c r="O690" s="62" t="str">
        <f aca="false">IF($B690="","",TEXT($A690,"YYYY-MM-DD")&amp;"|"&amp;$B690)</f>
        <v/>
      </c>
      <c r="P690" s="3"/>
      <c r="Q690" s="3"/>
      <c r="R690" s="3"/>
      <c r="S690" s="3"/>
      <c r="T690" s="3"/>
      <c r="U690" s="3"/>
      <c r="V690" s="3"/>
      <c r="W690" s="3"/>
      <c r="X690" s="3"/>
      <c r="Y690" s="3"/>
      <c r="Z690" s="3"/>
      <c r="AA690" s="3"/>
      <c r="AB690" s="3"/>
    </row>
    <row r="691" customFormat="false" ht="15" hidden="false" customHeight="false" outlineLevel="0" collapsed="false">
      <c r="A691" s="54"/>
      <c r="B691" s="52"/>
      <c r="C691" s="56"/>
      <c r="D691" s="56"/>
      <c r="E691" s="56"/>
      <c r="F691" s="56"/>
      <c r="G691" s="55"/>
      <c r="H691" s="56"/>
      <c r="I691" s="56"/>
      <c r="J691" s="56"/>
      <c r="K691" s="56"/>
      <c r="L691" s="56"/>
      <c r="M691" s="52"/>
      <c r="N691" s="53"/>
      <c r="O691" s="62" t="str">
        <f aca="false">IF($B691="","",TEXT($A691,"YYYY-MM-DD")&amp;"|"&amp;$B691)</f>
        <v/>
      </c>
      <c r="P691" s="3"/>
      <c r="Q691" s="3"/>
      <c r="R691" s="3"/>
      <c r="S691" s="3"/>
      <c r="T691" s="3"/>
      <c r="U691" s="3"/>
      <c r="V691" s="3"/>
      <c r="W691" s="3"/>
      <c r="X691" s="3"/>
      <c r="Y691" s="3"/>
      <c r="Z691" s="3"/>
      <c r="AA691" s="3"/>
      <c r="AB691" s="3"/>
    </row>
    <row r="692" customFormat="false" ht="15" hidden="false" customHeight="false" outlineLevel="0" collapsed="false">
      <c r="A692" s="48"/>
      <c r="B692" s="46"/>
      <c r="C692" s="50"/>
      <c r="D692" s="50"/>
      <c r="E692" s="50"/>
      <c r="F692" s="50"/>
      <c r="G692" s="49"/>
      <c r="H692" s="50"/>
      <c r="I692" s="50"/>
      <c r="J692" s="50"/>
      <c r="K692" s="50"/>
      <c r="L692" s="50"/>
      <c r="M692" s="46"/>
      <c r="N692" s="47"/>
      <c r="O692" s="62" t="str">
        <f aca="false">IF($B692="","",TEXT($A692,"YYYY-MM-DD")&amp;"|"&amp;$B692)</f>
        <v/>
      </c>
      <c r="P692" s="3"/>
      <c r="Q692" s="3"/>
      <c r="R692" s="3"/>
      <c r="S692" s="3"/>
      <c r="T692" s="3"/>
      <c r="U692" s="3"/>
      <c r="V692" s="3"/>
      <c r="W692" s="3"/>
      <c r="X692" s="3"/>
      <c r="Y692" s="3"/>
      <c r="Z692" s="3"/>
      <c r="AA692" s="3"/>
      <c r="AB692" s="3"/>
    </row>
    <row r="693" customFormat="false" ht="15" hidden="false" customHeight="false" outlineLevel="0" collapsed="false">
      <c r="A693" s="54"/>
      <c r="B693" s="52"/>
      <c r="C693" s="56"/>
      <c r="D693" s="56"/>
      <c r="E693" s="56"/>
      <c r="F693" s="56"/>
      <c r="G693" s="55"/>
      <c r="H693" s="56"/>
      <c r="I693" s="56"/>
      <c r="J693" s="56"/>
      <c r="K693" s="56"/>
      <c r="L693" s="56"/>
      <c r="M693" s="52"/>
      <c r="N693" s="53"/>
      <c r="O693" s="62" t="str">
        <f aca="false">IF($B693="","",TEXT($A693,"YYYY-MM-DD")&amp;"|"&amp;$B693)</f>
        <v/>
      </c>
      <c r="P693" s="3"/>
      <c r="Q693" s="3"/>
      <c r="R693" s="3"/>
      <c r="S693" s="3"/>
      <c r="T693" s="3"/>
      <c r="U693" s="3"/>
      <c r="V693" s="3"/>
      <c r="W693" s="3"/>
      <c r="X693" s="3"/>
      <c r="Y693" s="3"/>
      <c r="Z693" s="3"/>
      <c r="AA693" s="3"/>
      <c r="AB693" s="3"/>
    </row>
    <row r="694" customFormat="false" ht="15" hidden="false" customHeight="false" outlineLevel="0" collapsed="false">
      <c r="A694" s="48"/>
      <c r="B694" s="46"/>
      <c r="C694" s="50"/>
      <c r="D694" s="50"/>
      <c r="E694" s="50"/>
      <c r="F694" s="50"/>
      <c r="G694" s="49"/>
      <c r="H694" s="50"/>
      <c r="I694" s="50"/>
      <c r="J694" s="50"/>
      <c r="K694" s="50"/>
      <c r="L694" s="50"/>
      <c r="M694" s="46"/>
      <c r="N694" s="47"/>
      <c r="O694" s="62" t="str">
        <f aca="false">IF($B694="","",TEXT($A694,"YYYY-MM-DD")&amp;"|"&amp;$B694)</f>
        <v/>
      </c>
      <c r="P694" s="3"/>
      <c r="Q694" s="3"/>
      <c r="R694" s="3"/>
      <c r="S694" s="3"/>
      <c r="T694" s="3"/>
      <c r="U694" s="3"/>
      <c r="V694" s="3"/>
      <c r="W694" s="3"/>
      <c r="X694" s="3"/>
      <c r="Y694" s="3"/>
      <c r="Z694" s="3"/>
      <c r="AA694" s="3"/>
      <c r="AB694" s="3"/>
    </row>
    <row r="695" customFormat="false" ht="15" hidden="false" customHeight="false" outlineLevel="0" collapsed="false">
      <c r="A695" s="54"/>
      <c r="B695" s="52"/>
      <c r="C695" s="56"/>
      <c r="D695" s="56"/>
      <c r="E695" s="56"/>
      <c r="F695" s="56"/>
      <c r="G695" s="55"/>
      <c r="H695" s="56"/>
      <c r="I695" s="56"/>
      <c r="J695" s="56"/>
      <c r="K695" s="56"/>
      <c r="L695" s="56"/>
      <c r="M695" s="52"/>
      <c r="N695" s="53"/>
      <c r="O695" s="62" t="str">
        <f aca="false">IF($B695="","",TEXT($A695,"YYYY-MM-DD")&amp;"|"&amp;$B695)</f>
        <v/>
      </c>
      <c r="P695" s="3"/>
      <c r="Q695" s="3"/>
      <c r="R695" s="3"/>
      <c r="S695" s="3"/>
      <c r="T695" s="3"/>
      <c r="U695" s="3"/>
      <c r="V695" s="3"/>
      <c r="W695" s="3"/>
      <c r="X695" s="3"/>
      <c r="Y695" s="3"/>
      <c r="Z695" s="3"/>
      <c r="AA695" s="3"/>
      <c r="AB695" s="3"/>
    </row>
    <row r="696" customFormat="false" ht="15" hidden="false" customHeight="false" outlineLevel="0" collapsed="false">
      <c r="A696" s="48"/>
      <c r="B696" s="46"/>
      <c r="C696" s="50"/>
      <c r="D696" s="50"/>
      <c r="E696" s="50"/>
      <c r="F696" s="50"/>
      <c r="G696" s="49"/>
      <c r="H696" s="50"/>
      <c r="I696" s="50"/>
      <c r="J696" s="50"/>
      <c r="K696" s="50"/>
      <c r="L696" s="50"/>
      <c r="M696" s="46"/>
      <c r="N696" s="47"/>
      <c r="O696" s="62" t="str">
        <f aca="false">IF($B696="","",TEXT($A696,"YYYY-MM-DD")&amp;"|"&amp;$B696)</f>
        <v/>
      </c>
      <c r="P696" s="3"/>
      <c r="Q696" s="3"/>
      <c r="R696" s="3"/>
      <c r="S696" s="3"/>
      <c r="T696" s="3"/>
      <c r="U696" s="3"/>
      <c r="V696" s="3"/>
      <c r="W696" s="3"/>
      <c r="X696" s="3"/>
      <c r="Y696" s="3"/>
      <c r="Z696" s="3"/>
      <c r="AA696" s="3"/>
      <c r="AB696" s="3"/>
    </row>
    <row r="697" customFormat="false" ht="15" hidden="false" customHeight="false" outlineLevel="0" collapsed="false">
      <c r="A697" s="54"/>
      <c r="B697" s="52"/>
      <c r="C697" s="56"/>
      <c r="D697" s="56"/>
      <c r="E697" s="56"/>
      <c r="F697" s="56"/>
      <c r="G697" s="55"/>
      <c r="H697" s="56"/>
      <c r="I697" s="56"/>
      <c r="J697" s="56"/>
      <c r="K697" s="56"/>
      <c r="L697" s="56"/>
      <c r="M697" s="52"/>
      <c r="N697" s="53"/>
      <c r="O697" s="62" t="str">
        <f aca="false">IF($B697="","",TEXT($A697,"YYYY-MM-DD")&amp;"|"&amp;$B697)</f>
        <v/>
      </c>
      <c r="P697" s="3"/>
      <c r="Q697" s="3"/>
      <c r="R697" s="3"/>
      <c r="S697" s="3"/>
      <c r="T697" s="3"/>
      <c r="U697" s="3"/>
      <c r="V697" s="3"/>
      <c r="W697" s="3"/>
      <c r="X697" s="3"/>
      <c r="Y697" s="3"/>
      <c r="Z697" s="3"/>
      <c r="AA697" s="3"/>
      <c r="AB697" s="3"/>
    </row>
    <row r="698" customFormat="false" ht="15" hidden="false" customHeight="false" outlineLevel="0" collapsed="false">
      <c r="A698" s="48"/>
      <c r="B698" s="46"/>
      <c r="C698" s="50"/>
      <c r="D698" s="50"/>
      <c r="E698" s="50"/>
      <c r="F698" s="50"/>
      <c r="G698" s="49"/>
      <c r="H698" s="50"/>
      <c r="I698" s="50"/>
      <c r="J698" s="50"/>
      <c r="K698" s="50"/>
      <c r="L698" s="50"/>
      <c r="M698" s="46"/>
      <c r="N698" s="47"/>
      <c r="O698" s="62" t="str">
        <f aca="false">IF($B698="","",TEXT($A698,"YYYY-MM-DD")&amp;"|"&amp;$B698)</f>
        <v/>
      </c>
      <c r="P698" s="3"/>
      <c r="Q698" s="3"/>
      <c r="R698" s="3"/>
      <c r="S698" s="3"/>
      <c r="T698" s="3"/>
      <c r="U698" s="3"/>
      <c r="V698" s="3"/>
      <c r="W698" s="3"/>
      <c r="X698" s="3"/>
      <c r="Y698" s="3"/>
      <c r="Z698" s="3"/>
      <c r="AA698" s="3"/>
      <c r="AB698" s="3"/>
    </row>
    <row r="699" customFormat="false" ht="15" hidden="false" customHeight="false" outlineLevel="0" collapsed="false">
      <c r="A699" s="54"/>
      <c r="B699" s="52"/>
      <c r="C699" s="56"/>
      <c r="D699" s="56"/>
      <c r="E699" s="56"/>
      <c r="F699" s="56"/>
      <c r="G699" s="55"/>
      <c r="H699" s="56"/>
      <c r="I699" s="56"/>
      <c r="J699" s="56"/>
      <c r="K699" s="56"/>
      <c r="L699" s="56"/>
      <c r="M699" s="52"/>
      <c r="N699" s="53"/>
      <c r="O699" s="62" t="str">
        <f aca="false">IF($B699="","",TEXT($A699,"YYYY-MM-DD")&amp;"|"&amp;$B699)</f>
        <v/>
      </c>
      <c r="P699" s="3"/>
      <c r="Q699" s="3"/>
      <c r="R699" s="3"/>
      <c r="S699" s="3"/>
      <c r="T699" s="3"/>
      <c r="U699" s="3"/>
      <c r="V699" s="3"/>
      <c r="W699" s="3"/>
      <c r="X699" s="3"/>
      <c r="Y699" s="3"/>
      <c r="Z699" s="3"/>
      <c r="AA699" s="3"/>
      <c r="AB699" s="3"/>
    </row>
    <row r="700" customFormat="false" ht="15" hidden="false" customHeight="false" outlineLevel="0" collapsed="false">
      <c r="A700" s="48"/>
      <c r="B700" s="46"/>
      <c r="C700" s="50"/>
      <c r="D700" s="50"/>
      <c r="E700" s="50"/>
      <c r="F700" s="50"/>
      <c r="G700" s="49"/>
      <c r="H700" s="50"/>
      <c r="I700" s="50"/>
      <c r="J700" s="50"/>
      <c r="K700" s="50"/>
      <c r="L700" s="50"/>
      <c r="M700" s="46"/>
      <c r="N700" s="47"/>
      <c r="O700" s="62" t="str">
        <f aca="false">IF($B700="","",TEXT($A700,"YYYY-MM-DD")&amp;"|"&amp;$B700)</f>
        <v/>
      </c>
      <c r="P700" s="3"/>
      <c r="Q700" s="3"/>
      <c r="R700" s="3"/>
      <c r="S700" s="3"/>
      <c r="T700" s="3"/>
      <c r="U700" s="3"/>
      <c r="V700" s="3"/>
      <c r="W700" s="3"/>
      <c r="X700" s="3"/>
      <c r="Y700" s="3"/>
      <c r="Z700" s="3"/>
      <c r="AA700" s="3"/>
      <c r="AB700" s="3"/>
    </row>
    <row r="701" customFormat="false" ht="15" hidden="false" customHeight="false" outlineLevel="0" collapsed="false">
      <c r="A701" s="54"/>
      <c r="B701" s="52"/>
      <c r="C701" s="56"/>
      <c r="D701" s="56"/>
      <c r="E701" s="56"/>
      <c r="F701" s="56"/>
      <c r="G701" s="55"/>
      <c r="H701" s="56"/>
      <c r="I701" s="56"/>
      <c r="J701" s="56"/>
      <c r="K701" s="56"/>
      <c r="L701" s="56"/>
      <c r="M701" s="52"/>
      <c r="N701" s="53"/>
      <c r="O701" s="62" t="str">
        <f aca="false">IF($B701="","",TEXT($A701,"YYYY-MM-DD")&amp;"|"&amp;$B701)</f>
        <v/>
      </c>
      <c r="P701" s="3"/>
      <c r="Q701" s="3"/>
      <c r="R701" s="3"/>
      <c r="S701" s="3"/>
      <c r="T701" s="3"/>
      <c r="U701" s="3"/>
      <c r="V701" s="3"/>
      <c r="W701" s="3"/>
      <c r="X701" s="3"/>
      <c r="Y701" s="3"/>
      <c r="Z701" s="3"/>
      <c r="AA701" s="3"/>
      <c r="AB701" s="3"/>
    </row>
    <row r="702" customFormat="false" ht="15" hidden="false" customHeight="false" outlineLevel="0" collapsed="false">
      <c r="A702" s="48"/>
      <c r="B702" s="46"/>
      <c r="C702" s="50"/>
      <c r="D702" s="50"/>
      <c r="E702" s="50"/>
      <c r="F702" s="50"/>
      <c r="G702" s="49"/>
      <c r="H702" s="50"/>
      <c r="I702" s="50"/>
      <c r="J702" s="50"/>
      <c r="K702" s="50"/>
      <c r="L702" s="50"/>
      <c r="M702" s="46"/>
      <c r="N702" s="47"/>
      <c r="O702" s="62" t="str">
        <f aca="false">IF($B702="","",TEXT($A702,"YYYY-MM-DD")&amp;"|"&amp;$B702)</f>
        <v/>
      </c>
      <c r="P702" s="3"/>
      <c r="Q702" s="3"/>
      <c r="R702" s="3"/>
      <c r="S702" s="3"/>
      <c r="T702" s="3"/>
      <c r="U702" s="3"/>
      <c r="V702" s="3"/>
      <c r="W702" s="3"/>
      <c r="X702" s="3"/>
      <c r="Y702" s="3"/>
      <c r="Z702" s="3"/>
      <c r="AA702" s="3"/>
      <c r="AB702" s="3"/>
    </row>
    <row r="703" customFormat="false" ht="15" hidden="false" customHeight="false" outlineLevel="0" collapsed="false">
      <c r="A703" s="54"/>
      <c r="B703" s="52"/>
      <c r="C703" s="56"/>
      <c r="D703" s="56"/>
      <c r="E703" s="56"/>
      <c r="F703" s="56"/>
      <c r="G703" s="55"/>
      <c r="H703" s="56"/>
      <c r="I703" s="56"/>
      <c r="J703" s="56"/>
      <c r="K703" s="56"/>
      <c r="L703" s="56"/>
      <c r="M703" s="52"/>
      <c r="N703" s="53"/>
      <c r="O703" s="62" t="str">
        <f aca="false">IF($B703="","",TEXT($A703,"YYYY-MM-DD")&amp;"|"&amp;$B703)</f>
        <v/>
      </c>
      <c r="P703" s="3"/>
      <c r="Q703" s="3"/>
      <c r="R703" s="3"/>
      <c r="S703" s="3"/>
      <c r="T703" s="3"/>
      <c r="U703" s="3"/>
      <c r="V703" s="3"/>
      <c r="W703" s="3"/>
      <c r="X703" s="3"/>
      <c r="Y703" s="3"/>
      <c r="Z703" s="3"/>
      <c r="AA703" s="3"/>
      <c r="AB703" s="3"/>
    </row>
    <row r="704" customFormat="false" ht="15" hidden="false" customHeight="false" outlineLevel="0" collapsed="false">
      <c r="A704" s="48"/>
      <c r="B704" s="46"/>
      <c r="C704" s="50"/>
      <c r="D704" s="50"/>
      <c r="E704" s="50"/>
      <c r="F704" s="50"/>
      <c r="G704" s="49"/>
      <c r="H704" s="50"/>
      <c r="I704" s="50"/>
      <c r="J704" s="50"/>
      <c r="K704" s="50"/>
      <c r="L704" s="50"/>
      <c r="M704" s="46"/>
      <c r="N704" s="47"/>
      <c r="O704" s="62" t="str">
        <f aca="false">IF($B704="","",TEXT($A704,"YYYY-MM-DD")&amp;"|"&amp;$B704)</f>
        <v/>
      </c>
      <c r="P704" s="3"/>
      <c r="Q704" s="3"/>
      <c r="R704" s="3"/>
      <c r="S704" s="3"/>
      <c r="T704" s="3"/>
      <c r="U704" s="3"/>
      <c r="V704" s="3"/>
      <c r="W704" s="3"/>
      <c r="X704" s="3"/>
      <c r="Y704" s="3"/>
      <c r="Z704" s="3"/>
      <c r="AA704" s="3"/>
      <c r="AB704" s="3"/>
    </row>
    <row r="705" customFormat="false" ht="15" hidden="false" customHeight="false" outlineLevel="0" collapsed="false">
      <c r="A705" s="54"/>
      <c r="B705" s="52"/>
      <c r="C705" s="56"/>
      <c r="D705" s="56"/>
      <c r="E705" s="56"/>
      <c r="F705" s="56"/>
      <c r="G705" s="55"/>
      <c r="H705" s="56"/>
      <c r="I705" s="56"/>
      <c r="J705" s="56"/>
      <c r="K705" s="56"/>
      <c r="L705" s="56"/>
      <c r="M705" s="52"/>
      <c r="N705" s="53"/>
      <c r="O705" s="62" t="str">
        <f aca="false">IF($B705="","",TEXT($A705,"YYYY-MM-DD")&amp;"|"&amp;$B705)</f>
        <v/>
      </c>
      <c r="P705" s="3"/>
      <c r="Q705" s="3"/>
      <c r="R705" s="3"/>
      <c r="S705" s="3"/>
      <c r="T705" s="3"/>
      <c r="U705" s="3"/>
      <c r="V705" s="3"/>
      <c r="W705" s="3"/>
      <c r="X705" s="3"/>
      <c r="Y705" s="3"/>
      <c r="Z705" s="3"/>
      <c r="AA705" s="3"/>
      <c r="AB705" s="3"/>
    </row>
    <row r="706" customFormat="false" ht="15" hidden="false" customHeight="false" outlineLevel="0" collapsed="false">
      <c r="A706" s="48"/>
      <c r="B706" s="46"/>
      <c r="C706" s="50"/>
      <c r="D706" s="50"/>
      <c r="E706" s="50"/>
      <c r="F706" s="50"/>
      <c r="G706" s="49"/>
      <c r="H706" s="50"/>
      <c r="I706" s="50"/>
      <c r="J706" s="50"/>
      <c r="K706" s="50"/>
      <c r="L706" s="50"/>
      <c r="M706" s="46"/>
      <c r="N706" s="47"/>
      <c r="O706" s="62" t="str">
        <f aca="false">IF($B706="","",TEXT($A706,"YYYY-MM-DD")&amp;"|"&amp;$B706)</f>
        <v/>
      </c>
      <c r="P706" s="3"/>
      <c r="Q706" s="3"/>
      <c r="R706" s="3"/>
      <c r="S706" s="3"/>
      <c r="T706" s="3"/>
      <c r="U706" s="3"/>
      <c r="V706" s="3"/>
      <c r="W706" s="3"/>
      <c r="X706" s="3"/>
      <c r="Y706" s="3"/>
      <c r="Z706" s="3"/>
      <c r="AA706" s="3"/>
      <c r="AB706" s="3"/>
    </row>
    <row r="707" customFormat="false" ht="15" hidden="false" customHeight="false" outlineLevel="0" collapsed="false">
      <c r="A707" s="54"/>
      <c r="B707" s="52"/>
      <c r="C707" s="56"/>
      <c r="D707" s="56"/>
      <c r="E707" s="56"/>
      <c r="F707" s="56"/>
      <c r="G707" s="55"/>
      <c r="H707" s="56"/>
      <c r="I707" s="56"/>
      <c r="J707" s="56"/>
      <c r="K707" s="56"/>
      <c r="L707" s="56"/>
      <c r="M707" s="52"/>
      <c r="N707" s="53"/>
      <c r="O707" s="62" t="str">
        <f aca="false">IF($B707="","",TEXT($A707,"YYYY-MM-DD")&amp;"|"&amp;$B707)</f>
        <v/>
      </c>
      <c r="P707" s="3"/>
      <c r="Q707" s="3"/>
      <c r="R707" s="3"/>
      <c r="S707" s="3"/>
      <c r="T707" s="3"/>
      <c r="U707" s="3"/>
      <c r="V707" s="3"/>
      <c r="W707" s="3"/>
      <c r="X707" s="3"/>
      <c r="Y707" s="3"/>
      <c r="Z707" s="3"/>
      <c r="AA707" s="3"/>
      <c r="AB707" s="3"/>
    </row>
    <row r="708" customFormat="false" ht="15" hidden="false" customHeight="false" outlineLevel="0" collapsed="false">
      <c r="A708" s="48"/>
      <c r="B708" s="46"/>
      <c r="C708" s="50"/>
      <c r="D708" s="50"/>
      <c r="E708" s="50"/>
      <c r="F708" s="50"/>
      <c r="G708" s="49"/>
      <c r="H708" s="50"/>
      <c r="I708" s="50"/>
      <c r="J708" s="50"/>
      <c r="K708" s="50"/>
      <c r="L708" s="50"/>
      <c r="M708" s="46"/>
      <c r="N708" s="47"/>
      <c r="O708" s="62" t="str">
        <f aca="false">IF($B708="","",TEXT($A708,"YYYY-MM-DD")&amp;"|"&amp;$B708)</f>
        <v/>
      </c>
      <c r="P708" s="3"/>
      <c r="Q708" s="3"/>
      <c r="R708" s="3"/>
      <c r="S708" s="3"/>
      <c r="T708" s="3"/>
      <c r="U708" s="3"/>
      <c r="V708" s="3"/>
      <c r="W708" s="3"/>
      <c r="X708" s="3"/>
      <c r="Y708" s="3"/>
      <c r="Z708" s="3"/>
      <c r="AA708" s="3"/>
      <c r="AB708" s="3"/>
    </row>
    <row r="709" customFormat="false" ht="15" hidden="false" customHeight="false" outlineLevel="0" collapsed="false">
      <c r="A709" s="54"/>
      <c r="B709" s="52"/>
      <c r="C709" s="56"/>
      <c r="D709" s="56"/>
      <c r="E709" s="56"/>
      <c r="F709" s="56"/>
      <c r="G709" s="55"/>
      <c r="H709" s="56"/>
      <c r="I709" s="56"/>
      <c r="J709" s="56"/>
      <c r="K709" s="56"/>
      <c r="L709" s="56"/>
      <c r="M709" s="52"/>
      <c r="N709" s="53"/>
      <c r="O709" s="62" t="str">
        <f aca="false">IF($B709="","",TEXT($A709,"YYYY-MM-DD")&amp;"|"&amp;$B709)</f>
        <v/>
      </c>
      <c r="P709" s="3"/>
      <c r="Q709" s="3"/>
      <c r="R709" s="3"/>
      <c r="S709" s="3"/>
      <c r="T709" s="3"/>
      <c r="U709" s="3"/>
      <c r="V709" s="3"/>
      <c r="W709" s="3"/>
      <c r="X709" s="3"/>
      <c r="Y709" s="3"/>
      <c r="Z709" s="3"/>
      <c r="AA709" s="3"/>
      <c r="AB709" s="3"/>
    </row>
    <row r="710" customFormat="false" ht="15" hidden="false" customHeight="false" outlineLevel="0" collapsed="false">
      <c r="A710" s="48"/>
      <c r="B710" s="46"/>
      <c r="C710" s="50"/>
      <c r="D710" s="50"/>
      <c r="E710" s="50"/>
      <c r="F710" s="50"/>
      <c r="G710" s="49"/>
      <c r="H710" s="50"/>
      <c r="I710" s="50"/>
      <c r="J710" s="50"/>
      <c r="K710" s="50"/>
      <c r="L710" s="50"/>
      <c r="M710" s="46"/>
      <c r="N710" s="47"/>
      <c r="O710" s="62" t="str">
        <f aca="false">IF($B710="","",TEXT($A710,"YYYY-MM-DD")&amp;"|"&amp;$B710)</f>
        <v/>
      </c>
      <c r="P710" s="3"/>
      <c r="Q710" s="3"/>
      <c r="R710" s="3"/>
      <c r="S710" s="3"/>
      <c r="T710" s="3"/>
      <c r="U710" s="3"/>
      <c r="V710" s="3"/>
      <c r="W710" s="3"/>
      <c r="X710" s="3"/>
      <c r="Y710" s="3"/>
      <c r="Z710" s="3"/>
      <c r="AA710" s="3"/>
      <c r="AB710" s="3"/>
    </row>
    <row r="711" customFormat="false" ht="15" hidden="false" customHeight="false" outlineLevel="0" collapsed="false">
      <c r="A711" s="54"/>
      <c r="B711" s="52"/>
      <c r="C711" s="56"/>
      <c r="D711" s="56"/>
      <c r="E711" s="56"/>
      <c r="F711" s="56"/>
      <c r="G711" s="55"/>
      <c r="H711" s="56"/>
      <c r="I711" s="56"/>
      <c r="J711" s="56"/>
      <c r="K711" s="56"/>
      <c r="L711" s="56"/>
      <c r="M711" s="52"/>
      <c r="N711" s="53"/>
      <c r="O711" s="62" t="str">
        <f aca="false">IF($B711="","",TEXT($A711,"YYYY-MM-DD")&amp;"|"&amp;$B711)</f>
        <v/>
      </c>
      <c r="P711" s="3"/>
      <c r="Q711" s="3"/>
      <c r="R711" s="3"/>
      <c r="S711" s="3"/>
      <c r="T711" s="3"/>
      <c r="U711" s="3"/>
      <c r="V711" s="3"/>
      <c r="W711" s="3"/>
      <c r="X711" s="3"/>
      <c r="Y711" s="3"/>
      <c r="Z711" s="3"/>
      <c r="AA711" s="3"/>
      <c r="AB711" s="3"/>
    </row>
    <row r="712" customFormat="false" ht="15" hidden="false" customHeight="false" outlineLevel="0" collapsed="false">
      <c r="A712" s="48"/>
      <c r="B712" s="46"/>
      <c r="C712" s="50"/>
      <c r="D712" s="50"/>
      <c r="E712" s="50"/>
      <c r="F712" s="50"/>
      <c r="G712" s="49"/>
      <c r="H712" s="50"/>
      <c r="I712" s="50"/>
      <c r="J712" s="50"/>
      <c r="K712" s="50"/>
      <c r="L712" s="50"/>
      <c r="M712" s="46"/>
      <c r="N712" s="47"/>
      <c r="O712" s="62" t="str">
        <f aca="false">IF($B712="","",TEXT($A712,"YYYY-MM-DD")&amp;"|"&amp;$B712)</f>
        <v/>
      </c>
      <c r="P712" s="3"/>
      <c r="Q712" s="3"/>
      <c r="R712" s="3"/>
      <c r="S712" s="3"/>
      <c r="T712" s="3"/>
      <c r="U712" s="3"/>
      <c r="V712" s="3"/>
      <c r="W712" s="3"/>
      <c r="X712" s="3"/>
      <c r="Y712" s="3"/>
      <c r="Z712" s="3"/>
      <c r="AA712" s="3"/>
      <c r="AB712" s="3"/>
    </row>
    <row r="713" customFormat="false" ht="15" hidden="false" customHeight="false" outlineLevel="0" collapsed="false">
      <c r="A713" s="54"/>
      <c r="B713" s="52"/>
      <c r="C713" s="56"/>
      <c r="D713" s="56"/>
      <c r="E713" s="56"/>
      <c r="F713" s="56"/>
      <c r="G713" s="55"/>
      <c r="H713" s="56"/>
      <c r="I713" s="56"/>
      <c r="J713" s="56"/>
      <c r="K713" s="56"/>
      <c r="L713" s="56"/>
      <c r="M713" s="52"/>
      <c r="N713" s="53"/>
      <c r="O713" s="62" t="str">
        <f aca="false">IF($B713="","",TEXT($A713,"YYYY-MM-DD")&amp;"|"&amp;$B713)</f>
        <v/>
      </c>
      <c r="P713" s="3"/>
      <c r="Q713" s="3"/>
      <c r="R713" s="3"/>
      <c r="S713" s="3"/>
      <c r="T713" s="3"/>
      <c r="U713" s="3"/>
      <c r="V713" s="3"/>
      <c r="W713" s="3"/>
      <c r="X713" s="3"/>
      <c r="Y713" s="3"/>
      <c r="Z713" s="3"/>
      <c r="AA713" s="3"/>
      <c r="AB713" s="3"/>
    </row>
    <row r="714" customFormat="false" ht="15" hidden="false" customHeight="false" outlineLevel="0" collapsed="false">
      <c r="A714" s="48"/>
      <c r="B714" s="46"/>
      <c r="C714" s="50"/>
      <c r="D714" s="50"/>
      <c r="E714" s="50"/>
      <c r="F714" s="50"/>
      <c r="G714" s="49"/>
      <c r="H714" s="50"/>
      <c r="I714" s="50"/>
      <c r="J714" s="50"/>
      <c r="K714" s="50"/>
      <c r="L714" s="50"/>
      <c r="M714" s="46"/>
      <c r="N714" s="47"/>
      <c r="O714" s="62" t="str">
        <f aca="false">IF($B714="","",TEXT($A714,"YYYY-MM-DD")&amp;"|"&amp;$B714)</f>
        <v/>
      </c>
      <c r="P714" s="3"/>
      <c r="Q714" s="3"/>
      <c r="R714" s="3"/>
      <c r="S714" s="3"/>
      <c r="T714" s="3"/>
      <c r="U714" s="3"/>
      <c r="V714" s="3"/>
      <c r="W714" s="3"/>
      <c r="X714" s="3"/>
      <c r="Y714" s="3"/>
      <c r="Z714" s="3"/>
      <c r="AA714" s="3"/>
      <c r="AB714" s="3"/>
    </row>
    <row r="715" customFormat="false" ht="15" hidden="false" customHeight="false" outlineLevel="0" collapsed="false">
      <c r="A715" s="54"/>
      <c r="B715" s="52"/>
      <c r="C715" s="56"/>
      <c r="D715" s="56"/>
      <c r="E715" s="56"/>
      <c r="F715" s="56"/>
      <c r="G715" s="55"/>
      <c r="H715" s="56"/>
      <c r="I715" s="56"/>
      <c r="J715" s="56"/>
      <c r="K715" s="56"/>
      <c r="L715" s="56"/>
      <c r="M715" s="52"/>
      <c r="N715" s="53"/>
      <c r="O715" s="62" t="str">
        <f aca="false">IF($B715="","",TEXT($A715,"YYYY-MM-DD")&amp;"|"&amp;$B715)</f>
        <v/>
      </c>
      <c r="P715" s="3"/>
      <c r="Q715" s="3"/>
      <c r="R715" s="3"/>
      <c r="S715" s="3"/>
      <c r="T715" s="3"/>
      <c r="U715" s="3"/>
      <c r="V715" s="3"/>
      <c r="W715" s="3"/>
      <c r="X715" s="3"/>
      <c r="Y715" s="3"/>
      <c r="Z715" s="3"/>
      <c r="AA715" s="3"/>
      <c r="AB715" s="3"/>
    </row>
    <row r="716" customFormat="false" ht="15" hidden="false" customHeight="false" outlineLevel="0" collapsed="false">
      <c r="A716" s="48"/>
      <c r="B716" s="46"/>
      <c r="C716" s="50"/>
      <c r="D716" s="50"/>
      <c r="E716" s="50"/>
      <c r="F716" s="50"/>
      <c r="G716" s="49"/>
      <c r="H716" s="50"/>
      <c r="I716" s="50"/>
      <c r="J716" s="50"/>
      <c r="K716" s="50"/>
      <c r="L716" s="50"/>
      <c r="M716" s="46"/>
      <c r="N716" s="47"/>
      <c r="O716" s="62" t="str">
        <f aca="false">IF($B716="","",TEXT($A716,"YYYY-MM-DD")&amp;"|"&amp;$B716)</f>
        <v/>
      </c>
      <c r="P716" s="3"/>
      <c r="Q716" s="3"/>
      <c r="R716" s="3"/>
      <c r="S716" s="3"/>
      <c r="T716" s="3"/>
      <c r="U716" s="3"/>
      <c r="V716" s="3"/>
      <c r="W716" s="3"/>
      <c r="X716" s="3"/>
      <c r="Y716" s="3"/>
      <c r="Z716" s="3"/>
      <c r="AA716" s="3"/>
      <c r="AB716" s="3"/>
    </row>
    <row r="717" customFormat="false" ht="15" hidden="false" customHeight="false" outlineLevel="0" collapsed="false">
      <c r="A717" s="54"/>
      <c r="B717" s="52"/>
      <c r="C717" s="56"/>
      <c r="D717" s="56"/>
      <c r="E717" s="56"/>
      <c r="F717" s="56"/>
      <c r="G717" s="55"/>
      <c r="H717" s="56"/>
      <c r="I717" s="56"/>
      <c r="J717" s="56"/>
      <c r="K717" s="56"/>
      <c r="L717" s="56"/>
      <c r="M717" s="52"/>
      <c r="N717" s="53"/>
      <c r="O717" s="62" t="str">
        <f aca="false">IF($B717="","",TEXT($A717,"YYYY-MM-DD")&amp;"|"&amp;$B717)</f>
        <v/>
      </c>
      <c r="P717" s="3"/>
      <c r="Q717" s="3"/>
      <c r="R717" s="3"/>
      <c r="S717" s="3"/>
      <c r="T717" s="3"/>
      <c r="U717" s="3"/>
      <c r="V717" s="3"/>
      <c r="W717" s="3"/>
      <c r="X717" s="3"/>
      <c r="Y717" s="3"/>
      <c r="Z717" s="3"/>
      <c r="AA717" s="3"/>
      <c r="AB717" s="3"/>
    </row>
    <row r="718" customFormat="false" ht="15" hidden="false" customHeight="false" outlineLevel="0" collapsed="false">
      <c r="A718" s="48"/>
      <c r="B718" s="46"/>
      <c r="C718" s="50"/>
      <c r="D718" s="50"/>
      <c r="E718" s="50"/>
      <c r="F718" s="50"/>
      <c r="G718" s="49"/>
      <c r="H718" s="50"/>
      <c r="I718" s="50"/>
      <c r="J718" s="50"/>
      <c r="K718" s="50"/>
      <c r="L718" s="50"/>
      <c r="M718" s="46"/>
      <c r="N718" s="47"/>
      <c r="O718" s="62" t="str">
        <f aca="false">IF($B718="","",TEXT($A718,"YYYY-MM-DD")&amp;"|"&amp;$B718)</f>
        <v/>
      </c>
      <c r="P718" s="3"/>
      <c r="Q718" s="3"/>
      <c r="R718" s="3"/>
      <c r="S718" s="3"/>
      <c r="T718" s="3"/>
      <c r="U718" s="3"/>
      <c r="V718" s="3"/>
      <c r="W718" s="3"/>
      <c r="X718" s="3"/>
      <c r="Y718" s="3"/>
      <c r="Z718" s="3"/>
      <c r="AA718" s="3"/>
      <c r="AB718" s="3"/>
    </row>
    <row r="719" customFormat="false" ht="15" hidden="false" customHeight="false" outlineLevel="0" collapsed="false">
      <c r="A719" s="54"/>
      <c r="B719" s="52"/>
      <c r="C719" s="56"/>
      <c r="D719" s="56"/>
      <c r="E719" s="56"/>
      <c r="F719" s="56"/>
      <c r="G719" s="55"/>
      <c r="H719" s="56"/>
      <c r="I719" s="56"/>
      <c r="J719" s="56"/>
      <c r="K719" s="56"/>
      <c r="L719" s="56"/>
      <c r="M719" s="52"/>
      <c r="N719" s="53"/>
      <c r="O719" s="62" t="str">
        <f aca="false">IF($B719="","",TEXT($A719,"YYYY-MM-DD")&amp;"|"&amp;$B719)</f>
        <v/>
      </c>
      <c r="P719" s="3"/>
      <c r="Q719" s="3"/>
      <c r="R719" s="3"/>
      <c r="S719" s="3"/>
      <c r="T719" s="3"/>
      <c r="U719" s="3"/>
      <c r="V719" s="3"/>
      <c r="W719" s="3"/>
      <c r="X719" s="3"/>
      <c r="Y719" s="3"/>
      <c r="Z719" s="3"/>
      <c r="AA719" s="3"/>
      <c r="AB719" s="3"/>
    </row>
    <row r="720" customFormat="false" ht="15" hidden="false" customHeight="false" outlineLevel="0" collapsed="false">
      <c r="A720" s="48"/>
      <c r="B720" s="46"/>
      <c r="C720" s="50"/>
      <c r="D720" s="50"/>
      <c r="E720" s="50"/>
      <c r="F720" s="50"/>
      <c r="G720" s="49"/>
      <c r="H720" s="50"/>
      <c r="I720" s="50"/>
      <c r="J720" s="50"/>
      <c r="K720" s="50"/>
      <c r="L720" s="50"/>
      <c r="M720" s="46"/>
      <c r="N720" s="47"/>
      <c r="O720" s="62" t="str">
        <f aca="false">IF($B720="","",TEXT($A720,"YYYY-MM-DD")&amp;"|"&amp;$B720)</f>
        <v/>
      </c>
      <c r="P720" s="3"/>
      <c r="Q720" s="3"/>
      <c r="R720" s="3"/>
      <c r="S720" s="3"/>
      <c r="T720" s="3"/>
      <c r="U720" s="3"/>
      <c r="V720" s="3"/>
      <c r="W720" s="3"/>
      <c r="X720" s="3"/>
      <c r="Y720" s="3"/>
      <c r="Z720" s="3"/>
      <c r="AA720" s="3"/>
      <c r="AB720" s="3"/>
    </row>
    <row r="721" customFormat="false" ht="15" hidden="false" customHeight="false" outlineLevel="0" collapsed="false">
      <c r="A721" s="54"/>
      <c r="B721" s="52"/>
      <c r="C721" s="56"/>
      <c r="D721" s="56"/>
      <c r="E721" s="56"/>
      <c r="F721" s="56"/>
      <c r="G721" s="55"/>
      <c r="H721" s="56"/>
      <c r="I721" s="56"/>
      <c r="J721" s="56"/>
      <c r="K721" s="56"/>
      <c r="L721" s="56"/>
      <c r="M721" s="52"/>
      <c r="N721" s="53"/>
      <c r="O721" s="62" t="str">
        <f aca="false">IF($B721="","",TEXT($A721,"YYYY-MM-DD")&amp;"|"&amp;$B721)</f>
        <v/>
      </c>
      <c r="P721" s="3"/>
      <c r="Q721" s="3"/>
      <c r="R721" s="3"/>
      <c r="S721" s="3"/>
      <c r="T721" s="3"/>
      <c r="U721" s="3"/>
      <c r="V721" s="3"/>
      <c r="W721" s="3"/>
      <c r="X721" s="3"/>
      <c r="Y721" s="3"/>
      <c r="Z721" s="3"/>
      <c r="AA721" s="3"/>
      <c r="AB721" s="3"/>
    </row>
    <row r="722" customFormat="false" ht="15" hidden="false" customHeight="false" outlineLevel="0" collapsed="false">
      <c r="A722" s="48"/>
      <c r="B722" s="46"/>
      <c r="C722" s="50"/>
      <c r="D722" s="50"/>
      <c r="E722" s="50"/>
      <c r="F722" s="50"/>
      <c r="G722" s="49"/>
      <c r="H722" s="50"/>
      <c r="I722" s="50"/>
      <c r="J722" s="50"/>
      <c r="K722" s="50"/>
      <c r="L722" s="50"/>
      <c r="M722" s="46"/>
      <c r="N722" s="47"/>
      <c r="O722" s="62" t="str">
        <f aca="false">IF($B722="","",TEXT($A722,"YYYY-MM-DD")&amp;"|"&amp;$B722)</f>
        <v/>
      </c>
      <c r="P722" s="3"/>
      <c r="Q722" s="3"/>
      <c r="R722" s="3"/>
      <c r="S722" s="3"/>
      <c r="T722" s="3"/>
      <c r="U722" s="3"/>
      <c r="V722" s="3"/>
      <c r="W722" s="3"/>
      <c r="X722" s="3"/>
      <c r="Y722" s="3"/>
      <c r="Z722" s="3"/>
      <c r="AA722" s="3"/>
      <c r="AB722" s="3"/>
    </row>
    <row r="723" customFormat="false" ht="15" hidden="false" customHeight="false" outlineLevel="0" collapsed="false">
      <c r="A723" s="54"/>
      <c r="B723" s="52"/>
      <c r="C723" s="56"/>
      <c r="D723" s="56"/>
      <c r="E723" s="56"/>
      <c r="F723" s="56"/>
      <c r="G723" s="55"/>
      <c r="H723" s="56"/>
      <c r="I723" s="56"/>
      <c r="J723" s="56"/>
      <c r="K723" s="56"/>
      <c r="L723" s="56"/>
      <c r="M723" s="52"/>
      <c r="N723" s="53"/>
      <c r="O723" s="62" t="str">
        <f aca="false">IF($B723="","",TEXT($A723,"YYYY-MM-DD")&amp;"|"&amp;$B723)</f>
        <v/>
      </c>
      <c r="P723" s="3"/>
      <c r="Q723" s="3"/>
      <c r="R723" s="3"/>
      <c r="S723" s="3"/>
      <c r="T723" s="3"/>
      <c r="U723" s="3"/>
      <c r="V723" s="3"/>
      <c r="W723" s="3"/>
      <c r="X723" s="3"/>
      <c r="Y723" s="3"/>
      <c r="Z723" s="3"/>
      <c r="AA723" s="3"/>
      <c r="AB723" s="3"/>
    </row>
    <row r="724" customFormat="false" ht="15" hidden="false" customHeight="false" outlineLevel="0" collapsed="false">
      <c r="A724" s="48"/>
      <c r="B724" s="46"/>
      <c r="C724" s="50"/>
      <c r="D724" s="50"/>
      <c r="E724" s="50"/>
      <c r="F724" s="50"/>
      <c r="G724" s="49"/>
      <c r="H724" s="50"/>
      <c r="I724" s="50"/>
      <c r="J724" s="50"/>
      <c r="K724" s="50"/>
      <c r="L724" s="50"/>
      <c r="M724" s="46"/>
      <c r="N724" s="47"/>
      <c r="O724" s="62" t="str">
        <f aca="false">IF($B724="","",TEXT($A724,"YYYY-MM-DD")&amp;"|"&amp;$B724)</f>
        <v/>
      </c>
      <c r="P724" s="3"/>
      <c r="Q724" s="3"/>
      <c r="R724" s="3"/>
      <c r="S724" s="3"/>
      <c r="T724" s="3"/>
      <c r="U724" s="3"/>
      <c r="V724" s="3"/>
      <c r="W724" s="3"/>
      <c r="X724" s="3"/>
      <c r="Y724" s="3"/>
      <c r="Z724" s="3"/>
      <c r="AA724" s="3"/>
      <c r="AB724" s="3"/>
    </row>
    <row r="725" customFormat="false" ht="15" hidden="false" customHeight="false" outlineLevel="0" collapsed="false">
      <c r="A725" s="54"/>
      <c r="B725" s="52"/>
      <c r="C725" s="56"/>
      <c r="D725" s="56"/>
      <c r="E725" s="56"/>
      <c r="F725" s="56"/>
      <c r="G725" s="55"/>
      <c r="H725" s="56"/>
      <c r="I725" s="56"/>
      <c r="J725" s="56"/>
      <c r="K725" s="56"/>
      <c r="L725" s="56"/>
      <c r="M725" s="52"/>
      <c r="N725" s="53"/>
      <c r="O725" s="62" t="str">
        <f aca="false">IF($B725="","",TEXT($A725,"YYYY-MM-DD")&amp;"|"&amp;$B725)</f>
        <v/>
      </c>
      <c r="P725" s="3"/>
      <c r="Q725" s="3"/>
      <c r="R725" s="3"/>
      <c r="S725" s="3"/>
      <c r="T725" s="3"/>
      <c r="U725" s="3"/>
      <c r="V725" s="3"/>
      <c r="W725" s="3"/>
      <c r="X725" s="3"/>
      <c r="Y725" s="3"/>
      <c r="Z725" s="3"/>
      <c r="AA725" s="3"/>
      <c r="AB725" s="3"/>
    </row>
    <row r="726" customFormat="false" ht="15" hidden="false" customHeight="false" outlineLevel="0" collapsed="false">
      <c r="A726" s="48"/>
      <c r="B726" s="46"/>
      <c r="C726" s="50"/>
      <c r="D726" s="50"/>
      <c r="E726" s="50"/>
      <c r="F726" s="50"/>
      <c r="G726" s="49"/>
      <c r="H726" s="50"/>
      <c r="I726" s="50"/>
      <c r="J726" s="50"/>
      <c r="K726" s="50"/>
      <c r="L726" s="50"/>
      <c r="M726" s="46"/>
      <c r="N726" s="47"/>
      <c r="O726" s="62" t="str">
        <f aca="false">IF($B726="","",TEXT($A726,"YYYY-MM-DD")&amp;"|"&amp;$B726)</f>
        <v/>
      </c>
      <c r="P726" s="3"/>
      <c r="Q726" s="3"/>
      <c r="R726" s="3"/>
      <c r="S726" s="3"/>
      <c r="T726" s="3"/>
      <c r="U726" s="3"/>
      <c r="V726" s="3"/>
      <c r="W726" s="3"/>
      <c r="X726" s="3"/>
      <c r="Y726" s="3"/>
      <c r="Z726" s="3"/>
      <c r="AA726" s="3"/>
      <c r="AB726" s="3"/>
    </row>
    <row r="727" customFormat="false" ht="15" hidden="false" customHeight="false" outlineLevel="0" collapsed="false">
      <c r="A727" s="54"/>
      <c r="B727" s="52"/>
      <c r="C727" s="56"/>
      <c r="D727" s="56"/>
      <c r="E727" s="56"/>
      <c r="F727" s="56"/>
      <c r="G727" s="55"/>
      <c r="H727" s="56"/>
      <c r="I727" s="56"/>
      <c r="J727" s="56"/>
      <c r="K727" s="56"/>
      <c r="L727" s="56"/>
      <c r="M727" s="52"/>
      <c r="N727" s="53"/>
      <c r="O727" s="62" t="str">
        <f aca="false">IF($B727="","",TEXT($A727,"YYYY-MM-DD")&amp;"|"&amp;$B727)</f>
        <v/>
      </c>
      <c r="P727" s="3"/>
      <c r="Q727" s="3"/>
      <c r="R727" s="3"/>
      <c r="S727" s="3"/>
      <c r="T727" s="3"/>
      <c r="U727" s="3"/>
      <c r="V727" s="3"/>
      <c r="W727" s="3"/>
      <c r="X727" s="3"/>
      <c r="Y727" s="3"/>
      <c r="Z727" s="3"/>
      <c r="AA727" s="3"/>
      <c r="AB727" s="3"/>
    </row>
    <row r="728" customFormat="false" ht="15" hidden="false" customHeight="false" outlineLevel="0" collapsed="false">
      <c r="A728" s="48"/>
      <c r="B728" s="46"/>
      <c r="C728" s="50"/>
      <c r="D728" s="50"/>
      <c r="E728" s="50"/>
      <c r="F728" s="50"/>
      <c r="G728" s="49"/>
      <c r="H728" s="50"/>
      <c r="I728" s="50"/>
      <c r="J728" s="50"/>
      <c r="K728" s="50"/>
      <c r="L728" s="50"/>
      <c r="M728" s="46"/>
      <c r="N728" s="47"/>
      <c r="O728" s="62" t="str">
        <f aca="false">IF($B728="","",TEXT($A728,"YYYY-MM-DD")&amp;"|"&amp;$B728)</f>
        <v/>
      </c>
      <c r="P728" s="3"/>
      <c r="Q728" s="3"/>
      <c r="R728" s="3"/>
      <c r="S728" s="3"/>
      <c r="T728" s="3"/>
      <c r="U728" s="3"/>
      <c r="V728" s="3"/>
      <c r="W728" s="3"/>
      <c r="X728" s="3"/>
      <c r="Y728" s="3"/>
      <c r="Z728" s="3"/>
      <c r="AA728" s="3"/>
      <c r="AB728" s="3"/>
    </row>
    <row r="729" customFormat="false" ht="15" hidden="false" customHeight="false" outlineLevel="0" collapsed="false">
      <c r="A729" s="54"/>
      <c r="B729" s="52"/>
      <c r="C729" s="56"/>
      <c r="D729" s="56"/>
      <c r="E729" s="56"/>
      <c r="F729" s="56"/>
      <c r="G729" s="55"/>
      <c r="H729" s="56"/>
      <c r="I729" s="56"/>
      <c r="J729" s="56"/>
      <c r="K729" s="56"/>
      <c r="L729" s="56"/>
      <c r="M729" s="52"/>
      <c r="N729" s="53"/>
      <c r="O729" s="62" t="str">
        <f aca="false">IF($B729="","",TEXT($A729,"YYYY-MM-DD")&amp;"|"&amp;$B729)</f>
        <v/>
      </c>
      <c r="P729" s="3"/>
      <c r="Q729" s="3"/>
      <c r="R729" s="3"/>
      <c r="S729" s="3"/>
      <c r="T729" s="3"/>
      <c r="U729" s="3"/>
      <c r="V729" s="3"/>
      <c r="W729" s="3"/>
      <c r="X729" s="3"/>
      <c r="Y729" s="3"/>
      <c r="Z729" s="3"/>
      <c r="AA729" s="3"/>
      <c r="AB729" s="3"/>
    </row>
    <row r="730" customFormat="false" ht="15" hidden="false" customHeight="false" outlineLevel="0" collapsed="false">
      <c r="A730" s="48"/>
      <c r="B730" s="46"/>
      <c r="C730" s="50"/>
      <c r="D730" s="50"/>
      <c r="E730" s="50"/>
      <c r="F730" s="50"/>
      <c r="G730" s="49"/>
      <c r="H730" s="50"/>
      <c r="I730" s="50"/>
      <c r="J730" s="50"/>
      <c r="K730" s="50"/>
      <c r="L730" s="50"/>
      <c r="M730" s="46"/>
      <c r="N730" s="47"/>
      <c r="O730" s="62" t="str">
        <f aca="false">IF($B730="","",TEXT($A730,"YYYY-MM-DD")&amp;"|"&amp;$B730)</f>
        <v/>
      </c>
      <c r="P730" s="3"/>
      <c r="Q730" s="3"/>
      <c r="R730" s="3"/>
      <c r="S730" s="3"/>
      <c r="T730" s="3"/>
      <c r="U730" s="3"/>
      <c r="V730" s="3"/>
      <c r="W730" s="3"/>
      <c r="X730" s="3"/>
      <c r="Y730" s="3"/>
      <c r="Z730" s="3"/>
      <c r="AA730" s="3"/>
      <c r="AB730" s="3"/>
    </row>
    <row r="731" customFormat="false" ht="15" hidden="false" customHeight="false" outlineLevel="0" collapsed="false">
      <c r="A731" s="54"/>
      <c r="B731" s="52"/>
      <c r="C731" s="56"/>
      <c r="D731" s="56"/>
      <c r="E731" s="56"/>
      <c r="F731" s="56"/>
      <c r="G731" s="55"/>
      <c r="H731" s="56"/>
      <c r="I731" s="56"/>
      <c r="J731" s="56"/>
      <c r="K731" s="56"/>
      <c r="L731" s="56"/>
      <c r="M731" s="52"/>
      <c r="N731" s="53"/>
      <c r="O731" s="62" t="str">
        <f aca="false">IF($B731="","",TEXT($A731,"YYYY-MM-DD")&amp;"|"&amp;$B731)</f>
        <v/>
      </c>
      <c r="P731" s="3"/>
      <c r="Q731" s="3"/>
      <c r="R731" s="3"/>
      <c r="S731" s="3"/>
      <c r="T731" s="3"/>
      <c r="U731" s="3"/>
      <c r="V731" s="3"/>
      <c r="W731" s="3"/>
      <c r="X731" s="3"/>
      <c r="Y731" s="3"/>
      <c r="Z731" s="3"/>
      <c r="AA731" s="3"/>
      <c r="AB731" s="3"/>
    </row>
    <row r="732" customFormat="false" ht="15" hidden="false" customHeight="false" outlineLevel="0" collapsed="false">
      <c r="A732" s="48"/>
      <c r="B732" s="46"/>
      <c r="C732" s="50"/>
      <c r="D732" s="50"/>
      <c r="E732" s="50"/>
      <c r="F732" s="50"/>
      <c r="G732" s="49"/>
      <c r="H732" s="50"/>
      <c r="I732" s="50"/>
      <c r="J732" s="50"/>
      <c r="K732" s="50"/>
      <c r="L732" s="50"/>
      <c r="M732" s="46"/>
      <c r="N732" s="47"/>
      <c r="O732" s="62" t="str">
        <f aca="false">IF($B732="","",TEXT($A732,"YYYY-MM-DD")&amp;"|"&amp;$B732)</f>
        <v/>
      </c>
      <c r="P732" s="3"/>
      <c r="Q732" s="3"/>
      <c r="R732" s="3"/>
      <c r="S732" s="3"/>
      <c r="T732" s="3"/>
      <c r="U732" s="3"/>
      <c r="V732" s="3"/>
      <c r="W732" s="3"/>
      <c r="X732" s="3"/>
      <c r="Y732" s="3"/>
      <c r="Z732" s="3"/>
      <c r="AA732" s="3"/>
      <c r="AB732" s="3"/>
    </row>
    <row r="733" customFormat="false" ht="15" hidden="false" customHeight="false" outlineLevel="0" collapsed="false">
      <c r="A733" s="54"/>
      <c r="B733" s="52"/>
      <c r="C733" s="56"/>
      <c r="D733" s="56"/>
      <c r="E733" s="56"/>
      <c r="F733" s="56"/>
      <c r="G733" s="55"/>
      <c r="H733" s="56"/>
      <c r="I733" s="56"/>
      <c r="J733" s="56"/>
      <c r="K733" s="56"/>
      <c r="L733" s="56"/>
      <c r="M733" s="52"/>
      <c r="N733" s="53"/>
      <c r="O733" s="62" t="str">
        <f aca="false">IF($B733="","",TEXT($A733,"YYYY-MM-DD")&amp;"|"&amp;$B733)</f>
        <v/>
      </c>
      <c r="P733" s="3"/>
      <c r="Q733" s="3"/>
      <c r="R733" s="3"/>
      <c r="S733" s="3"/>
      <c r="T733" s="3"/>
      <c r="U733" s="3"/>
      <c r="V733" s="3"/>
      <c r="W733" s="3"/>
      <c r="X733" s="3"/>
      <c r="Y733" s="3"/>
      <c r="Z733" s="3"/>
      <c r="AA733" s="3"/>
      <c r="AB733" s="3"/>
    </row>
    <row r="734" customFormat="false" ht="15" hidden="false" customHeight="false" outlineLevel="0" collapsed="false">
      <c r="A734" s="48"/>
      <c r="B734" s="46"/>
      <c r="C734" s="50"/>
      <c r="D734" s="50"/>
      <c r="E734" s="50"/>
      <c r="F734" s="50"/>
      <c r="G734" s="49"/>
      <c r="H734" s="50"/>
      <c r="I734" s="50"/>
      <c r="J734" s="50"/>
      <c r="K734" s="50"/>
      <c r="L734" s="50"/>
      <c r="M734" s="46"/>
      <c r="N734" s="47"/>
      <c r="O734" s="62" t="str">
        <f aca="false">IF($B734="","",TEXT($A734,"YYYY-MM-DD")&amp;"|"&amp;$B734)</f>
        <v/>
      </c>
      <c r="P734" s="3"/>
      <c r="Q734" s="3"/>
      <c r="R734" s="3"/>
      <c r="S734" s="3"/>
      <c r="T734" s="3"/>
      <c r="U734" s="3"/>
      <c r="V734" s="3"/>
      <c r="W734" s="3"/>
      <c r="X734" s="3"/>
      <c r="Y734" s="3"/>
      <c r="Z734" s="3"/>
      <c r="AA734" s="3"/>
      <c r="AB734" s="3"/>
    </row>
    <row r="735" customFormat="false" ht="15" hidden="false" customHeight="false" outlineLevel="0" collapsed="false">
      <c r="A735" s="54"/>
      <c r="B735" s="52"/>
      <c r="C735" s="56"/>
      <c r="D735" s="56"/>
      <c r="E735" s="56"/>
      <c r="F735" s="56"/>
      <c r="G735" s="55"/>
      <c r="H735" s="56"/>
      <c r="I735" s="56"/>
      <c r="J735" s="56"/>
      <c r="K735" s="56"/>
      <c r="L735" s="56"/>
      <c r="M735" s="52"/>
      <c r="N735" s="53"/>
      <c r="O735" s="62" t="str">
        <f aca="false">IF($B735="","",TEXT($A735,"YYYY-MM-DD")&amp;"|"&amp;$B735)</f>
        <v/>
      </c>
      <c r="P735" s="3"/>
      <c r="Q735" s="3"/>
      <c r="R735" s="3"/>
      <c r="S735" s="3"/>
      <c r="T735" s="3"/>
      <c r="U735" s="3"/>
      <c r="V735" s="3"/>
      <c r="W735" s="3"/>
      <c r="X735" s="3"/>
      <c r="Y735" s="3"/>
      <c r="Z735" s="3"/>
      <c r="AA735" s="3"/>
      <c r="AB735" s="3"/>
    </row>
    <row r="736" customFormat="false" ht="15" hidden="false" customHeight="false" outlineLevel="0" collapsed="false">
      <c r="A736" s="48"/>
      <c r="B736" s="46"/>
      <c r="C736" s="50"/>
      <c r="D736" s="50"/>
      <c r="E736" s="50"/>
      <c r="F736" s="50"/>
      <c r="G736" s="49"/>
      <c r="H736" s="50"/>
      <c r="I736" s="50"/>
      <c r="J736" s="50"/>
      <c r="K736" s="50"/>
      <c r="L736" s="50"/>
      <c r="M736" s="46"/>
      <c r="N736" s="47"/>
      <c r="O736" s="62" t="str">
        <f aca="false">IF($B736="","",TEXT($A736,"YYYY-MM-DD")&amp;"|"&amp;$B736)</f>
        <v/>
      </c>
      <c r="P736" s="3"/>
      <c r="Q736" s="3"/>
      <c r="R736" s="3"/>
      <c r="S736" s="3"/>
      <c r="T736" s="3"/>
      <c r="U736" s="3"/>
      <c r="V736" s="3"/>
      <c r="W736" s="3"/>
      <c r="X736" s="3"/>
      <c r="Y736" s="3"/>
      <c r="Z736" s="3"/>
      <c r="AA736" s="3"/>
      <c r="AB736" s="3"/>
    </row>
    <row r="737" customFormat="false" ht="15" hidden="false" customHeight="false" outlineLevel="0" collapsed="false">
      <c r="A737" s="54"/>
      <c r="B737" s="52"/>
      <c r="C737" s="56"/>
      <c r="D737" s="56"/>
      <c r="E737" s="56"/>
      <c r="F737" s="56"/>
      <c r="G737" s="55"/>
      <c r="H737" s="56"/>
      <c r="I737" s="56"/>
      <c r="J737" s="56"/>
      <c r="K737" s="56"/>
      <c r="L737" s="56"/>
      <c r="M737" s="52"/>
      <c r="N737" s="53"/>
      <c r="O737" s="62" t="str">
        <f aca="false">IF($B737="","",TEXT($A737,"YYYY-MM-DD")&amp;"|"&amp;$B737)</f>
        <v/>
      </c>
      <c r="P737" s="3"/>
      <c r="Q737" s="3"/>
      <c r="R737" s="3"/>
      <c r="S737" s="3"/>
      <c r="T737" s="3"/>
      <c r="U737" s="3"/>
      <c r="V737" s="3"/>
      <c r="W737" s="3"/>
      <c r="X737" s="3"/>
      <c r="Y737" s="3"/>
      <c r="Z737" s="3"/>
      <c r="AA737" s="3"/>
      <c r="AB737" s="3"/>
    </row>
    <row r="738" customFormat="false" ht="15" hidden="false" customHeight="false" outlineLevel="0" collapsed="false">
      <c r="A738" s="48"/>
      <c r="B738" s="46"/>
      <c r="C738" s="50"/>
      <c r="D738" s="50"/>
      <c r="E738" s="50"/>
      <c r="F738" s="50"/>
      <c r="G738" s="49"/>
      <c r="H738" s="50"/>
      <c r="I738" s="50"/>
      <c r="J738" s="50"/>
      <c r="K738" s="50"/>
      <c r="L738" s="50"/>
      <c r="M738" s="46"/>
      <c r="N738" s="47"/>
      <c r="O738" s="62" t="str">
        <f aca="false">IF($B738="","",TEXT($A738,"YYYY-MM-DD")&amp;"|"&amp;$B738)</f>
        <v/>
      </c>
      <c r="P738" s="3"/>
      <c r="Q738" s="3"/>
      <c r="R738" s="3"/>
      <c r="S738" s="3"/>
      <c r="T738" s="3"/>
      <c r="U738" s="3"/>
      <c r="V738" s="3"/>
      <c r="W738" s="3"/>
      <c r="X738" s="3"/>
      <c r="Y738" s="3"/>
      <c r="Z738" s="3"/>
      <c r="AA738" s="3"/>
      <c r="AB738" s="3"/>
    </row>
    <row r="739" customFormat="false" ht="15" hidden="false" customHeight="false" outlineLevel="0" collapsed="false">
      <c r="A739" s="54"/>
      <c r="B739" s="52"/>
      <c r="C739" s="56"/>
      <c r="D739" s="56"/>
      <c r="E739" s="56"/>
      <c r="F739" s="56"/>
      <c r="G739" s="55"/>
      <c r="H739" s="56"/>
      <c r="I739" s="56"/>
      <c r="J739" s="56"/>
      <c r="K739" s="56"/>
      <c r="L739" s="56"/>
      <c r="M739" s="52"/>
      <c r="N739" s="53"/>
      <c r="O739" s="62" t="str">
        <f aca="false">IF($B739="","",TEXT($A739,"YYYY-MM-DD")&amp;"|"&amp;$B739)</f>
        <v/>
      </c>
      <c r="P739" s="3"/>
      <c r="Q739" s="3"/>
      <c r="R739" s="3"/>
      <c r="S739" s="3"/>
      <c r="T739" s="3"/>
      <c r="U739" s="3"/>
      <c r="V739" s="3"/>
      <c r="W739" s="3"/>
      <c r="X739" s="3"/>
      <c r="Y739" s="3"/>
      <c r="Z739" s="3"/>
      <c r="AA739" s="3"/>
      <c r="AB739" s="3"/>
    </row>
    <row r="740" customFormat="false" ht="15" hidden="false" customHeight="false" outlineLevel="0" collapsed="false">
      <c r="A740" s="48"/>
      <c r="B740" s="46"/>
      <c r="C740" s="50"/>
      <c r="D740" s="50"/>
      <c r="E740" s="50"/>
      <c r="F740" s="50"/>
      <c r="G740" s="49"/>
      <c r="H740" s="50"/>
      <c r="I740" s="50"/>
      <c r="J740" s="50"/>
      <c r="K740" s="50"/>
      <c r="L740" s="50"/>
      <c r="M740" s="46"/>
      <c r="N740" s="47"/>
      <c r="O740" s="62" t="str">
        <f aca="false">IF($B740="","",TEXT($A740,"YYYY-MM-DD")&amp;"|"&amp;$B740)</f>
        <v/>
      </c>
      <c r="P740" s="3"/>
      <c r="Q740" s="3"/>
      <c r="R740" s="3"/>
      <c r="S740" s="3"/>
      <c r="T740" s="3"/>
      <c r="U740" s="3"/>
      <c r="V740" s="3"/>
      <c r="W740" s="3"/>
      <c r="X740" s="3"/>
      <c r="Y740" s="3"/>
      <c r="Z740" s="3"/>
      <c r="AA740" s="3"/>
      <c r="AB740" s="3"/>
    </row>
    <row r="741" customFormat="false" ht="15" hidden="false" customHeight="false" outlineLevel="0" collapsed="false">
      <c r="A741" s="54"/>
      <c r="B741" s="52"/>
      <c r="C741" s="56"/>
      <c r="D741" s="56"/>
      <c r="E741" s="56"/>
      <c r="F741" s="56"/>
      <c r="G741" s="55"/>
      <c r="H741" s="56"/>
      <c r="I741" s="56"/>
      <c r="J741" s="56"/>
      <c r="K741" s="56"/>
      <c r="L741" s="56"/>
      <c r="M741" s="52"/>
      <c r="N741" s="53"/>
      <c r="O741" s="62" t="str">
        <f aca="false">IF($B741="","",TEXT($A741,"YYYY-MM-DD")&amp;"|"&amp;$B741)</f>
        <v/>
      </c>
      <c r="P741" s="3"/>
      <c r="Q741" s="3"/>
      <c r="R741" s="3"/>
      <c r="S741" s="3"/>
      <c r="T741" s="3"/>
      <c r="U741" s="3"/>
      <c r="V741" s="3"/>
      <c r="W741" s="3"/>
      <c r="X741" s="3"/>
      <c r="Y741" s="3"/>
      <c r="Z741" s="3"/>
      <c r="AA741" s="3"/>
      <c r="AB741" s="3"/>
    </row>
    <row r="742" customFormat="false" ht="15" hidden="false" customHeight="false" outlineLevel="0" collapsed="false">
      <c r="A742" s="48"/>
      <c r="B742" s="46"/>
      <c r="C742" s="50"/>
      <c r="D742" s="50"/>
      <c r="E742" s="50"/>
      <c r="F742" s="50"/>
      <c r="G742" s="49"/>
      <c r="H742" s="50"/>
      <c r="I742" s="50"/>
      <c r="J742" s="50"/>
      <c r="K742" s="50"/>
      <c r="L742" s="50"/>
      <c r="M742" s="46"/>
      <c r="N742" s="47"/>
      <c r="O742" s="62" t="str">
        <f aca="false">IF($B742="","",TEXT($A742,"YYYY-MM-DD")&amp;"|"&amp;$B742)</f>
        <v/>
      </c>
      <c r="P742" s="3"/>
      <c r="Q742" s="3"/>
      <c r="R742" s="3"/>
      <c r="S742" s="3"/>
      <c r="T742" s="3"/>
      <c r="U742" s="3"/>
      <c r="V742" s="3"/>
      <c r="W742" s="3"/>
      <c r="X742" s="3"/>
      <c r="Y742" s="3"/>
      <c r="Z742" s="3"/>
      <c r="AA742" s="3"/>
      <c r="AB742" s="3"/>
    </row>
    <row r="743" customFormat="false" ht="15" hidden="false" customHeight="false" outlineLevel="0" collapsed="false">
      <c r="A743" s="54"/>
      <c r="B743" s="52"/>
      <c r="C743" s="56"/>
      <c r="D743" s="56"/>
      <c r="E743" s="56"/>
      <c r="F743" s="56"/>
      <c r="G743" s="55"/>
      <c r="H743" s="56"/>
      <c r="I743" s="56"/>
      <c r="J743" s="56"/>
      <c r="K743" s="56"/>
      <c r="L743" s="56"/>
      <c r="M743" s="52"/>
      <c r="N743" s="53"/>
      <c r="O743" s="62" t="str">
        <f aca="false">IF($B743="","",TEXT($A743,"YYYY-MM-DD")&amp;"|"&amp;$B743)</f>
        <v/>
      </c>
      <c r="P743" s="3"/>
      <c r="Q743" s="3"/>
      <c r="R743" s="3"/>
      <c r="S743" s="3"/>
      <c r="T743" s="3"/>
      <c r="U743" s="3"/>
      <c r="V743" s="3"/>
      <c r="W743" s="3"/>
      <c r="X743" s="3"/>
      <c r="Y743" s="3"/>
      <c r="Z743" s="3"/>
      <c r="AA743" s="3"/>
      <c r="AB743" s="3"/>
    </row>
    <row r="744" customFormat="false" ht="15" hidden="false" customHeight="false" outlineLevel="0" collapsed="false">
      <c r="A744" s="48"/>
      <c r="B744" s="46"/>
      <c r="C744" s="50"/>
      <c r="D744" s="50"/>
      <c r="E744" s="50"/>
      <c r="F744" s="50"/>
      <c r="G744" s="49"/>
      <c r="H744" s="50"/>
      <c r="I744" s="50"/>
      <c r="J744" s="50"/>
      <c r="K744" s="50"/>
      <c r="L744" s="50"/>
      <c r="M744" s="46"/>
      <c r="N744" s="47"/>
      <c r="O744" s="62" t="str">
        <f aca="false">IF($B744="","",TEXT($A744,"YYYY-MM-DD")&amp;"|"&amp;$B744)</f>
        <v/>
      </c>
      <c r="P744" s="3"/>
      <c r="Q744" s="3"/>
      <c r="R744" s="3"/>
      <c r="S744" s="3"/>
      <c r="T744" s="3"/>
      <c r="U744" s="3"/>
      <c r="V744" s="3"/>
      <c r="W744" s="3"/>
      <c r="X744" s="3"/>
      <c r="Y744" s="3"/>
      <c r="Z744" s="3"/>
      <c r="AA744" s="3"/>
      <c r="AB744" s="3"/>
    </row>
    <row r="745" customFormat="false" ht="15" hidden="false" customHeight="false" outlineLevel="0" collapsed="false">
      <c r="A745" s="54"/>
      <c r="B745" s="52"/>
      <c r="C745" s="56"/>
      <c r="D745" s="56"/>
      <c r="E745" s="56"/>
      <c r="F745" s="56"/>
      <c r="G745" s="55"/>
      <c r="H745" s="56"/>
      <c r="I745" s="56"/>
      <c r="J745" s="56"/>
      <c r="K745" s="56"/>
      <c r="L745" s="56"/>
      <c r="M745" s="52"/>
      <c r="N745" s="53"/>
      <c r="O745" s="62" t="str">
        <f aca="false">IF($B745="","",TEXT($A745,"YYYY-MM-DD")&amp;"|"&amp;$B745)</f>
        <v/>
      </c>
      <c r="P745" s="3"/>
      <c r="Q745" s="3"/>
      <c r="R745" s="3"/>
      <c r="S745" s="3"/>
      <c r="T745" s="3"/>
      <c r="U745" s="3"/>
      <c r="V745" s="3"/>
      <c r="W745" s="3"/>
      <c r="X745" s="3"/>
      <c r="Y745" s="3"/>
      <c r="Z745" s="3"/>
      <c r="AA745" s="3"/>
      <c r="AB745" s="3"/>
    </row>
    <row r="746" customFormat="false" ht="15" hidden="false" customHeight="false" outlineLevel="0" collapsed="false">
      <c r="A746" s="48"/>
      <c r="B746" s="46"/>
      <c r="C746" s="50"/>
      <c r="D746" s="50"/>
      <c r="E746" s="50"/>
      <c r="F746" s="50"/>
      <c r="G746" s="49"/>
      <c r="H746" s="50"/>
      <c r="I746" s="50"/>
      <c r="J746" s="50"/>
      <c r="K746" s="50"/>
      <c r="L746" s="50"/>
      <c r="M746" s="46"/>
      <c r="N746" s="47"/>
      <c r="O746" s="62" t="str">
        <f aca="false">IF($B746="","",TEXT($A746,"YYYY-MM-DD")&amp;"|"&amp;$B746)</f>
        <v/>
      </c>
      <c r="P746" s="3"/>
      <c r="Q746" s="3"/>
      <c r="R746" s="3"/>
      <c r="S746" s="3"/>
      <c r="T746" s="3"/>
      <c r="U746" s="3"/>
      <c r="V746" s="3"/>
      <c r="W746" s="3"/>
      <c r="X746" s="3"/>
      <c r="Y746" s="3"/>
      <c r="Z746" s="3"/>
      <c r="AA746" s="3"/>
      <c r="AB746" s="3"/>
    </row>
    <row r="747" customFormat="false" ht="15" hidden="false" customHeight="false" outlineLevel="0" collapsed="false">
      <c r="A747" s="54"/>
      <c r="B747" s="52"/>
      <c r="C747" s="56"/>
      <c r="D747" s="56"/>
      <c r="E747" s="56"/>
      <c r="F747" s="56"/>
      <c r="G747" s="55"/>
      <c r="H747" s="56"/>
      <c r="I747" s="56"/>
      <c r="J747" s="56"/>
      <c r="K747" s="56"/>
      <c r="L747" s="56"/>
      <c r="M747" s="52"/>
      <c r="N747" s="53"/>
      <c r="O747" s="62" t="str">
        <f aca="false">IF($B747="","",TEXT($A747,"YYYY-MM-DD")&amp;"|"&amp;$B747)</f>
        <v/>
      </c>
      <c r="P747" s="3"/>
      <c r="Q747" s="3"/>
      <c r="R747" s="3"/>
      <c r="S747" s="3"/>
      <c r="T747" s="3"/>
      <c r="U747" s="3"/>
      <c r="V747" s="3"/>
      <c r="W747" s="3"/>
      <c r="X747" s="3"/>
      <c r="Y747" s="3"/>
      <c r="Z747" s="3"/>
      <c r="AA747" s="3"/>
      <c r="AB747" s="3"/>
    </row>
    <row r="748" customFormat="false" ht="15" hidden="false" customHeight="false" outlineLevel="0" collapsed="false">
      <c r="A748" s="48"/>
      <c r="B748" s="46"/>
      <c r="C748" s="50"/>
      <c r="D748" s="50"/>
      <c r="E748" s="50"/>
      <c r="F748" s="50"/>
      <c r="G748" s="49"/>
      <c r="H748" s="50"/>
      <c r="I748" s="50"/>
      <c r="J748" s="50"/>
      <c r="K748" s="50"/>
      <c r="L748" s="50"/>
      <c r="M748" s="46"/>
      <c r="N748" s="47"/>
      <c r="O748" s="62" t="str">
        <f aca="false">IF($B748="","",TEXT($A748,"YYYY-MM-DD")&amp;"|"&amp;$B748)</f>
        <v/>
      </c>
      <c r="P748" s="3"/>
      <c r="Q748" s="3"/>
      <c r="R748" s="3"/>
      <c r="S748" s="3"/>
      <c r="T748" s="3"/>
      <c r="U748" s="3"/>
      <c r="V748" s="3"/>
      <c r="W748" s="3"/>
      <c r="X748" s="3"/>
      <c r="Y748" s="3"/>
      <c r="Z748" s="3"/>
      <c r="AA748" s="3"/>
      <c r="AB748" s="3"/>
    </row>
    <row r="749" customFormat="false" ht="15" hidden="false" customHeight="false" outlineLevel="0" collapsed="false">
      <c r="A749" s="54"/>
      <c r="B749" s="52"/>
      <c r="C749" s="56"/>
      <c r="D749" s="56"/>
      <c r="E749" s="56"/>
      <c r="F749" s="56"/>
      <c r="G749" s="55"/>
      <c r="H749" s="56"/>
      <c r="I749" s="56"/>
      <c r="J749" s="56"/>
      <c r="K749" s="56"/>
      <c r="L749" s="56"/>
      <c r="M749" s="52"/>
      <c r="N749" s="53"/>
      <c r="O749" s="62" t="str">
        <f aca="false">IF($B749="","",TEXT($A749,"YYYY-MM-DD")&amp;"|"&amp;$B749)</f>
        <v/>
      </c>
      <c r="P749" s="3"/>
      <c r="Q749" s="3"/>
      <c r="R749" s="3"/>
      <c r="S749" s="3"/>
      <c r="T749" s="3"/>
      <c r="U749" s="3"/>
      <c r="V749" s="3"/>
      <c r="W749" s="3"/>
      <c r="X749" s="3"/>
      <c r="Y749" s="3"/>
      <c r="Z749" s="3"/>
      <c r="AA749" s="3"/>
      <c r="AB749" s="3"/>
    </row>
    <row r="750" customFormat="false" ht="15" hidden="false" customHeight="false" outlineLevel="0" collapsed="false">
      <c r="A750" s="48"/>
      <c r="B750" s="46"/>
      <c r="C750" s="50"/>
      <c r="D750" s="50"/>
      <c r="E750" s="50"/>
      <c r="F750" s="50"/>
      <c r="G750" s="49"/>
      <c r="H750" s="50"/>
      <c r="I750" s="50"/>
      <c r="J750" s="50"/>
      <c r="K750" s="50"/>
      <c r="L750" s="50"/>
      <c r="M750" s="46"/>
      <c r="N750" s="47"/>
      <c r="O750" s="62" t="str">
        <f aca="false">IF($B750="","",TEXT($A750,"YYYY-MM-DD")&amp;"|"&amp;$B750)</f>
        <v/>
      </c>
      <c r="P750" s="3"/>
      <c r="Q750" s="3"/>
      <c r="R750" s="3"/>
      <c r="S750" s="3"/>
      <c r="T750" s="3"/>
      <c r="U750" s="3"/>
      <c r="V750" s="3"/>
      <c r="W750" s="3"/>
      <c r="X750" s="3"/>
      <c r="Y750" s="3"/>
      <c r="Z750" s="3"/>
      <c r="AA750" s="3"/>
      <c r="AB750" s="3"/>
    </row>
    <row r="751" customFormat="false" ht="15" hidden="false" customHeight="false" outlineLevel="0" collapsed="false">
      <c r="A751" s="54"/>
      <c r="B751" s="52"/>
      <c r="C751" s="56"/>
      <c r="D751" s="56"/>
      <c r="E751" s="56"/>
      <c r="F751" s="56"/>
      <c r="G751" s="55"/>
      <c r="H751" s="56"/>
      <c r="I751" s="56"/>
      <c r="J751" s="56"/>
      <c r="K751" s="56"/>
      <c r="L751" s="56"/>
      <c r="M751" s="52"/>
      <c r="N751" s="53"/>
      <c r="O751" s="62" t="str">
        <f aca="false">IF($B751="","",TEXT($A751,"YYYY-MM-DD")&amp;"|"&amp;$B751)</f>
        <v/>
      </c>
      <c r="P751" s="3"/>
      <c r="Q751" s="3"/>
      <c r="R751" s="3"/>
      <c r="S751" s="3"/>
      <c r="T751" s="3"/>
      <c r="U751" s="3"/>
      <c r="V751" s="3"/>
      <c r="W751" s="3"/>
      <c r="X751" s="3"/>
      <c r="Y751" s="3"/>
      <c r="Z751" s="3"/>
      <c r="AA751" s="3"/>
      <c r="AB751" s="3"/>
    </row>
    <row r="752" customFormat="false" ht="15" hidden="false" customHeight="false" outlineLevel="0" collapsed="false">
      <c r="A752" s="48"/>
      <c r="B752" s="46"/>
      <c r="C752" s="50"/>
      <c r="D752" s="50"/>
      <c r="E752" s="50"/>
      <c r="F752" s="50"/>
      <c r="G752" s="49"/>
      <c r="H752" s="50"/>
      <c r="I752" s="50"/>
      <c r="J752" s="50"/>
      <c r="K752" s="50"/>
      <c r="L752" s="50"/>
      <c r="M752" s="46"/>
      <c r="N752" s="47"/>
      <c r="O752" s="62" t="str">
        <f aca="false">IF($B752="","",TEXT($A752,"YYYY-MM-DD")&amp;"|"&amp;$B752)</f>
        <v/>
      </c>
      <c r="P752" s="3"/>
      <c r="Q752" s="3"/>
      <c r="R752" s="3"/>
      <c r="S752" s="3"/>
      <c r="T752" s="3"/>
      <c r="U752" s="3"/>
      <c r="V752" s="3"/>
      <c r="W752" s="3"/>
      <c r="X752" s="3"/>
      <c r="Y752" s="3"/>
      <c r="Z752" s="3"/>
      <c r="AA752" s="3"/>
      <c r="AB752" s="3"/>
    </row>
    <row r="753" customFormat="false" ht="15" hidden="false" customHeight="false" outlineLevel="0" collapsed="false">
      <c r="A753" s="54"/>
      <c r="B753" s="52"/>
      <c r="C753" s="56"/>
      <c r="D753" s="56"/>
      <c r="E753" s="56"/>
      <c r="F753" s="56"/>
      <c r="G753" s="55"/>
      <c r="H753" s="56"/>
      <c r="I753" s="56"/>
      <c r="J753" s="56"/>
      <c r="K753" s="56"/>
      <c r="L753" s="56"/>
      <c r="M753" s="52"/>
      <c r="N753" s="53"/>
      <c r="O753" s="62" t="str">
        <f aca="false">IF($B753="","",TEXT($A753,"YYYY-MM-DD")&amp;"|"&amp;$B753)</f>
        <v/>
      </c>
      <c r="P753" s="3"/>
      <c r="Q753" s="3"/>
      <c r="R753" s="3"/>
      <c r="S753" s="3"/>
      <c r="T753" s="3"/>
      <c r="U753" s="3"/>
      <c r="V753" s="3"/>
      <c r="W753" s="3"/>
      <c r="X753" s="3"/>
      <c r="Y753" s="3"/>
      <c r="Z753" s="3"/>
      <c r="AA753" s="3"/>
      <c r="AB753" s="3"/>
    </row>
    <row r="754" customFormat="false" ht="15" hidden="false" customHeight="false" outlineLevel="0" collapsed="false">
      <c r="A754" s="48"/>
      <c r="B754" s="46"/>
      <c r="C754" s="50"/>
      <c r="D754" s="50"/>
      <c r="E754" s="50"/>
      <c r="F754" s="50"/>
      <c r="G754" s="49"/>
      <c r="H754" s="50"/>
      <c r="I754" s="50"/>
      <c r="J754" s="50"/>
      <c r="K754" s="50"/>
      <c r="L754" s="50"/>
      <c r="M754" s="46"/>
      <c r="N754" s="47"/>
      <c r="O754" s="62" t="str">
        <f aca="false">IF($B754="","",TEXT($A754,"YYYY-MM-DD")&amp;"|"&amp;$B754)</f>
        <v/>
      </c>
      <c r="P754" s="3"/>
      <c r="Q754" s="3"/>
      <c r="R754" s="3"/>
      <c r="S754" s="3"/>
      <c r="T754" s="3"/>
      <c r="U754" s="3"/>
      <c r="V754" s="3"/>
      <c r="W754" s="3"/>
      <c r="X754" s="3"/>
      <c r="Y754" s="3"/>
      <c r="Z754" s="3"/>
      <c r="AA754" s="3"/>
      <c r="AB754" s="3"/>
    </row>
    <row r="755" customFormat="false" ht="15" hidden="false" customHeight="false" outlineLevel="0" collapsed="false">
      <c r="A755" s="54"/>
      <c r="B755" s="52"/>
      <c r="C755" s="56"/>
      <c r="D755" s="56"/>
      <c r="E755" s="56"/>
      <c r="F755" s="56"/>
      <c r="G755" s="55"/>
      <c r="H755" s="56"/>
      <c r="I755" s="56"/>
      <c r="J755" s="56"/>
      <c r="K755" s="56"/>
      <c r="L755" s="56"/>
      <c r="M755" s="52"/>
      <c r="N755" s="53"/>
      <c r="O755" s="62" t="str">
        <f aca="false">IF($B755="","",TEXT($A755,"YYYY-MM-DD")&amp;"|"&amp;$B755)</f>
        <v/>
      </c>
      <c r="P755" s="3"/>
      <c r="Q755" s="3"/>
      <c r="R755" s="3"/>
      <c r="S755" s="3"/>
      <c r="T755" s="3"/>
      <c r="U755" s="3"/>
      <c r="V755" s="3"/>
      <c r="W755" s="3"/>
      <c r="X755" s="3"/>
      <c r="Y755" s="3"/>
      <c r="Z755" s="3"/>
      <c r="AA755" s="3"/>
      <c r="AB755" s="3"/>
    </row>
    <row r="756" customFormat="false" ht="15" hidden="false" customHeight="false" outlineLevel="0" collapsed="false">
      <c r="A756" s="48"/>
      <c r="B756" s="46"/>
      <c r="C756" s="50"/>
      <c r="D756" s="50"/>
      <c r="E756" s="50"/>
      <c r="F756" s="50"/>
      <c r="G756" s="49"/>
      <c r="H756" s="50"/>
      <c r="I756" s="50"/>
      <c r="J756" s="50"/>
      <c r="K756" s="50"/>
      <c r="L756" s="50"/>
      <c r="M756" s="46"/>
      <c r="N756" s="47"/>
      <c r="O756" s="62" t="str">
        <f aca="false">IF($B756="","",TEXT($A756,"YYYY-MM-DD")&amp;"|"&amp;$B756)</f>
        <v/>
      </c>
      <c r="P756" s="3"/>
      <c r="Q756" s="3"/>
      <c r="R756" s="3"/>
      <c r="S756" s="3"/>
      <c r="T756" s="3"/>
      <c r="U756" s="3"/>
      <c r="V756" s="3"/>
      <c r="W756" s="3"/>
      <c r="X756" s="3"/>
      <c r="Y756" s="3"/>
      <c r="Z756" s="3"/>
      <c r="AA756" s="3"/>
      <c r="AB756" s="3"/>
    </row>
    <row r="757" customFormat="false" ht="15" hidden="false" customHeight="false" outlineLevel="0" collapsed="false">
      <c r="A757" s="54"/>
      <c r="B757" s="52"/>
      <c r="C757" s="56"/>
      <c r="D757" s="56"/>
      <c r="E757" s="56"/>
      <c r="F757" s="56"/>
      <c r="G757" s="55"/>
      <c r="H757" s="56"/>
      <c r="I757" s="56"/>
      <c r="J757" s="56"/>
      <c r="K757" s="56"/>
      <c r="L757" s="56"/>
      <c r="M757" s="52"/>
      <c r="N757" s="53"/>
      <c r="O757" s="62" t="str">
        <f aca="false">IF($B757="","",TEXT($A757,"YYYY-MM-DD")&amp;"|"&amp;$B757)</f>
        <v/>
      </c>
      <c r="P757" s="3"/>
      <c r="Q757" s="3"/>
      <c r="R757" s="3"/>
      <c r="S757" s="3"/>
      <c r="T757" s="3"/>
      <c r="U757" s="3"/>
      <c r="V757" s="3"/>
      <c r="W757" s="3"/>
      <c r="X757" s="3"/>
      <c r="Y757" s="3"/>
      <c r="Z757" s="3"/>
      <c r="AA757" s="3"/>
      <c r="AB757" s="3"/>
    </row>
    <row r="758" customFormat="false" ht="15" hidden="false" customHeight="false" outlineLevel="0" collapsed="false">
      <c r="A758" s="48"/>
      <c r="B758" s="46"/>
      <c r="C758" s="50"/>
      <c r="D758" s="50"/>
      <c r="E758" s="50"/>
      <c r="F758" s="50"/>
      <c r="G758" s="49"/>
      <c r="H758" s="50"/>
      <c r="I758" s="50"/>
      <c r="J758" s="50"/>
      <c r="K758" s="50"/>
      <c r="L758" s="50"/>
      <c r="M758" s="46"/>
      <c r="N758" s="47"/>
      <c r="O758" s="62" t="str">
        <f aca="false">IF($B758="","",TEXT($A758,"YYYY-MM-DD")&amp;"|"&amp;$B758)</f>
        <v/>
      </c>
      <c r="P758" s="3"/>
      <c r="Q758" s="3"/>
      <c r="R758" s="3"/>
      <c r="S758" s="3"/>
      <c r="T758" s="3"/>
      <c r="U758" s="3"/>
      <c r="V758" s="3"/>
      <c r="W758" s="3"/>
      <c r="X758" s="3"/>
      <c r="Y758" s="3"/>
      <c r="Z758" s="3"/>
      <c r="AA758" s="3"/>
      <c r="AB758" s="3"/>
    </row>
    <row r="759" customFormat="false" ht="15" hidden="false" customHeight="false" outlineLevel="0" collapsed="false">
      <c r="A759" s="54"/>
      <c r="B759" s="52"/>
      <c r="C759" s="56"/>
      <c r="D759" s="56"/>
      <c r="E759" s="56"/>
      <c r="F759" s="56"/>
      <c r="G759" s="55"/>
      <c r="H759" s="56"/>
      <c r="I759" s="56"/>
      <c r="J759" s="56"/>
      <c r="K759" s="56"/>
      <c r="L759" s="56"/>
      <c r="M759" s="52"/>
      <c r="N759" s="53"/>
      <c r="O759" s="62" t="str">
        <f aca="false">IF($B759="","",TEXT($A759,"YYYY-MM-DD")&amp;"|"&amp;$B759)</f>
        <v/>
      </c>
      <c r="P759" s="3"/>
      <c r="Q759" s="3"/>
      <c r="R759" s="3"/>
      <c r="S759" s="3"/>
      <c r="T759" s="3"/>
      <c r="U759" s="3"/>
      <c r="V759" s="3"/>
      <c r="W759" s="3"/>
      <c r="X759" s="3"/>
      <c r="Y759" s="3"/>
      <c r="Z759" s="3"/>
      <c r="AA759" s="3"/>
      <c r="AB759" s="3"/>
    </row>
    <row r="760" customFormat="false" ht="15" hidden="false" customHeight="false" outlineLevel="0" collapsed="false">
      <c r="A760" s="48"/>
      <c r="B760" s="46"/>
      <c r="C760" s="50"/>
      <c r="D760" s="50"/>
      <c r="E760" s="50"/>
      <c r="F760" s="50"/>
      <c r="G760" s="49"/>
      <c r="H760" s="50"/>
      <c r="I760" s="50"/>
      <c r="J760" s="50"/>
      <c r="K760" s="50"/>
      <c r="L760" s="50"/>
      <c r="M760" s="46"/>
      <c r="N760" s="47"/>
      <c r="O760" s="62" t="str">
        <f aca="false">IF($B760="","",TEXT($A760,"YYYY-MM-DD")&amp;"|"&amp;$B760)</f>
        <v/>
      </c>
      <c r="P760" s="3"/>
      <c r="Q760" s="3"/>
      <c r="R760" s="3"/>
      <c r="S760" s="3"/>
      <c r="T760" s="3"/>
      <c r="U760" s="3"/>
      <c r="V760" s="3"/>
      <c r="W760" s="3"/>
      <c r="X760" s="3"/>
      <c r="Y760" s="3"/>
      <c r="Z760" s="3"/>
      <c r="AA760" s="3"/>
      <c r="AB760" s="3"/>
    </row>
    <row r="761" customFormat="false" ht="15" hidden="false" customHeight="false" outlineLevel="0" collapsed="false">
      <c r="A761" s="54"/>
      <c r="B761" s="52"/>
      <c r="C761" s="56"/>
      <c r="D761" s="56"/>
      <c r="E761" s="56"/>
      <c r="F761" s="56"/>
      <c r="G761" s="55"/>
      <c r="H761" s="56"/>
      <c r="I761" s="56"/>
      <c r="J761" s="56"/>
      <c r="K761" s="56"/>
      <c r="L761" s="56"/>
      <c r="M761" s="52"/>
      <c r="N761" s="53"/>
      <c r="O761" s="62" t="str">
        <f aca="false">IF($B761="","",TEXT($A761,"YYYY-MM-DD")&amp;"|"&amp;$B761)</f>
        <v/>
      </c>
      <c r="P761" s="3"/>
      <c r="Q761" s="3"/>
      <c r="R761" s="3"/>
      <c r="S761" s="3"/>
      <c r="T761" s="3"/>
      <c r="U761" s="3"/>
      <c r="V761" s="3"/>
      <c r="W761" s="3"/>
      <c r="X761" s="3"/>
      <c r="Y761" s="3"/>
      <c r="Z761" s="3"/>
      <c r="AA761" s="3"/>
      <c r="AB761" s="3"/>
    </row>
    <row r="762" customFormat="false" ht="15" hidden="false" customHeight="false" outlineLevel="0" collapsed="false">
      <c r="A762" s="48"/>
      <c r="B762" s="46"/>
      <c r="C762" s="50"/>
      <c r="D762" s="50"/>
      <c r="E762" s="50"/>
      <c r="F762" s="50"/>
      <c r="G762" s="49"/>
      <c r="H762" s="50"/>
      <c r="I762" s="50"/>
      <c r="J762" s="50"/>
      <c r="K762" s="50"/>
      <c r="L762" s="50"/>
      <c r="M762" s="46"/>
      <c r="N762" s="47"/>
      <c r="O762" s="62" t="str">
        <f aca="false">IF($B762="","",TEXT($A762,"YYYY-MM-DD")&amp;"|"&amp;$B762)</f>
        <v/>
      </c>
      <c r="P762" s="3"/>
      <c r="Q762" s="3"/>
      <c r="R762" s="3"/>
      <c r="S762" s="3"/>
      <c r="T762" s="3"/>
      <c r="U762" s="3"/>
      <c r="V762" s="3"/>
      <c r="W762" s="3"/>
      <c r="X762" s="3"/>
      <c r="Y762" s="3"/>
      <c r="Z762" s="3"/>
      <c r="AA762" s="3"/>
      <c r="AB762" s="3"/>
    </row>
    <row r="763" customFormat="false" ht="15" hidden="false" customHeight="false" outlineLevel="0" collapsed="false">
      <c r="A763" s="54"/>
      <c r="B763" s="52"/>
      <c r="C763" s="56"/>
      <c r="D763" s="56"/>
      <c r="E763" s="56"/>
      <c r="F763" s="56"/>
      <c r="G763" s="55"/>
      <c r="H763" s="56"/>
      <c r="I763" s="56"/>
      <c r="J763" s="56"/>
      <c r="K763" s="56"/>
      <c r="L763" s="56"/>
      <c r="M763" s="52"/>
      <c r="N763" s="53"/>
      <c r="O763" s="62" t="str">
        <f aca="false">IF($B763="","",TEXT($A763,"YYYY-MM-DD")&amp;"|"&amp;$B763)</f>
        <v/>
      </c>
      <c r="P763" s="3"/>
      <c r="Q763" s="3"/>
      <c r="R763" s="3"/>
      <c r="S763" s="3"/>
      <c r="T763" s="3"/>
      <c r="U763" s="3"/>
      <c r="V763" s="3"/>
      <c r="W763" s="3"/>
      <c r="X763" s="3"/>
      <c r="Y763" s="3"/>
      <c r="Z763" s="3"/>
      <c r="AA763" s="3"/>
      <c r="AB763" s="3"/>
    </row>
    <row r="764" customFormat="false" ht="15" hidden="false" customHeight="false" outlineLevel="0" collapsed="false">
      <c r="A764" s="48"/>
      <c r="B764" s="46"/>
      <c r="C764" s="50"/>
      <c r="D764" s="50"/>
      <c r="E764" s="50"/>
      <c r="F764" s="50"/>
      <c r="G764" s="49"/>
      <c r="H764" s="50"/>
      <c r="I764" s="50"/>
      <c r="J764" s="50"/>
      <c r="K764" s="50"/>
      <c r="L764" s="50"/>
      <c r="M764" s="46"/>
      <c r="N764" s="47"/>
      <c r="O764" s="62" t="str">
        <f aca="false">IF($B764="","",TEXT($A764,"YYYY-MM-DD")&amp;"|"&amp;$B764)</f>
        <v/>
      </c>
      <c r="P764" s="3"/>
      <c r="Q764" s="3"/>
      <c r="R764" s="3"/>
      <c r="S764" s="3"/>
      <c r="T764" s="3"/>
      <c r="U764" s="3"/>
      <c r="V764" s="3"/>
      <c r="W764" s="3"/>
      <c r="X764" s="3"/>
      <c r="Y764" s="3"/>
      <c r="Z764" s="3"/>
      <c r="AA764" s="3"/>
      <c r="AB764" s="3"/>
    </row>
    <row r="765" customFormat="false" ht="15" hidden="false" customHeight="false" outlineLevel="0" collapsed="false">
      <c r="A765" s="54"/>
      <c r="B765" s="52"/>
      <c r="C765" s="56"/>
      <c r="D765" s="56"/>
      <c r="E765" s="56"/>
      <c r="F765" s="56"/>
      <c r="G765" s="55"/>
      <c r="H765" s="56"/>
      <c r="I765" s="56"/>
      <c r="J765" s="56"/>
      <c r="K765" s="56"/>
      <c r="L765" s="56"/>
      <c r="M765" s="52"/>
      <c r="N765" s="53"/>
      <c r="O765" s="62" t="str">
        <f aca="false">IF($B765="","",TEXT($A765,"YYYY-MM-DD")&amp;"|"&amp;$B765)</f>
        <v/>
      </c>
      <c r="P765" s="3"/>
      <c r="Q765" s="3"/>
      <c r="R765" s="3"/>
      <c r="S765" s="3"/>
      <c r="T765" s="3"/>
      <c r="U765" s="3"/>
      <c r="V765" s="3"/>
      <c r="W765" s="3"/>
      <c r="X765" s="3"/>
      <c r="Y765" s="3"/>
      <c r="Z765" s="3"/>
      <c r="AA765" s="3"/>
      <c r="AB765" s="3"/>
    </row>
    <row r="766" customFormat="false" ht="15" hidden="false" customHeight="false" outlineLevel="0" collapsed="false">
      <c r="A766" s="48"/>
      <c r="B766" s="46"/>
      <c r="C766" s="50"/>
      <c r="D766" s="50"/>
      <c r="E766" s="50"/>
      <c r="F766" s="50"/>
      <c r="G766" s="49"/>
      <c r="H766" s="50"/>
      <c r="I766" s="50"/>
      <c r="J766" s="50"/>
      <c r="K766" s="50"/>
      <c r="L766" s="50"/>
      <c r="M766" s="46"/>
      <c r="N766" s="47"/>
      <c r="O766" s="62" t="str">
        <f aca="false">IF($B766="","",TEXT($A766,"YYYY-MM-DD")&amp;"|"&amp;$B766)</f>
        <v/>
      </c>
      <c r="P766" s="3"/>
      <c r="Q766" s="3"/>
      <c r="R766" s="3"/>
      <c r="S766" s="3"/>
      <c r="T766" s="3"/>
      <c r="U766" s="3"/>
      <c r="V766" s="3"/>
      <c r="W766" s="3"/>
      <c r="X766" s="3"/>
      <c r="Y766" s="3"/>
      <c r="Z766" s="3"/>
      <c r="AA766" s="3"/>
      <c r="AB766" s="3"/>
    </row>
    <row r="767" customFormat="false" ht="15" hidden="false" customHeight="false" outlineLevel="0" collapsed="false">
      <c r="A767" s="54"/>
      <c r="B767" s="52"/>
      <c r="C767" s="56"/>
      <c r="D767" s="56"/>
      <c r="E767" s="56"/>
      <c r="F767" s="56"/>
      <c r="G767" s="55"/>
      <c r="H767" s="56"/>
      <c r="I767" s="56"/>
      <c r="J767" s="56"/>
      <c r="K767" s="56"/>
      <c r="L767" s="56"/>
      <c r="M767" s="52"/>
      <c r="N767" s="53"/>
      <c r="O767" s="62" t="str">
        <f aca="false">IF($B767="","",TEXT($A767,"YYYY-MM-DD")&amp;"|"&amp;$B767)</f>
        <v/>
      </c>
      <c r="P767" s="3"/>
      <c r="Q767" s="3"/>
      <c r="R767" s="3"/>
      <c r="S767" s="3"/>
      <c r="T767" s="3"/>
      <c r="U767" s="3"/>
      <c r="V767" s="3"/>
      <c r="W767" s="3"/>
      <c r="X767" s="3"/>
      <c r="Y767" s="3"/>
      <c r="Z767" s="3"/>
      <c r="AA767" s="3"/>
      <c r="AB767" s="3"/>
    </row>
    <row r="768" customFormat="false" ht="15" hidden="false" customHeight="false" outlineLevel="0" collapsed="false">
      <c r="A768" s="48"/>
      <c r="B768" s="46"/>
      <c r="C768" s="50"/>
      <c r="D768" s="50"/>
      <c r="E768" s="50"/>
      <c r="F768" s="50"/>
      <c r="G768" s="49"/>
      <c r="H768" s="50"/>
      <c r="I768" s="50"/>
      <c r="J768" s="50"/>
      <c r="K768" s="50"/>
      <c r="L768" s="50"/>
      <c r="M768" s="46"/>
      <c r="N768" s="47"/>
      <c r="O768" s="62" t="str">
        <f aca="false">IF($B768="","",TEXT($A768,"YYYY-MM-DD")&amp;"|"&amp;$B768)</f>
        <v/>
      </c>
      <c r="P768" s="3"/>
      <c r="Q768" s="3"/>
      <c r="R768" s="3"/>
      <c r="S768" s="3"/>
      <c r="T768" s="3"/>
      <c r="U768" s="3"/>
      <c r="V768" s="3"/>
      <c r="W768" s="3"/>
      <c r="X768" s="3"/>
      <c r="Y768" s="3"/>
      <c r="Z768" s="3"/>
      <c r="AA768" s="3"/>
      <c r="AB768" s="3"/>
    </row>
    <row r="769" customFormat="false" ht="15" hidden="false" customHeight="false" outlineLevel="0" collapsed="false">
      <c r="A769" s="54"/>
      <c r="B769" s="52"/>
      <c r="C769" s="56"/>
      <c r="D769" s="56"/>
      <c r="E769" s="56"/>
      <c r="F769" s="56"/>
      <c r="G769" s="55"/>
      <c r="H769" s="56"/>
      <c r="I769" s="56"/>
      <c r="J769" s="56"/>
      <c r="K769" s="56"/>
      <c r="L769" s="56"/>
      <c r="M769" s="52"/>
      <c r="N769" s="53"/>
      <c r="O769" s="62" t="str">
        <f aca="false">IF($B769="","",TEXT($A769,"YYYY-MM-DD")&amp;"|"&amp;$B769)</f>
        <v/>
      </c>
      <c r="P769" s="3"/>
      <c r="Q769" s="3"/>
      <c r="R769" s="3"/>
      <c r="S769" s="3"/>
      <c r="T769" s="3"/>
      <c r="U769" s="3"/>
      <c r="V769" s="3"/>
      <c r="W769" s="3"/>
      <c r="X769" s="3"/>
      <c r="Y769" s="3"/>
      <c r="Z769" s="3"/>
      <c r="AA769" s="3"/>
      <c r="AB769" s="3"/>
    </row>
    <row r="770" customFormat="false" ht="15" hidden="false" customHeight="false" outlineLevel="0" collapsed="false">
      <c r="A770" s="48"/>
      <c r="B770" s="46"/>
      <c r="C770" s="50"/>
      <c r="D770" s="50"/>
      <c r="E770" s="50"/>
      <c r="F770" s="50"/>
      <c r="G770" s="49"/>
      <c r="H770" s="50"/>
      <c r="I770" s="50"/>
      <c r="J770" s="50"/>
      <c r="K770" s="50"/>
      <c r="L770" s="50"/>
      <c r="M770" s="46"/>
      <c r="N770" s="47"/>
      <c r="O770" s="62" t="str">
        <f aca="false">IF($B770="","",TEXT($A770,"YYYY-MM-DD")&amp;"|"&amp;$B770)</f>
        <v/>
      </c>
      <c r="P770" s="3"/>
      <c r="Q770" s="3"/>
      <c r="R770" s="3"/>
      <c r="S770" s="3"/>
      <c r="T770" s="3"/>
      <c r="U770" s="3"/>
      <c r="V770" s="3"/>
      <c r="W770" s="3"/>
      <c r="X770" s="3"/>
      <c r="Y770" s="3"/>
      <c r="Z770" s="3"/>
      <c r="AA770" s="3"/>
      <c r="AB770" s="3"/>
    </row>
    <row r="771" customFormat="false" ht="15" hidden="false" customHeight="false" outlineLevel="0" collapsed="false">
      <c r="A771" s="54"/>
      <c r="B771" s="52"/>
      <c r="C771" s="56"/>
      <c r="D771" s="56"/>
      <c r="E771" s="56"/>
      <c r="F771" s="56"/>
      <c r="G771" s="55"/>
      <c r="H771" s="56"/>
      <c r="I771" s="56"/>
      <c r="J771" s="56"/>
      <c r="K771" s="56"/>
      <c r="L771" s="56"/>
      <c r="M771" s="52"/>
      <c r="N771" s="53"/>
      <c r="O771" s="62" t="str">
        <f aca="false">IF($B771="","",TEXT($A771,"YYYY-MM-DD")&amp;"|"&amp;$B771)</f>
        <v/>
      </c>
      <c r="P771" s="3"/>
      <c r="Q771" s="3"/>
      <c r="R771" s="3"/>
      <c r="S771" s="3"/>
      <c r="T771" s="3"/>
      <c r="U771" s="3"/>
      <c r="V771" s="3"/>
      <c r="W771" s="3"/>
      <c r="X771" s="3"/>
      <c r="Y771" s="3"/>
      <c r="Z771" s="3"/>
      <c r="AA771" s="3"/>
      <c r="AB771" s="3"/>
    </row>
    <row r="772" customFormat="false" ht="15" hidden="false" customHeight="false" outlineLevel="0" collapsed="false">
      <c r="A772" s="48"/>
      <c r="B772" s="46"/>
      <c r="C772" s="50"/>
      <c r="D772" s="50"/>
      <c r="E772" s="50"/>
      <c r="F772" s="50"/>
      <c r="G772" s="49"/>
      <c r="H772" s="50"/>
      <c r="I772" s="50"/>
      <c r="J772" s="50"/>
      <c r="K772" s="50"/>
      <c r="L772" s="50"/>
      <c r="M772" s="46"/>
      <c r="N772" s="47"/>
      <c r="O772" s="62" t="str">
        <f aca="false">IF($B772="","",TEXT($A772,"YYYY-MM-DD")&amp;"|"&amp;$B772)</f>
        <v/>
      </c>
      <c r="P772" s="3"/>
      <c r="Q772" s="3"/>
      <c r="R772" s="3"/>
      <c r="S772" s="3"/>
      <c r="T772" s="3"/>
      <c r="U772" s="3"/>
      <c r="V772" s="3"/>
      <c r="W772" s="3"/>
      <c r="X772" s="3"/>
      <c r="Y772" s="3"/>
      <c r="Z772" s="3"/>
      <c r="AA772" s="3"/>
      <c r="AB772" s="3"/>
    </row>
    <row r="773" customFormat="false" ht="15" hidden="false" customHeight="false" outlineLevel="0" collapsed="false">
      <c r="A773" s="54"/>
      <c r="B773" s="52"/>
      <c r="C773" s="56"/>
      <c r="D773" s="56"/>
      <c r="E773" s="56"/>
      <c r="F773" s="56"/>
      <c r="G773" s="55"/>
      <c r="H773" s="56"/>
      <c r="I773" s="56"/>
      <c r="J773" s="56"/>
      <c r="K773" s="56"/>
      <c r="L773" s="56"/>
      <c r="M773" s="52"/>
      <c r="N773" s="53"/>
      <c r="O773" s="62" t="str">
        <f aca="false">IF($B773="","",TEXT($A773,"YYYY-MM-DD")&amp;"|"&amp;$B773)</f>
        <v/>
      </c>
      <c r="P773" s="3"/>
      <c r="Q773" s="3"/>
      <c r="R773" s="3"/>
      <c r="S773" s="3"/>
      <c r="T773" s="3"/>
      <c r="U773" s="3"/>
      <c r="V773" s="3"/>
      <c r="W773" s="3"/>
      <c r="X773" s="3"/>
      <c r="Y773" s="3"/>
      <c r="Z773" s="3"/>
      <c r="AA773" s="3"/>
      <c r="AB773" s="3"/>
    </row>
    <row r="774" customFormat="false" ht="15" hidden="false" customHeight="false" outlineLevel="0" collapsed="false">
      <c r="A774" s="48"/>
      <c r="B774" s="46"/>
      <c r="C774" s="50"/>
      <c r="D774" s="50"/>
      <c r="E774" s="50"/>
      <c r="F774" s="50"/>
      <c r="G774" s="49"/>
      <c r="H774" s="50"/>
      <c r="I774" s="50"/>
      <c r="J774" s="50"/>
      <c r="K774" s="50"/>
      <c r="L774" s="50"/>
      <c r="M774" s="46"/>
      <c r="N774" s="47"/>
      <c r="O774" s="62" t="str">
        <f aca="false">IF($B774="","",TEXT($A774,"YYYY-MM-DD")&amp;"|"&amp;$B774)</f>
        <v/>
      </c>
      <c r="P774" s="3"/>
      <c r="Q774" s="3"/>
      <c r="R774" s="3"/>
      <c r="S774" s="3"/>
      <c r="T774" s="3"/>
      <c r="U774" s="3"/>
      <c r="V774" s="3"/>
      <c r="W774" s="3"/>
      <c r="X774" s="3"/>
      <c r="Y774" s="3"/>
      <c r="Z774" s="3"/>
      <c r="AA774" s="3"/>
      <c r="AB774" s="3"/>
    </row>
    <row r="775" customFormat="false" ht="15" hidden="false" customHeight="false" outlineLevel="0" collapsed="false">
      <c r="A775" s="54"/>
      <c r="B775" s="52"/>
      <c r="C775" s="56"/>
      <c r="D775" s="56"/>
      <c r="E775" s="56"/>
      <c r="F775" s="56"/>
      <c r="G775" s="55"/>
      <c r="H775" s="56"/>
      <c r="I775" s="56"/>
      <c r="J775" s="56"/>
      <c r="K775" s="56"/>
      <c r="L775" s="56"/>
      <c r="M775" s="52"/>
      <c r="N775" s="53"/>
      <c r="O775" s="62" t="str">
        <f aca="false">IF($B775="","",TEXT($A775,"YYYY-MM-DD")&amp;"|"&amp;$B775)</f>
        <v/>
      </c>
      <c r="P775" s="3"/>
      <c r="Q775" s="3"/>
      <c r="R775" s="3"/>
      <c r="S775" s="3"/>
      <c r="T775" s="3"/>
      <c r="U775" s="3"/>
      <c r="V775" s="3"/>
      <c r="W775" s="3"/>
      <c r="X775" s="3"/>
      <c r="Y775" s="3"/>
      <c r="Z775" s="3"/>
      <c r="AA775" s="3"/>
      <c r="AB775" s="3"/>
    </row>
    <row r="776" customFormat="false" ht="15" hidden="false" customHeight="false" outlineLevel="0" collapsed="false">
      <c r="A776" s="48"/>
      <c r="B776" s="46"/>
      <c r="C776" s="50"/>
      <c r="D776" s="50"/>
      <c r="E776" s="50"/>
      <c r="F776" s="50"/>
      <c r="G776" s="49"/>
      <c r="H776" s="50"/>
      <c r="I776" s="50"/>
      <c r="J776" s="50"/>
      <c r="K776" s="50"/>
      <c r="L776" s="50"/>
      <c r="M776" s="46"/>
      <c r="N776" s="47"/>
      <c r="O776" s="62" t="str">
        <f aca="false">IF($B776="","",TEXT($A776,"YYYY-MM-DD")&amp;"|"&amp;$B776)</f>
        <v/>
      </c>
      <c r="P776" s="3"/>
      <c r="Q776" s="3"/>
      <c r="R776" s="3"/>
      <c r="S776" s="3"/>
      <c r="T776" s="3"/>
      <c r="U776" s="3"/>
      <c r="V776" s="3"/>
      <c r="W776" s="3"/>
      <c r="X776" s="3"/>
      <c r="Y776" s="3"/>
      <c r="Z776" s="3"/>
      <c r="AA776" s="3"/>
      <c r="AB776" s="3"/>
    </row>
    <row r="777" customFormat="false" ht="15" hidden="false" customHeight="false" outlineLevel="0" collapsed="false">
      <c r="A777" s="54"/>
      <c r="B777" s="52"/>
      <c r="C777" s="56"/>
      <c r="D777" s="56"/>
      <c r="E777" s="56"/>
      <c r="F777" s="56"/>
      <c r="G777" s="55"/>
      <c r="H777" s="56"/>
      <c r="I777" s="56"/>
      <c r="J777" s="56"/>
      <c r="K777" s="56"/>
      <c r="L777" s="56"/>
      <c r="M777" s="52"/>
      <c r="N777" s="53"/>
      <c r="O777" s="62" t="str">
        <f aca="false">IF($B777="","",TEXT($A777,"YYYY-MM-DD")&amp;"|"&amp;$B777)</f>
        <v/>
      </c>
      <c r="P777" s="3"/>
      <c r="Q777" s="3"/>
      <c r="R777" s="3"/>
      <c r="S777" s="3"/>
      <c r="T777" s="3"/>
      <c r="U777" s="3"/>
      <c r="V777" s="3"/>
      <c r="W777" s="3"/>
      <c r="X777" s="3"/>
      <c r="Y777" s="3"/>
      <c r="Z777" s="3"/>
      <c r="AA777" s="3"/>
      <c r="AB777" s="3"/>
    </row>
    <row r="778" customFormat="false" ht="15" hidden="false" customHeight="false" outlineLevel="0" collapsed="false">
      <c r="A778" s="48"/>
      <c r="B778" s="46"/>
      <c r="C778" s="50"/>
      <c r="D778" s="50"/>
      <c r="E778" s="50"/>
      <c r="F778" s="50"/>
      <c r="G778" s="49"/>
      <c r="H778" s="50"/>
      <c r="I778" s="50"/>
      <c r="J778" s="50"/>
      <c r="K778" s="50"/>
      <c r="L778" s="50"/>
      <c r="M778" s="46"/>
      <c r="N778" s="47"/>
      <c r="O778" s="62" t="str">
        <f aca="false">IF($B778="","",TEXT($A778,"YYYY-MM-DD")&amp;"|"&amp;$B778)</f>
        <v/>
      </c>
      <c r="P778" s="3"/>
      <c r="Q778" s="3"/>
      <c r="R778" s="3"/>
      <c r="S778" s="3"/>
      <c r="T778" s="3"/>
      <c r="U778" s="3"/>
      <c r="V778" s="3"/>
      <c r="W778" s="3"/>
      <c r="X778" s="3"/>
      <c r="Y778" s="3"/>
      <c r="Z778" s="3"/>
      <c r="AA778" s="3"/>
      <c r="AB778" s="3"/>
    </row>
    <row r="779" customFormat="false" ht="15" hidden="false" customHeight="false" outlineLevel="0" collapsed="false">
      <c r="A779" s="54"/>
      <c r="B779" s="52"/>
      <c r="C779" s="56"/>
      <c r="D779" s="56"/>
      <c r="E779" s="56"/>
      <c r="F779" s="56"/>
      <c r="G779" s="55"/>
      <c r="H779" s="56"/>
      <c r="I779" s="56"/>
      <c r="J779" s="56"/>
      <c r="K779" s="56"/>
      <c r="L779" s="56"/>
      <c r="M779" s="52"/>
      <c r="N779" s="53"/>
      <c r="O779" s="62" t="str">
        <f aca="false">IF($B779="","",TEXT($A779,"YYYY-MM-DD")&amp;"|"&amp;$B779)</f>
        <v/>
      </c>
      <c r="P779" s="3"/>
      <c r="Q779" s="3"/>
      <c r="R779" s="3"/>
      <c r="S779" s="3"/>
      <c r="T779" s="3"/>
      <c r="U779" s="3"/>
      <c r="V779" s="3"/>
      <c r="W779" s="3"/>
      <c r="X779" s="3"/>
      <c r="Y779" s="3"/>
      <c r="Z779" s="3"/>
      <c r="AA779" s="3"/>
      <c r="AB779" s="3"/>
    </row>
    <row r="780" customFormat="false" ht="15" hidden="false" customHeight="false" outlineLevel="0" collapsed="false">
      <c r="A780" s="48"/>
      <c r="B780" s="46"/>
      <c r="C780" s="50"/>
      <c r="D780" s="50"/>
      <c r="E780" s="50"/>
      <c r="F780" s="50"/>
      <c r="G780" s="49"/>
      <c r="H780" s="50"/>
      <c r="I780" s="50"/>
      <c r="J780" s="50"/>
      <c r="K780" s="50"/>
      <c r="L780" s="50"/>
      <c r="M780" s="46"/>
      <c r="N780" s="47"/>
      <c r="O780" s="62" t="str">
        <f aca="false">IF($B780="","",TEXT($A780,"YYYY-MM-DD")&amp;"|"&amp;$B780)</f>
        <v/>
      </c>
      <c r="P780" s="3"/>
      <c r="Q780" s="3"/>
      <c r="R780" s="3"/>
      <c r="S780" s="3"/>
      <c r="T780" s="3"/>
      <c r="U780" s="3"/>
      <c r="V780" s="3"/>
      <c r="W780" s="3"/>
      <c r="X780" s="3"/>
      <c r="Y780" s="3"/>
      <c r="Z780" s="3"/>
      <c r="AA780" s="3"/>
      <c r="AB780" s="3"/>
    </row>
    <row r="781" customFormat="false" ht="15" hidden="false" customHeight="false" outlineLevel="0" collapsed="false">
      <c r="A781" s="54"/>
      <c r="B781" s="52"/>
      <c r="C781" s="56"/>
      <c r="D781" s="56"/>
      <c r="E781" s="56"/>
      <c r="F781" s="56"/>
      <c r="G781" s="55"/>
      <c r="H781" s="56"/>
      <c r="I781" s="56"/>
      <c r="J781" s="56"/>
      <c r="K781" s="56"/>
      <c r="L781" s="56"/>
      <c r="M781" s="52"/>
      <c r="N781" s="53"/>
      <c r="O781" s="62" t="str">
        <f aca="false">IF($B781="","",TEXT($A781,"YYYY-MM-DD")&amp;"|"&amp;$B781)</f>
        <v/>
      </c>
      <c r="P781" s="3"/>
      <c r="Q781" s="3"/>
      <c r="R781" s="3"/>
      <c r="S781" s="3"/>
      <c r="T781" s="3"/>
      <c r="U781" s="3"/>
      <c r="V781" s="3"/>
      <c r="W781" s="3"/>
      <c r="X781" s="3"/>
      <c r="Y781" s="3"/>
      <c r="Z781" s="3"/>
      <c r="AA781" s="3"/>
      <c r="AB781" s="3"/>
    </row>
    <row r="782" customFormat="false" ht="15" hidden="false" customHeight="false" outlineLevel="0" collapsed="false">
      <c r="A782" s="48"/>
      <c r="B782" s="46"/>
      <c r="C782" s="50"/>
      <c r="D782" s="50"/>
      <c r="E782" s="50"/>
      <c r="F782" s="50"/>
      <c r="G782" s="49"/>
      <c r="H782" s="50"/>
      <c r="I782" s="50"/>
      <c r="J782" s="50"/>
      <c r="K782" s="50"/>
      <c r="L782" s="50"/>
      <c r="M782" s="46"/>
      <c r="N782" s="47"/>
      <c r="O782" s="62" t="str">
        <f aca="false">IF($B782="","",TEXT($A782,"YYYY-MM-DD")&amp;"|"&amp;$B782)</f>
        <v/>
      </c>
      <c r="P782" s="3"/>
      <c r="Q782" s="3"/>
      <c r="R782" s="3"/>
      <c r="S782" s="3"/>
      <c r="T782" s="3"/>
      <c r="U782" s="3"/>
      <c r="V782" s="3"/>
      <c r="W782" s="3"/>
      <c r="X782" s="3"/>
      <c r="Y782" s="3"/>
      <c r="Z782" s="3"/>
      <c r="AA782" s="3"/>
      <c r="AB782" s="3"/>
    </row>
    <row r="783" customFormat="false" ht="15" hidden="false" customHeight="false" outlineLevel="0" collapsed="false">
      <c r="A783" s="54"/>
      <c r="B783" s="52"/>
      <c r="C783" s="56"/>
      <c r="D783" s="56"/>
      <c r="E783" s="56"/>
      <c r="F783" s="56"/>
      <c r="G783" s="55"/>
      <c r="H783" s="56"/>
      <c r="I783" s="56"/>
      <c r="J783" s="56"/>
      <c r="K783" s="56"/>
      <c r="L783" s="56"/>
      <c r="M783" s="52"/>
      <c r="N783" s="53"/>
      <c r="O783" s="62" t="str">
        <f aca="false">IF($B783="","",TEXT($A783,"YYYY-MM-DD")&amp;"|"&amp;$B783)</f>
        <v/>
      </c>
      <c r="P783" s="3"/>
      <c r="Q783" s="3"/>
      <c r="R783" s="3"/>
      <c r="S783" s="3"/>
      <c r="T783" s="3"/>
      <c r="U783" s="3"/>
      <c r="V783" s="3"/>
      <c r="W783" s="3"/>
      <c r="X783" s="3"/>
      <c r="Y783" s="3"/>
      <c r="Z783" s="3"/>
      <c r="AA783" s="3"/>
      <c r="AB783" s="3"/>
    </row>
    <row r="784" customFormat="false" ht="15" hidden="false" customHeight="false" outlineLevel="0" collapsed="false">
      <c r="A784" s="48"/>
      <c r="B784" s="46"/>
      <c r="C784" s="50"/>
      <c r="D784" s="50"/>
      <c r="E784" s="50"/>
      <c r="F784" s="50"/>
      <c r="G784" s="49"/>
      <c r="H784" s="50"/>
      <c r="I784" s="50"/>
      <c r="J784" s="50"/>
      <c r="K784" s="50"/>
      <c r="L784" s="50"/>
      <c r="M784" s="46"/>
      <c r="N784" s="47"/>
      <c r="O784" s="62" t="str">
        <f aca="false">IF($B784="","",TEXT($A784,"YYYY-MM-DD")&amp;"|"&amp;$B784)</f>
        <v/>
      </c>
      <c r="P784" s="3"/>
      <c r="Q784" s="3"/>
      <c r="R784" s="3"/>
      <c r="S784" s="3"/>
      <c r="T784" s="3"/>
      <c r="U784" s="3"/>
      <c r="V784" s="3"/>
      <c r="W784" s="3"/>
      <c r="X784" s="3"/>
      <c r="Y784" s="3"/>
      <c r="Z784" s="3"/>
      <c r="AA784" s="3"/>
      <c r="AB784" s="3"/>
    </row>
    <row r="785" customFormat="false" ht="15" hidden="false" customHeight="false" outlineLevel="0" collapsed="false">
      <c r="A785" s="54"/>
      <c r="B785" s="52"/>
      <c r="C785" s="56"/>
      <c r="D785" s="56"/>
      <c r="E785" s="56"/>
      <c r="F785" s="56"/>
      <c r="G785" s="55"/>
      <c r="H785" s="56"/>
      <c r="I785" s="56"/>
      <c r="J785" s="56"/>
      <c r="K785" s="56"/>
      <c r="L785" s="56"/>
      <c r="M785" s="52"/>
      <c r="N785" s="53"/>
      <c r="O785" s="62" t="str">
        <f aca="false">IF($B785="","",TEXT($A785,"YYYY-MM-DD")&amp;"|"&amp;$B785)</f>
        <v/>
      </c>
      <c r="P785" s="3"/>
      <c r="Q785" s="3"/>
      <c r="R785" s="3"/>
      <c r="S785" s="3"/>
      <c r="T785" s="3"/>
      <c r="U785" s="3"/>
      <c r="V785" s="3"/>
      <c r="W785" s="3"/>
      <c r="X785" s="3"/>
      <c r="Y785" s="3"/>
      <c r="Z785" s="3"/>
      <c r="AA785" s="3"/>
      <c r="AB785" s="3"/>
    </row>
    <row r="786" customFormat="false" ht="15" hidden="false" customHeight="false" outlineLevel="0" collapsed="false">
      <c r="A786" s="48"/>
      <c r="B786" s="46"/>
      <c r="C786" s="50"/>
      <c r="D786" s="50"/>
      <c r="E786" s="50"/>
      <c r="F786" s="50"/>
      <c r="G786" s="49"/>
      <c r="H786" s="50"/>
      <c r="I786" s="50"/>
      <c r="J786" s="50"/>
      <c r="K786" s="50"/>
      <c r="L786" s="50"/>
      <c r="M786" s="46"/>
      <c r="N786" s="47"/>
      <c r="O786" s="62" t="str">
        <f aca="false">IF($B786="","",TEXT($A786,"YYYY-MM-DD")&amp;"|"&amp;$B786)</f>
        <v/>
      </c>
      <c r="P786" s="3"/>
      <c r="Q786" s="3"/>
      <c r="R786" s="3"/>
      <c r="S786" s="3"/>
      <c r="T786" s="3"/>
      <c r="U786" s="3"/>
      <c r="V786" s="3"/>
      <c r="W786" s="3"/>
      <c r="X786" s="3"/>
      <c r="Y786" s="3"/>
      <c r="Z786" s="3"/>
      <c r="AA786" s="3"/>
      <c r="AB786" s="3"/>
    </row>
    <row r="787" customFormat="false" ht="15" hidden="false" customHeight="false" outlineLevel="0" collapsed="false">
      <c r="A787" s="54"/>
      <c r="B787" s="52"/>
      <c r="C787" s="56"/>
      <c r="D787" s="56"/>
      <c r="E787" s="56"/>
      <c r="F787" s="56"/>
      <c r="G787" s="55"/>
      <c r="H787" s="56"/>
      <c r="I787" s="56"/>
      <c r="J787" s="56"/>
      <c r="K787" s="56"/>
      <c r="L787" s="56"/>
      <c r="M787" s="52"/>
      <c r="N787" s="53"/>
      <c r="O787" s="62" t="str">
        <f aca="false">IF($B787="","",TEXT($A787,"YYYY-MM-DD")&amp;"|"&amp;$B787)</f>
        <v/>
      </c>
      <c r="P787" s="3"/>
      <c r="Q787" s="3"/>
      <c r="R787" s="3"/>
      <c r="S787" s="3"/>
      <c r="T787" s="3"/>
      <c r="U787" s="3"/>
      <c r="V787" s="3"/>
      <c r="W787" s="3"/>
      <c r="X787" s="3"/>
      <c r="Y787" s="3"/>
      <c r="Z787" s="3"/>
      <c r="AA787" s="3"/>
      <c r="AB787" s="3"/>
    </row>
    <row r="788" customFormat="false" ht="15" hidden="false" customHeight="false" outlineLevel="0" collapsed="false">
      <c r="A788" s="48"/>
      <c r="B788" s="46"/>
      <c r="C788" s="50"/>
      <c r="D788" s="50"/>
      <c r="E788" s="50"/>
      <c r="F788" s="50"/>
      <c r="G788" s="49"/>
      <c r="H788" s="50"/>
      <c r="I788" s="50"/>
      <c r="J788" s="50"/>
      <c r="K788" s="50"/>
      <c r="L788" s="50"/>
      <c r="M788" s="46"/>
      <c r="N788" s="47"/>
      <c r="O788" s="62" t="str">
        <f aca="false">IF($B788="","",TEXT($A788,"YYYY-MM-DD")&amp;"|"&amp;$B788)</f>
        <v/>
      </c>
      <c r="P788" s="3"/>
      <c r="Q788" s="3"/>
      <c r="R788" s="3"/>
      <c r="S788" s="3"/>
      <c r="T788" s="3"/>
      <c r="U788" s="3"/>
      <c r="V788" s="3"/>
      <c r="W788" s="3"/>
      <c r="X788" s="3"/>
      <c r="Y788" s="3"/>
      <c r="Z788" s="3"/>
      <c r="AA788" s="3"/>
      <c r="AB788" s="3"/>
    </row>
    <row r="789" customFormat="false" ht="15" hidden="false" customHeight="false" outlineLevel="0" collapsed="false">
      <c r="A789" s="54"/>
      <c r="B789" s="52"/>
      <c r="C789" s="56"/>
      <c r="D789" s="56"/>
      <c r="E789" s="56"/>
      <c r="F789" s="56"/>
      <c r="G789" s="55"/>
      <c r="H789" s="56"/>
      <c r="I789" s="56"/>
      <c r="J789" s="56"/>
      <c r="K789" s="56"/>
      <c r="L789" s="56"/>
      <c r="M789" s="52"/>
      <c r="N789" s="53"/>
      <c r="O789" s="62" t="str">
        <f aca="false">IF($B789="","",TEXT($A789,"YYYY-MM-DD")&amp;"|"&amp;$B789)</f>
        <v/>
      </c>
      <c r="P789" s="3"/>
      <c r="Q789" s="3"/>
      <c r="R789" s="3"/>
      <c r="S789" s="3"/>
      <c r="T789" s="3"/>
      <c r="U789" s="3"/>
      <c r="V789" s="3"/>
      <c r="W789" s="3"/>
      <c r="X789" s="3"/>
      <c r="Y789" s="3"/>
      <c r="Z789" s="3"/>
      <c r="AA789" s="3"/>
      <c r="AB789" s="3"/>
    </row>
    <row r="790" customFormat="false" ht="15" hidden="false" customHeight="false" outlineLevel="0" collapsed="false">
      <c r="A790" s="48"/>
      <c r="B790" s="46"/>
      <c r="C790" s="50"/>
      <c r="D790" s="50"/>
      <c r="E790" s="50"/>
      <c r="F790" s="50"/>
      <c r="G790" s="49"/>
      <c r="H790" s="50"/>
      <c r="I790" s="50"/>
      <c r="J790" s="50"/>
      <c r="K790" s="50"/>
      <c r="L790" s="50"/>
      <c r="M790" s="46"/>
      <c r="N790" s="47"/>
      <c r="O790" s="62" t="str">
        <f aca="false">IF($B790="","",TEXT($A790,"YYYY-MM-DD")&amp;"|"&amp;$B790)</f>
        <v/>
      </c>
      <c r="P790" s="3"/>
      <c r="Q790" s="3"/>
      <c r="R790" s="3"/>
      <c r="S790" s="3"/>
      <c r="T790" s="3"/>
      <c r="U790" s="3"/>
      <c r="V790" s="3"/>
      <c r="W790" s="3"/>
      <c r="X790" s="3"/>
      <c r="Y790" s="3"/>
      <c r="Z790" s="3"/>
      <c r="AA790" s="3"/>
      <c r="AB790" s="3"/>
    </row>
    <row r="791" customFormat="false" ht="15" hidden="false" customHeight="false" outlineLevel="0" collapsed="false">
      <c r="A791" s="54"/>
      <c r="B791" s="52"/>
      <c r="C791" s="56"/>
      <c r="D791" s="56"/>
      <c r="E791" s="56"/>
      <c r="F791" s="56"/>
      <c r="G791" s="55"/>
      <c r="H791" s="56"/>
      <c r="I791" s="56"/>
      <c r="J791" s="56"/>
      <c r="K791" s="56"/>
      <c r="L791" s="56"/>
      <c r="M791" s="52"/>
      <c r="N791" s="53"/>
      <c r="O791" s="62" t="str">
        <f aca="false">IF($B791="","",TEXT($A791,"YYYY-MM-DD")&amp;"|"&amp;$B791)</f>
        <v/>
      </c>
      <c r="P791" s="3"/>
      <c r="Q791" s="3"/>
      <c r="R791" s="3"/>
      <c r="S791" s="3"/>
      <c r="T791" s="3"/>
      <c r="U791" s="3"/>
      <c r="V791" s="3"/>
      <c r="W791" s="3"/>
      <c r="X791" s="3"/>
      <c r="Y791" s="3"/>
      <c r="Z791" s="3"/>
      <c r="AA791" s="3"/>
      <c r="AB791" s="3"/>
    </row>
    <row r="792" customFormat="false" ht="15" hidden="false" customHeight="false" outlineLevel="0" collapsed="false">
      <c r="A792" s="48"/>
      <c r="B792" s="46"/>
      <c r="C792" s="50"/>
      <c r="D792" s="50"/>
      <c r="E792" s="50"/>
      <c r="F792" s="50"/>
      <c r="G792" s="49"/>
      <c r="H792" s="50"/>
      <c r="I792" s="50"/>
      <c r="J792" s="50"/>
      <c r="K792" s="50"/>
      <c r="L792" s="50"/>
      <c r="M792" s="46"/>
      <c r="N792" s="47"/>
      <c r="O792" s="62" t="str">
        <f aca="false">IF($B792="","",TEXT($A792,"YYYY-MM-DD")&amp;"|"&amp;$B792)</f>
        <v/>
      </c>
      <c r="P792" s="3"/>
      <c r="Q792" s="3"/>
      <c r="R792" s="3"/>
      <c r="S792" s="3"/>
      <c r="T792" s="3"/>
      <c r="U792" s="3"/>
      <c r="V792" s="3"/>
      <c r="W792" s="3"/>
      <c r="X792" s="3"/>
      <c r="Y792" s="3"/>
      <c r="Z792" s="3"/>
      <c r="AA792" s="3"/>
      <c r="AB792" s="3"/>
    </row>
    <row r="793" customFormat="false" ht="15" hidden="false" customHeight="false" outlineLevel="0" collapsed="false">
      <c r="A793" s="54"/>
      <c r="B793" s="52"/>
      <c r="C793" s="56"/>
      <c r="D793" s="56"/>
      <c r="E793" s="56"/>
      <c r="F793" s="56"/>
      <c r="G793" s="55"/>
      <c r="H793" s="56"/>
      <c r="I793" s="56"/>
      <c r="J793" s="56"/>
      <c r="K793" s="56"/>
      <c r="L793" s="56"/>
      <c r="M793" s="52"/>
      <c r="N793" s="53"/>
      <c r="O793" s="62" t="str">
        <f aca="false">IF($B793="","",TEXT($A793,"YYYY-MM-DD")&amp;"|"&amp;$B793)</f>
        <v/>
      </c>
      <c r="P793" s="3"/>
      <c r="Q793" s="3"/>
      <c r="R793" s="3"/>
      <c r="S793" s="3"/>
      <c r="T793" s="3"/>
      <c r="U793" s="3"/>
      <c r="V793" s="3"/>
      <c r="W793" s="3"/>
      <c r="X793" s="3"/>
      <c r="Y793" s="3"/>
      <c r="Z793" s="3"/>
      <c r="AA793" s="3"/>
      <c r="AB793" s="3"/>
    </row>
    <row r="794" customFormat="false" ht="15" hidden="false" customHeight="false" outlineLevel="0" collapsed="false">
      <c r="A794" s="48"/>
      <c r="B794" s="46"/>
      <c r="C794" s="50"/>
      <c r="D794" s="50"/>
      <c r="E794" s="50"/>
      <c r="F794" s="50"/>
      <c r="G794" s="49"/>
      <c r="H794" s="50"/>
      <c r="I794" s="50"/>
      <c r="J794" s="50"/>
      <c r="K794" s="50"/>
      <c r="L794" s="50"/>
      <c r="M794" s="46"/>
      <c r="N794" s="47"/>
      <c r="O794" s="62" t="str">
        <f aca="false">IF($B794="","",TEXT($A794,"YYYY-MM-DD")&amp;"|"&amp;$B794)</f>
        <v/>
      </c>
      <c r="P794" s="3"/>
      <c r="Q794" s="3"/>
      <c r="R794" s="3"/>
      <c r="S794" s="3"/>
      <c r="T794" s="3"/>
      <c r="U794" s="3"/>
      <c r="V794" s="3"/>
      <c r="W794" s="3"/>
      <c r="X794" s="3"/>
      <c r="Y794" s="3"/>
      <c r="Z794" s="3"/>
      <c r="AA794" s="3"/>
      <c r="AB794" s="3"/>
    </row>
    <row r="795" customFormat="false" ht="15" hidden="false" customHeight="false" outlineLevel="0" collapsed="false">
      <c r="A795" s="54"/>
      <c r="B795" s="52"/>
      <c r="C795" s="56"/>
      <c r="D795" s="56"/>
      <c r="E795" s="56"/>
      <c r="F795" s="56"/>
      <c r="G795" s="55"/>
      <c r="H795" s="56"/>
      <c r="I795" s="56"/>
      <c r="J795" s="56"/>
      <c r="K795" s="56"/>
      <c r="L795" s="56"/>
      <c r="M795" s="52"/>
      <c r="N795" s="53"/>
      <c r="O795" s="62" t="str">
        <f aca="false">IF($B795="","",TEXT($A795,"YYYY-MM-DD")&amp;"|"&amp;$B795)</f>
        <v/>
      </c>
      <c r="P795" s="3"/>
      <c r="Q795" s="3"/>
      <c r="R795" s="3"/>
      <c r="S795" s="3"/>
      <c r="T795" s="3"/>
      <c r="U795" s="3"/>
      <c r="V795" s="3"/>
      <c r="W795" s="3"/>
      <c r="X795" s="3"/>
      <c r="Y795" s="3"/>
      <c r="Z795" s="3"/>
      <c r="AA795" s="3"/>
      <c r="AB795" s="3"/>
    </row>
    <row r="796" customFormat="false" ht="15" hidden="false" customHeight="false" outlineLevel="0" collapsed="false">
      <c r="A796" s="48"/>
      <c r="B796" s="46"/>
      <c r="C796" s="50"/>
      <c r="D796" s="50"/>
      <c r="E796" s="50"/>
      <c r="F796" s="50"/>
      <c r="G796" s="49"/>
      <c r="H796" s="50"/>
      <c r="I796" s="50"/>
      <c r="J796" s="50"/>
      <c r="K796" s="50"/>
      <c r="L796" s="50"/>
      <c r="M796" s="46"/>
      <c r="N796" s="47"/>
      <c r="O796" s="62" t="str">
        <f aca="false">IF($B796="","",TEXT($A796,"YYYY-MM-DD")&amp;"|"&amp;$B796)</f>
        <v/>
      </c>
      <c r="P796" s="3"/>
      <c r="Q796" s="3"/>
      <c r="R796" s="3"/>
      <c r="S796" s="3"/>
      <c r="T796" s="3"/>
      <c r="U796" s="3"/>
      <c r="V796" s="3"/>
      <c r="W796" s="3"/>
      <c r="X796" s="3"/>
      <c r="Y796" s="3"/>
      <c r="Z796" s="3"/>
      <c r="AA796" s="3"/>
      <c r="AB796" s="3"/>
    </row>
    <row r="797" customFormat="false" ht="15" hidden="false" customHeight="false" outlineLevel="0" collapsed="false">
      <c r="A797" s="54"/>
      <c r="B797" s="52"/>
      <c r="C797" s="56"/>
      <c r="D797" s="56"/>
      <c r="E797" s="56"/>
      <c r="F797" s="56"/>
      <c r="G797" s="55"/>
      <c r="H797" s="56"/>
      <c r="I797" s="56"/>
      <c r="J797" s="56"/>
      <c r="K797" s="56"/>
      <c r="L797" s="56"/>
      <c r="M797" s="52"/>
      <c r="N797" s="53"/>
      <c r="O797" s="62" t="str">
        <f aca="false">IF($B797="","",TEXT($A797,"YYYY-MM-DD")&amp;"|"&amp;$B797)</f>
        <v/>
      </c>
      <c r="P797" s="3"/>
      <c r="Q797" s="3"/>
      <c r="R797" s="3"/>
      <c r="S797" s="3"/>
      <c r="T797" s="3"/>
      <c r="U797" s="3"/>
      <c r="V797" s="3"/>
      <c r="W797" s="3"/>
      <c r="X797" s="3"/>
      <c r="Y797" s="3"/>
      <c r="Z797" s="3"/>
      <c r="AA797" s="3"/>
      <c r="AB797" s="3"/>
    </row>
    <row r="798" customFormat="false" ht="15" hidden="false" customHeight="false" outlineLevel="0" collapsed="false">
      <c r="A798" s="48"/>
      <c r="B798" s="46"/>
      <c r="C798" s="50"/>
      <c r="D798" s="50"/>
      <c r="E798" s="50"/>
      <c r="F798" s="50"/>
      <c r="G798" s="49"/>
      <c r="H798" s="50"/>
      <c r="I798" s="50"/>
      <c r="J798" s="50"/>
      <c r="K798" s="50"/>
      <c r="L798" s="50"/>
      <c r="M798" s="46"/>
      <c r="N798" s="47"/>
      <c r="O798" s="62" t="str">
        <f aca="false">IF($B798="","",TEXT($A798,"YYYY-MM-DD")&amp;"|"&amp;$B798)</f>
        <v/>
      </c>
      <c r="P798" s="3"/>
      <c r="Q798" s="3"/>
      <c r="R798" s="3"/>
      <c r="S798" s="3"/>
      <c r="T798" s="3"/>
      <c r="U798" s="3"/>
      <c r="V798" s="3"/>
      <c r="W798" s="3"/>
      <c r="X798" s="3"/>
      <c r="Y798" s="3"/>
      <c r="Z798" s="3"/>
      <c r="AA798" s="3"/>
      <c r="AB798" s="3"/>
    </row>
    <row r="799" customFormat="false" ht="15" hidden="false" customHeight="false" outlineLevel="0" collapsed="false">
      <c r="A799" s="54"/>
      <c r="B799" s="52"/>
      <c r="C799" s="56"/>
      <c r="D799" s="56"/>
      <c r="E799" s="56"/>
      <c r="F799" s="56"/>
      <c r="G799" s="55"/>
      <c r="H799" s="56"/>
      <c r="I799" s="56"/>
      <c r="J799" s="56"/>
      <c r="K799" s="56"/>
      <c r="L799" s="56"/>
      <c r="M799" s="52"/>
      <c r="N799" s="53"/>
      <c r="O799" s="62" t="str">
        <f aca="false">IF($B799="","",TEXT($A799,"YYYY-MM-DD")&amp;"|"&amp;$B799)</f>
        <v/>
      </c>
      <c r="P799" s="3"/>
      <c r="Q799" s="3"/>
      <c r="R799" s="3"/>
      <c r="S799" s="3"/>
      <c r="T799" s="3"/>
      <c r="U799" s="3"/>
      <c r="V799" s="3"/>
      <c r="W799" s="3"/>
      <c r="X799" s="3"/>
      <c r="Y799" s="3"/>
      <c r="Z799" s="3"/>
      <c r="AA799" s="3"/>
      <c r="AB799" s="3"/>
    </row>
    <row r="800" customFormat="false" ht="15" hidden="false" customHeight="false" outlineLevel="0" collapsed="false">
      <c r="A800" s="48"/>
      <c r="B800" s="46"/>
      <c r="C800" s="50"/>
      <c r="D800" s="50"/>
      <c r="E800" s="50"/>
      <c r="F800" s="50"/>
      <c r="G800" s="49"/>
      <c r="H800" s="50"/>
      <c r="I800" s="50"/>
      <c r="J800" s="50"/>
      <c r="K800" s="50"/>
      <c r="L800" s="50"/>
      <c r="M800" s="46"/>
      <c r="N800" s="47"/>
      <c r="O800" s="62" t="str">
        <f aca="false">IF($B800="","",TEXT($A800,"YYYY-MM-DD")&amp;"|"&amp;$B800)</f>
        <v/>
      </c>
      <c r="P800" s="3"/>
      <c r="Q800" s="3"/>
      <c r="R800" s="3"/>
      <c r="S800" s="3"/>
      <c r="T800" s="3"/>
      <c r="U800" s="3"/>
      <c r="V800" s="3"/>
      <c r="W800" s="3"/>
      <c r="X800" s="3"/>
      <c r="Y800" s="3"/>
      <c r="Z800" s="3"/>
      <c r="AA800" s="3"/>
      <c r="AB800" s="3"/>
    </row>
    <row r="801" customFormat="false" ht="15" hidden="false" customHeight="false" outlineLevel="0" collapsed="false">
      <c r="A801" s="54"/>
      <c r="B801" s="52"/>
      <c r="C801" s="56"/>
      <c r="D801" s="56"/>
      <c r="E801" s="56"/>
      <c r="F801" s="56"/>
      <c r="G801" s="55"/>
      <c r="H801" s="56"/>
      <c r="I801" s="56"/>
      <c r="J801" s="56"/>
      <c r="K801" s="56"/>
      <c r="L801" s="56"/>
      <c r="M801" s="52"/>
      <c r="N801" s="53"/>
      <c r="O801" s="62" t="str">
        <f aca="false">IF($B801="","",TEXT($A801,"YYYY-MM-DD")&amp;"|"&amp;$B801)</f>
        <v/>
      </c>
      <c r="P801" s="3"/>
      <c r="Q801" s="3"/>
      <c r="R801" s="3"/>
      <c r="S801" s="3"/>
      <c r="T801" s="3"/>
      <c r="U801" s="3"/>
      <c r="V801" s="3"/>
      <c r="W801" s="3"/>
      <c r="X801" s="3"/>
      <c r="Y801" s="3"/>
      <c r="Z801" s="3"/>
      <c r="AA801" s="3"/>
      <c r="AB801" s="3"/>
    </row>
    <row r="802" customFormat="false" ht="15" hidden="false" customHeight="false" outlineLevel="0" collapsed="false">
      <c r="A802" s="48"/>
      <c r="B802" s="46"/>
      <c r="C802" s="50"/>
      <c r="D802" s="50"/>
      <c r="E802" s="50"/>
      <c r="F802" s="50"/>
      <c r="G802" s="49"/>
      <c r="H802" s="50"/>
      <c r="I802" s="50"/>
      <c r="J802" s="50"/>
      <c r="K802" s="50"/>
      <c r="L802" s="50"/>
      <c r="M802" s="46"/>
      <c r="N802" s="47"/>
      <c r="O802" s="62" t="str">
        <f aca="false">IF($B802="","",TEXT($A802,"YYYY-MM-DD")&amp;"|"&amp;$B802)</f>
        <v/>
      </c>
      <c r="P802" s="3"/>
      <c r="Q802" s="3"/>
      <c r="R802" s="3"/>
      <c r="S802" s="3"/>
      <c r="T802" s="3"/>
      <c r="U802" s="3"/>
      <c r="V802" s="3"/>
      <c r="W802" s="3"/>
      <c r="X802" s="3"/>
      <c r="Y802" s="3"/>
      <c r="Z802" s="3"/>
      <c r="AA802" s="3"/>
      <c r="AB802" s="3"/>
    </row>
    <row r="803" customFormat="false" ht="15" hidden="false" customHeight="false" outlineLevel="0" collapsed="false">
      <c r="A803" s="54"/>
      <c r="B803" s="52"/>
      <c r="C803" s="56"/>
      <c r="D803" s="56"/>
      <c r="E803" s="56"/>
      <c r="F803" s="56"/>
      <c r="G803" s="55"/>
      <c r="H803" s="56"/>
      <c r="I803" s="56"/>
      <c r="J803" s="56"/>
      <c r="K803" s="56"/>
      <c r="L803" s="56"/>
      <c r="M803" s="52"/>
      <c r="N803" s="53"/>
      <c r="O803" s="62" t="str">
        <f aca="false">IF($B803="","",TEXT($A803,"YYYY-MM-DD")&amp;"|"&amp;$B803)</f>
        <v/>
      </c>
      <c r="P803" s="3"/>
      <c r="Q803" s="3"/>
      <c r="R803" s="3"/>
      <c r="S803" s="3"/>
      <c r="T803" s="3"/>
      <c r="U803" s="3"/>
      <c r="V803" s="3"/>
      <c r="W803" s="3"/>
      <c r="X803" s="3"/>
      <c r="Y803" s="3"/>
      <c r="Z803" s="3"/>
      <c r="AA803" s="3"/>
      <c r="AB803" s="3"/>
    </row>
    <row r="804" customFormat="false" ht="15" hidden="false" customHeight="false" outlineLevel="0" collapsed="false">
      <c r="A804" s="48"/>
      <c r="B804" s="46"/>
      <c r="C804" s="50"/>
      <c r="D804" s="50"/>
      <c r="E804" s="50"/>
      <c r="F804" s="50"/>
      <c r="G804" s="49"/>
      <c r="H804" s="50"/>
      <c r="I804" s="50"/>
      <c r="J804" s="50"/>
      <c r="K804" s="50"/>
      <c r="L804" s="50"/>
      <c r="M804" s="46"/>
      <c r="N804" s="47"/>
      <c r="O804" s="62" t="str">
        <f aca="false">IF($B804="","",TEXT($A804,"YYYY-MM-DD")&amp;"|"&amp;$B804)</f>
        <v/>
      </c>
      <c r="P804" s="3"/>
      <c r="Q804" s="3"/>
      <c r="R804" s="3"/>
      <c r="S804" s="3"/>
      <c r="T804" s="3"/>
      <c r="U804" s="3"/>
      <c r="V804" s="3"/>
      <c r="W804" s="3"/>
      <c r="X804" s="3"/>
      <c r="Y804" s="3"/>
      <c r="Z804" s="3"/>
      <c r="AA804" s="3"/>
      <c r="AB804" s="3"/>
    </row>
    <row r="805" customFormat="false" ht="15" hidden="false" customHeight="false" outlineLevel="0" collapsed="false">
      <c r="A805" s="54"/>
      <c r="B805" s="52"/>
      <c r="C805" s="56"/>
      <c r="D805" s="56"/>
      <c r="E805" s="56"/>
      <c r="F805" s="56"/>
      <c r="G805" s="55"/>
      <c r="H805" s="56"/>
      <c r="I805" s="56"/>
      <c r="J805" s="56"/>
      <c r="K805" s="56"/>
      <c r="L805" s="56"/>
      <c r="M805" s="52"/>
      <c r="N805" s="53"/>
      <c r="O805" s="62" t="str">
        <f aca="false">IF($B805="","",TEXT($A805,"YYYY-MM-DD")&amp;"|"&amp;$B805)</f>
        <v/>
      </c>
      <c r="P805" s="3"/>
      <c r="Q805" s="3"/>
      <c r="R805" s="3"/>
      <c r="S805" s="3"/>
      <c r="T805" s="3"/>
      <c r="U805" s="3"/>
      <c r="V805" s="3"/>
      <c r="W805" s="3"/>
      <c r="X805" s="3"/>
      <c r="Y805" s="3"/>
      <c r="Z805" s="3"/>
      <c r="AA805" s="3"/>
      <c r="AB805" s="3"/>
    </row>
    <row r="806" customFormat="false" ht="15" hidden="false" customHeight="false" outlineLevel="0" collapsed="false">
      <c r="A806" s="48"/>
      <c r="B806" s="46"/>
      <c r="C806" s="50"/>
      <c r="D806" s="50"/>
      <c r="E806" s="50"/>
      <c r="F806" s="50"/>
      <c r="G806" s="49"/>
      <c r="H806" s="50"/>
      <c r="I806" s="50"/>
      <c r="J806" s="50"/>
      <c r="K806" s="50"/>
      <c r="L806" s="50"/>
      <c r="M806" s="46"/>
      <c r="N806" s="47"/>
      <c r="O806" s="62" t="str">
        <f aca="false">IF($B806="","",TEXT($A806,"YYYY-MM-DD")&amp;"|"&amp;$B806)</f>
        <v/>
      </c>
      <c r="P806" s="3"/>
      <c r="Q806" s="3"/>
      <c r="R806" s="3"/>
      <c r="S806" s="3"/>
      <c r="T806" s="3"/>
      <c r="U806" s="3"/>
      <c r="V806" s="3"/>
      <c r="W806" s="3"/>
      <c r="X806" s="3"/>
      <c r="Y806" s="3"/>
      <c r="Z806" s="3"/>
      <c r="AA806" s="3"/>
      <c r="AB806" s="3"/>
    </row>
    <row r="807" customFormat="false" ht="15" hidden="false" customHeight="false" outlineLevel="0" collapsed="false">
      <c r="A807" s="54"/>
      <c r="B807" s="52"/>
      <c r="C807" s="56"/>
      <c r="D807" s="56"/>
      <c r="E807" s="56"/>
      <c r="F807" s="56"/>
      <c r="G807" s="55"/>
      <c r="H807" s="56"/>
      <c r="I807" s="56"/>
      <c r="J807" s="56"/>
      <c r="K807" s="56"/>
      <c r="L807" s="56"/>
      <c r="M807" s="52"/>
      <c r="N807" s="53"/>
      <c r="O807" s="62" t="str">
        <f aca="false">IF($B807="","",TEXT($A807,"YYYY-MM-DD")&amp;"|"&amp;$B807)</f>
        <v/>
      </c>
      <c r="P807" s="3"/>
      <c r="Q807" s="3"/>
      <c r="R807" s="3"/>
      <c r="S807" s="3"/>
      <c r="T807" s="3"/>
      <c r="U807" s="3"/>
      <c r="V807" s="3"/>
      <c r="W807" s="3"/>
      <c r="X807" s="3"/>
      <c r="Y807" s="3"/>
      <c r="Z807" s="3"/>
      <c r="AA807" s="3"/>
      <c r="AB807" s="3"/>
    </row>
    <row r="808" customFormat="false" ht="15" hidden="false" customHeight="false" outlineLevel="0" collapsed="false">
      <c r="A808" s="48"/>
      <c r="B808" s="46"/>
      <c r="C808" s="50"/>
      <c r="D808" s="50"/>
      <c r="E808" s="50"/>
      <c r="F808" s="50"/>
      <c r="G808" s="49"/>
      <c r="H808" s="50"/>
      <c r="I808" s="50"/>
      <c r="J808" s="50"/>
      <c r="K808" s="50"/>
      <c r="L808" s="50"/>
      <c r="M808" s="46"/>
      <c r="N808" s="47"/>
      <c r="O808" s="62" t="str">
        <f aca="false">IF($B808="","",TEXT($A808,"YYYY-MM-DD")&amp;"|"&amp;$B808)</f>
        <v/>
      </c>
      <c r="P808" s="3"/>
      <c r="Q808" s="3"/>
      <c r="R808" s="3"/>
      <c r="S808" s="3"/>
      <c r="T808" s="3"/>
      <c r="U808" s="3"/>
      <c r="V808" s="3"/>
      <c r="W808" s="3"/>
      <c r="X808" s="3"/>
      <c r="Y808" s="3"/>
      <c r="Z808" s="3"/>
      <c r="AA808" s="3"/>
      <c r="AB808" s="3"/>
    </row>
    <row r="809" customFormat="false" ht="15" hidden="false" customHeight="false" outlineLevel="0" collapsed="false">
      <c r="A809" s="54"/>
      <c r="B809" s="52"/>
      <c r="C809" s="56"/>
      <c r="D809" s="56"/>
      <c r="E809" s="56"/>
      <c r="F809" s="56"/>
      <c r="G809" s="55"/>
      <c r="H809" s="56"/>
      <c r="I809" s="56"/>
      <c r="J809" s="56"/>
      <c r="K809" s="56"/>
      <c r="L809" s="56"/>
      <c r="M809" s="52"/>
      <c r="N809" s="53"/>
      <c r="O809" s="62" t="str">
        <f aca="false">IF($B809="","",TEXT($A809,"YYYY-MM-DD")&amp;"|"&amp;$B809)</f>
        <v/>
      </c>
      <c r="P809" s="3"/>
      <c r="Q809" s="3"/>
      <c r="R809" s="3"/>
      <c r="S809" s="3"/>
      <c r="T809" s="3"/>
      <c r="U809" s="3"/>
      <c r="V809" s="3"/>
      <c r="W809" s="3"/>
      <c r="X809" s="3"/>
      <c r="Y809" s="3"/>
      <c r="Z809" s="3"/>
      <c r="AA809" s="3"/>
      <c r="AB809" s="3"/>
    </row>
    <row r="810" customFormat="false" ht="15" hidden="false" customHeight="false" outlineLevel="0" collapsed="false">
      <c r="A810" s="48"/>
      <c r="B810" s="46"/>
      <c r="C810" s="50"/>
      <c r="D810" s="50"/>
      <c r="E810" s="50"/>
      <c r="F810" s="50"/>
      <c r="G810" s="49"/>
      <c r="H810" s="50"/>
      <c r="I810" s="50"/>
      <c r="J810" s="50"/>
      <c r="K810" s="50"/>
      <c r="L810" s="50"/>
      <c r="M810" s="46"/>
      <c r="N810" s="47"/>
      <c r="O810" s="62" t="str">
        <f aca="false">IF($B810="","",TEXT($A810,"YYYY-MM-DD")&amp;"|"&amp;$B810)</f>
        <v/>
      </c>
      <c r="P810" s="3"/>
      <c r="Q810" s="3"/>
      <c r="R810" s="3"/>
      <c r="S810" s="3"/>
      <c r="T810" s="3"/>
      <c r="U810" s="3"/>
      <c r="V810" s="3"/>
      <c r="W810" s="3"/>
      <c r="X810" s="3"/>
      <c r="Y810" s="3"/>
      <c r="Z810" s="3"/>
      <c r="AA810" s="3"/>
      <c r="AB810" s="3"/>
    </row>
    <row r="811" customFormat="false" ht="15" hidden="false" customHeight="false" outlineLevel="0" collapsed="false">
      <c r="A811" s="54"/>
      <c r="B811" s="52"/>
      <c r="C811" s="56"/>
      <c r="D811" s="56"/>
      <c r="E811" s="56"/>
      <c r="F811" s="56"/>
      <c r="G811" s="55"/>
      <c r="H811" s="56"/>
      <c r="I811" s="56"/>
      <c r="J811" s="56"/>
      <c r="K811" s="56"/>
      <c r="L811" s="56"/>
      <c r="M811" s="52"/>
      <c r="N811" s="53"/>
      <c r="O811" s="62" t="str">
        <f aca="false">IF($B811="","",TEXT($A811,"YYYY-MM-DD")&amp;"|"&amp;$B811)</f>
        <v/>
      </c>
      <c r="P811" s="3"/>
      <c r="Q811" s="3"/>
      <c r="R811" s="3"/>
      <c r="S811" s="3"/>
      <c r="T811" s="3"/>
      <c r="U811" s="3"/>
      <c r="V811" s="3"/>
      <c r="W811" s="3"/>
      <c r="X811" s="3"/>
      <c r="Y811" s="3"/>
      <c r="Z811" s="3"/>
      <c r="AA811" s="3"/>
      <c r="AB811" s="3"/>
    </row>
    <row r="812" customFormat="false" ht="15" hidden="false" customHeight="false" outlineLevel="0" collapsed="false">
      <c r="A812" s="48"/>
      <c r="B812" s="46"/>
      <c r="C812" s="50"/>
      <c r="D812" s="50"/>
      <c r="E812" s="50"/>
      <c r="F812" s="50"/>
      <c r="G812" s="49"/>
      <c r="H812" s="50"/>
      <c r="I812" s="50"/>
      <c r="J812" s="50"/>
      <c r="K812" s="50"/>
      <c r="L812" s="50"/>
      <c r="M812" s="46"/>
      <c r="N812" s="47"/>
      <c r="O812" s="62" t="str">
        <f aca="false">IF($B812="","",TEXT($A812,"YYYY-MM-DD")&amp;"|"&amp;$B812)</f>
        <v/>
      </c>
      <c r="P812" s="3"/>
      <c r="Q812" s="3"/>
      <c r="R812" s="3"/>
      <c r="S812" s="3"/>
      <c r="T812" s="3"/>
      <c r="U812" s="3"/>
      <c r="V812" s="3"/>
      <c r="W812" s="3"/>
      <c r="X812" s="3"/>
      <c r="Y812" s="3"/>
      <c r="Z812" s="3"/>
      <c r="AA812" s="3"/>
      <c r="AB812" s="3"/>
    </row>
    <row r="813" customFormat="false" ht="15" hidden="false" customHeight="false" outlineLevel="0" collapsed="false">
      <c r="A813" s="54"/>
      <c r="B813" s="52"/>
      <c r="C813" s="56"/>
      <c r="D813" s="56"/>
      <c r="E813" s="56"/>
      <c r="F813" s="56"/>
      <c r="G813" s="55"/>
      <c r="H813" s="56"/>
      <c r="I813" s="56"/>
      <c r="J813" s="56"/>
      <c r="K813" s="56"/>
      <c r="L813" s="56"/>
      <c r="M813" s="52"/>
      <c r="N813" s="53"/>
      <c r="O813" s="62" t="str">
        <f aca="false">IF($B813="","",TEXT($A813,"YYYY-MM-DD")&amp;"|"&amp;$B813)</f>
        <v/>
      </c>
      <c r="P813" s="3"/>
      <c r="Q813" s="3"/>
      <c r="R813" s="3"/>
      <c r="S813" s="3"/>
      <c r="T813" s="3"/>
      <c r="U813" s="3"/>
      <c r="V813" s="3"/>
      <c r="W813" s="3"/>
      <c r="X813" s="3"/>
      <c r="Y813" s="3"/>
      <c r="Z813" s="3"/>
      <c r="AA813" s="3"/>
      <c r="AB813" s="3"/>
    </row>
    <row r="814" customFormat="false" ht="15" hidden="false" customHeight="false" outlineLevel="0" collapsed="false">
      <c r="A814" s="48"/>
      <c r="B814" s="46"/>
      <c r="C814" s="50"/>
      <c r="D814" s="50"/>
      <c r="E814" s="50"/>
      <c r="F814" s="50"/>
      <c r="G814" s="49"/>
      <c r="H814" s="50"/>
      <c r="I814" s="50"/>
      <c r="J814" s="50"/>
      <c r="K814" s="50"/>
      <c r="L814" s="50"/>
      <c r="M814" s="46"/>
      <c r="N814" s="47"/>
      <c r="O814" s="62" t="str">
        <f aca="false">IF($B814="","",TEXT($A814,"YYYY-MM-DD")&amp;"|"&amp;$B814)</f>
        <v/>
      </c>
      <c r="P814" s="3"/>
      <c r="Q814" s="3"/>
      <c r="R814" s="3"/>
      <c r="S814" s="3"/>
      <c r="T814" s="3"/>
      <c r="U814" s="3"/>
      <c r="V814" s="3"/>
      <c r="W814" s="3"/>
      <c r="X814" s="3"/>
      <c r="Y814" s="3"/>
      <c r="Z814" s="3"/>
      <c r="AA814" s="3"/>
      <c r="AB814" s="3"/>
    </row>
    <row r="815" customFormat="false" ht="15" hidden="false" customHeight="false" outlineLevel="0" collapsed="false">
      <c r="A815" s="54"/>
      <c r="B815" s="52"/>
      <c r="C815" s="56"/>
      <c r="D815" s="56"/>
      <c r="E815" s="56"/>
      <c r="F815" s="56"/>
      <c r="G815" s="55"/>
      <c r="H815" s="56"/>
      <c r="I815" s="56"/>
      <c r="J815" s="56"/>
      <c r="K815" s="56"/>
      <c r="L815" s="56"/>
      <c r="M815" s="52"/>
      <c r="N815" s="53"/>
      <c r="O815" s="62" t="str">
        <f aca="false">IF($B815="","",TEXT($A815,"YYYY-MM-DD")&amp;"|"&amp;$B815)</f>
        <v/>
      </c>
      <c r="P815" s="3"/>
      <c r="Q815" s="3"/>
      <c r="R815" s="3"/>
      <c r="S815" s="3"/>
      <c r="T815" s="3"/>
      <c r="U815" s="3"/>
      <c r="V815" s="3"/>
      <c r="W815" s="3"/>
      <c r="X815" s="3"/>
      <c r="Y815" s="3"/>
      <c r="Z815" s="3"/>
      <c r="AA815" s="3"/>
      <c r="AB815" s="3"/>
    </row>
    <row r="816" customFormat="false" ht="15" hidden="false" customHeight="false" outlineLevel="0" collapsed="false">
      <c r="A816" s="48"/>
      <c r="B816" s="46"/>
      <c r="C816" s="50"/>
      <c r="D816" s="50"/>
      <c r="E816" s="50"/>
      <c r="F816" s="50"/>
      <c r="G816" s="49"/>
      <c r="H816" s="50"/>
      <c r="I816" s="50"/>
      <c r="J816" s="50"/>
      <c r="K816" s="50"/>
      <c r="L816" s="50"/>
      <c r="M816" s="46"/>
      <c r="N816" s="47"/>
      <c r="O816" s="62" t="str">
        <f aca="false">IF($B816="","",TEXT($A816,"YYYY-MM-DD")&amp;"|"&amp;$B816)</f>
        <v/>
      </c>
      <c r="P816" s="3"/>
      <c r="Q816" s="3"/>
      <c r="R816" s="3"/>
      <c r="S816" s="3"/>
      <c r="T816" s="3"/>
      <c r="U816" s="3"/>
      <c r="V816" s="3"/>
      <c r="W816" s="3"/>
      <c r="X816" s="3"/>
      <c r="Y816" s="3"/>
      <c r="Z816" s="3"/>
      <c r="AA816" s="3"/>
      <c r="AB816" s="3"/>
    </row>
    <row r="817" customFormat="false" ht="15" hidden="false" customHeight="false" outlineLevel="0" collapsed="false">
      <c r="A817" s="54"/>
      <c r="B817" s="52"/>
      <c r="C817" s="56"/>
      <c r="D817" s="56"/>
      <c r="E817" s="56"/>
      <c r="F817" s="56"/>
      <c r="G817" s="55"/>
      <c r="H817" s="56"/>
      <c r="I817" s="56"/>
      <c r="J817" s="56"/>
      <c r="K817" s="56"/>
      <c r="L817" s="56"/>
      <c r="M817" s="52"/>
      <c r="N817" s="53"/>
      <c r="O817" s="62" t="str">
        <f aca="false">IF($B817="","",TEXT($A817,"YYYY-MM-DD")&amp;"|"&amp;$B817)</f>
        <v/>
      </c>
      <c r="P817" s="3"/>
      <c r="Q817" s="3"/>
      <c r="R817" s="3"/>
      <c r="S817" s="3"/>
      <c r="T817" s="3"/>
      <c r="U817" s="3"/>
      <c r="V817" s="3"/>
      <c r="W817" s="3"/>
      <c r="X817" s="3"/>
      <c r="Y817" s="3"/>
      <c r="Z817" s="3"/>
      <c r="AA817" s="3"/>
      <c r="AB817" s="3"/>
    </row>
    <row r="818" customFormat="false" ht="15" hidden="false" customHeight="false" outlineLevel="0" collapsed="false">
      <c r="A818" s="48"/>
      <c r="B818" s="46"/>
      <c r="C818" s="50"/>
      <c r="D818" s="50"/>
      <c r="E818" s="50"/>
      <c r="F818" s="50"/>
      <c r="G818" s="49"/>
      <c r="H818" s="50"/>
      <c r="I818" s="50"/>
      <c r="J818" s="50"/>
      <c r="K818" s="50"/>
      <c r="L818" s="50"/>
      <c r="M818" s="46"/>
      <c r="N818" s="47"/>
      <c r="O818" s="62" t="str">
        <f aca="false">IF($B818="","",TEXT($A818,"YYYY-MM-DD")&amp;"|"&amp;$B818)</f>
        <v/>
      </c>
      <c r="P818" s="3"/>
      <c r="Q818" s="3"/>
      <c r="R818" s="3"/>
      <c r="S818" s="3"/>
      <c r="T818" s="3"/>
      <c r="U818" s="3"/>
      <c r="V818" s="3"/>
      <c r="W818" s="3"/>
      <c r="X818" s="3"/>
      <c r="Y818" s="3"/>
      <c r="Z818" s="3"/>
      <c r="AA818" s="3"/>
      <c r="AB818" s="3"/>
    </row>
    <row r="819" customFormat="false" ht="15" hidden="false" customHeight="false" outlineLevel="0" collapsed="false">
      <c r="A819" s="54"/>
      <c r="B819" s="52"/>
      <c r="C819" s="56"/>
      <c r="D819" s="56"/>
      <c r="E819" s="56"/>
      <c r="F819" s="56"/>
      <c r="G819" s="55"/>
      <c r="H819" s="56"/>
      <c r="I819" s="56"/>
      <c r="J819" s="56"/>
      <c r="K819" s="56"/>
      <c r="L819" s="56"/>
      <c r="M819" s="52"/>
      <c r="N819" s="53"/>
      <c r="O819" s="62" t="str">
        <f aca="false">IF($B819="","",TEXT($A819,"YYYY-MM-DD")&amp;"|"&amp;$B819)</f>
        <v/>
      </c>
      <c r="P819" s="3"/>
      <c r="Q819" s="3"/>
      <c r="R819" s="3"/>
      <c r="S819" s="3"/>
      <c r="T819" s="3"/>
      <c r="U819" s="3"/>
      <c r="V819" s="3"/>
      <c r="W819" s="3"/>
      <c r="X819" s="3"/>
      <c r="Y819" s="3"/>
      <c r="Z819" s="3"/>
      <c r="AA819" s="3"/>
      <c r="AB819" s="3"/>
    </row>
    <row r="820" customFormat="false" ht="15" hidden="false" customHeight="false" outlineLevel="0" collapsed="false">
      <c r="A820" s="48"/>
      <c r="B820" s="46"/>
      <c r="C820" s="50"/>
      <c r="D820" s="50"/>
      <c r="E820" s="50"/>
      <c r="F820" s="50"/>
      <c r="G820" s="49"/>
      <c r="H820" s="50"/>
      <c r="I820" s="50"/>
      <c r="J820" s="50"/>
      <c r="K820" s="50"/>
      <c r="L820" s="50"/>
      <c r="M820" s="46"/>
      <c r="N820" s="47"/>
      <c r="O820" s="62" t="str">
        <f aca="false">IF($B820="","",TEXT($A820,"YYYY-MM-DD")&amp;"|"&amp;$B820)</f>
        <v/>
      </c>
      <c r="P820" s="3"/>
      <c r="Q820" s="3"/>
      <c r="R820" s="3"/>
      <c r="S820" s="3"/>
      <c r="T820" s="3"/>
      <c r="U820" s="3"/>
      <c r="V820" s="3"/>
      <c r="W820" s="3"/>
      <c r="X820" s="3"/>
      <c r="Y820" s="3"/>
      <c r="Z820" s="3"/>
      <c r="AA820" s="3"/>
      <c r="AB820" s="3"/>
    </row>
    <row r="821" customFormat="false" ht="15" hidden="false" customHeight="false" outlineLevel="0" collapsed="false">
      <c r="A821" s="54"/>
      <c r="B821" s="52"/>
      <c r="C821" s="56"/>
      <c r="D821" s="56"/>
      <c r="E821" s="56"/>
      <c r="F821" s="56"/>
      <c r="G821" s="55"/>
      <c r="H821" s="56"/>
      <c r="I821" s="56"/>
      <c r="J821" s="56"/>
      <c r="K821" s="56"/>
      <c r="L821" s="56"/>
      <c r="M821" s="52"/>
      <c r="N821" s="53"/>
      <c r="O821" s="62" t="str">
        <f aca="false">IF($B821="","",TEXT($A821,"YYYY-MM-DD")&amp;"|"&amp;$B821)</f>
        <v/>
      </c>
      <c r="P821" s="3"/>
      <c r="Q821" s="3"/>
      <c r="R821" s="3"/>
      <c r="S821" s="3"/>
      <c r="T821" s="3"/>
      <c r="U821" s="3"/>
      <c r="V821" s="3"/>
      <c r="W821" s="3"/>
      <c r="X821" s="3"/>
      <c r="Y821" s="3"/>
      <c r="Z821" s="3"/>
      <c r="AA821" s="3"/>
      <c r="AB821" s="3"/>
    </row>
    <row r="822" customFormat="false" ht="15" hidden="false" customHeight="false" outlineLevel="0" collapsed="false">
      <c r="A822" s="48"/>
      <c r="B822" s="46"/>
      <c r="C822" s="50"/>
      <c r="D822" s="50"/>
      <c r="E822" s="50"/>
      <c r="F822" s="50"/>
      <c r="G822" s="49"/>
      <c r="H822" s="50"/>
      <c r="I822" s="50"/>
      <c r="J822" s="50"/>
      <c r="K822" s="50"/>
      <c r="L822" s="50"/>
      <c r="M822" s="46"/>
      <c r="N822" s="47"/>
      <c r="O822" s="62" t="str">
        <f aca="false">IF($B822="","",TEXT($A822,"YYYY-MM-DD")&amp;"|"&amp;$B822)</f>
        <v/>
      </c>
      <c r="P822" s="3"/>
      <c r="Q822" s="3"/>
      <c r="R822" s="3"/>
      <c r="S822" s="3"/>
      <c r="T822" s="3"/>
      <c r="U822" s="3"/>
      <c r="V822" s="3"/>
      <c r="W822" s="3"/>
      <c r="X822" s="3"/>
      <c r="Y822" s="3"/>
      <c r="Z822" s="3"/>
      <c r="AA822" s="3"/>
      <c r="AB822" s="3"/>
    </row>
    <row r="823" customFormat="false" ht="15" hidden="false" customHeight="false" outlineLevel="0" collapsed="false">
      <c r="A823" s="54"/>
      <c r="B823" s="52"/>
      <c r="C823" s="56"/>
      <c r="D823" s="56"/>
      <c r="E823" s="56"/>
      <c r="F823" s="56"/>
      <c r="G823" s="55"/>
      <c r="H823" s="56"/>
      <c r="I823" s="56"/>
      <c r="J823" s="56"/>
      <c r="K823" s="56"/>
      <c r="L823" s="56"/>
      <c r="M823" s="52"/>
      <c r="N823" s="53"/>
      <c r="O823" s="62" t="str">
        <f aca="false">IF($B823="","",TEXT($A823,"YYYY-MM-DD")&amp;"|"&amp;$B823)</f>
        <v/>
      </c>
      <c r="P823" s="3"/>
      <c r="Q823" s="3"/>
      <c r="R823" s="3"/>
      <c r="S823" s="3"/>
      <c r="T823" s="3"/>
      <c r="U823" s="3"/>
      <c r="V823" s="3"/>
      <c r="W823" s="3"/>
      <c r="X823" s="3"/>
      <c r="Y823" s="3"/>
      <c r="Z823" s="3"/>
      <c r="AA823" s="3"/>
      <c r="AB823" s="3"/>
    </row>
    <row r="824" customFormat="false" ht="15" hidden="false" customHeight="false" outlineLevel="0" collapsed="false">
      <c r="A824" s="48"/>
      <c r="B824" s="46"/>
      <c r="C824" s="50"/>
      <c r="D824" s="50"/>
      <c r="E824" s="50"/>
      <c r="F824" s="50"/>
      <c r="G824" s="49"/>
      <c r="H824" s="50"/>
      <c r="I824" s="50"/>
      <c r="J824" s="50"/>
      <c r="K824" s="50"/>
      <c r="L824" s="50"/>
      <c r="M824" s="46"/>
      <c r="N824" s="47"/>
      <c r="O824" s="62" t="str">
        <f aca="false">IF($B824="","",TEXT($A824,"YYYY-MM-DD")&amp;"|"&amp;$B824)</f>
        <v/>
      </c>
      <c r="P824" s="3"/>
      <c r="Q824" s="3"/>
      <c r="R824" s="3"/>
      <c r="S824" s="3"/>
      <c r="T824" s="3"/>
      <c r="U824" s="3"/>
      <c r="V824" s="3"/>
      <c r="W824" s="3"/>
      <c r="X824" s="3"/>
      <c r="Y824" s="3"/>
      <c r="Z824" s="3"/>
      <c r="AA824" s="3"/>
      <c r="AB824" s="3"/>
    </row>
    <row r="825" customFormat="false" ht="15" hidden="false" customHeight="false" outlineLevel="0" collapsed="false">
      <c r="A825" s="54"/>
      <c r="B825" s="52"/>
      <c r="C825" s="56"/>
      <c r="D825" s="56"/>
      <c r="E825" s="56"/>
      <c r="F825" s="56"/>
      <c r="G825" s="55"/>
      <c r="H825" s="56"/>
      <c r="I825" s="56"/>
      <c r="J825" s="56"/>
      <c r="K825" s="56"/>
      <c r="L825" s="56"/>
      <c r="M825" s="52"/>
      <c r="N825" s="53"/>
      <c r="O825" s="62" t="str">
        <f aca="false">IF($B825="","",TEXT($A825,"YYYY-MM-DD")&amp;"|"&amp;$B825)</f>
        <v/>
      </c>
      <c r="P825" s="3"/>
      <c r="Q825" s="3"/>
      <c r="R825" s="3"/>
      <c r="S825" s="3"/>
      <c r="T825" s="3"/>
      <c r="U825" s="3"/>
      <c r="V825" s="3"/>
      <c r="W825" s="3"/>
      <c r="X825" s="3"/>
      <c r="Y825" s="3"/>
      <c r="Z825" s="3"/>
      <c r="AA825" s="3"/>
      <c r="AB825" s="3"/>
    </row>
    <row r="826" customFormat="false" ht="15" hidden="false" customHeight="false" outlineLevel="0" collapsed="false">
      <c r="A826" s="48"/>
      <c r="B826" s="46"/>
      <c r="C826" s="50"/>
      <c r="D826" s="50"/>
      <c r="E826" s="50"/>
      <c r="F826" s="50"/>
      <c r="G826" s="49"/>
      <c r="H826" s="50"/>
      <c r="I826" s="50"/>
      <c r="J826" s="50"/>
      <c r="K826" s="50"/>
      <c r="L826" s="50"/>
      <c r="M826" s="46"/>
      <c r="N826" s="47"/>
      <c r="O826" s="62" t="str">
        <f aca="false">IF($B826="","",TEXT($A826,"YYYY-MM-DD")&amp;"|"&amp;$B826)</f>
        <v/>
      </c>
      <c r="P826" s="3"/>
      <c r="Q826" s="3"/>
      <c r="R826" s="3"/>
      <c r="S826" s="3"/>
      <c r="T826" s="3"/>
      <c r="U826" s="3"/>
      <c r="V826" s="3"/>
      <c r="W826" s="3"/>
      <c r="X826" s="3"/>
      <c r="Y826" s="3"/>
      <c r="Z826" s="3"/>
      <c r="AA826" s="3"/>
      <c r="AB826" s="3"/>
    </row>
    <row r="827" customFormat="false" ht="15" hidden="false" customHeight="false" outlineLevel="0" collapsed="false">
      <c r="A827" s="54"/>
      <c r="B827" s="52"/>
      <c r="C827" s="56"/>
      <c r="D827" s="56"/>
      <c r="E827" s="56"/>
      <c r="F827" s="56"/>
      <c r="G827" s="55"/>
      <c r="H827" s="56"/>
      <c r="I827" s="56"/>
      <c r="J827" s="56"/>
      <c r="K827" s="56"/>
      <c r="L827" s="56"/>
      <c r="M827" s="52"/>
      <c r="N827" s="53"/>
      <c r="O827" s="62" t="str">
        <f aca="false">IF($B827="","",TEXT($A827,"YYYY-MM-DD")&amp;"|"&amp;$B827)</f>
        <v/>
      </c>
      <c r="P827" s="3"/>
      <c r="Q827" s="3"/>
      <c r="R827" s="3"/>
      <c r="S827" s="3"/>
      <c r="T827" s="3"/>
      <c r="U827" s="3"/>
      <c r="V827" s="3"/>
      <c r="W827" s="3"/>
      <c r="X827" s="3"/>
      <c r="Y827" s="3"/>
      <c r="Z827" s="3"/>
      <c r="AA827" s="3"/>
      <c r="AB827" s="3"/>
    </row>
    <row r="828" customFormat="false" ht="15" hidden="false" customHeight="false" outlineLevel="0" collapsed="false">
      <c r="A828" s="48"/>
      <c r="B828" s="46"/>
      <c r="C828" s="50"/>
      <c r="D828" s="50"/>
      <c r="E828" s="50"/>
      <c r="F828" s="50"/>
      <c r="G828" s="49"/>
      <c r="H828" s="50"/>
      <c r="I828" s="50"/>
      <c r="J828" s="50"/>
      <c r="K828" s="50"/>
      <c r="L828" s="50"/>
      <c r="M828" s="46"/>
      <c r="N828" s="47"/>
      <c r="O828" s="62" t="str">
        <f aca="false">IF($B828="","",TEXT($A828,"YYYY-MM-DD")&amp;"|"&amp;$B828)</f>
        <v/>
      </c>
      <c r="P828" s="3"/>
      <c r="Q828" s="3"/>
      <c r="R828" s="3"/>
      <c r="S828" s="3"/>
      <c r="T828" s="3"/>
      <c r="U828" s="3"/>
      <c r="V828" s="3"/>
      <c r="W828" s="3"/>
      <c r="X828" s="3"/>
      <c r="Y828" s="3"/>
      <c r="Z828" s="3"/>
      <c r="AA828" s="3"/>
      <c r="AB828" s="3"/>
    </row>
    <row r="829" customFormat="false" ht="15" hidden="false" customHeight="false" outlineLevel="0" collapsed="false">
      <c r="A829" s="54"/>
      <c r="B829" s="52"/>
      <c r="C829" s="56"/>
      <c r="D829" s="56"/>
      <c r="E829" s="56"/>
      <c r="F829" s="56"/>
      <c r="G829" s="55"/>
      <c r="H829" s="56"/>
      <c r="I829" s="56"/>
      <c r="J829" s="56"/>
      <c r="K829" s="56"/>
      <c r="L829" s="56"/>
      <c r="M829" s="52"/>
      <c r="N829" s="53"/>
      <c r="O829" s="62" t="str">
        <f aca="false">IF($B829="","",TEXT($A829,"YYYY-MM-DD")&amp;"|"&amp;$B829)</f>
        <v/>
      </c>
      <c r="P829" s="3"/>
      <c r="Q829" s="3"/>
      <c r="R829" s="3"/>
      <c r="S829" s="3"/>
      <c r="T829" s="3"/>
      <c r="U829" s="3"/>
      <c r="V829" s="3"/>
      <c r="W829" s="3"/>
      <c r="X829" s="3"/>
      <c r="Y829" s="3"/>
      <c r="Z829" s="3"/>
      <c r="AA829" s="3"/>
      <c r="AB829" s="3"/>
    </row>
    <row r="830" customFormat="false" ht="15" hidden="false" customHeight="false" outlineLevel="0" collapsed="false">
      <c r="A830" s="48"/>
      <c r="B830" s="46"/>
      <c r="C830" s="50"/>
      <c r="D830" s="50"/>
      <c r="E830" s="50"/>
      <c r="F830" s="50"/>
      <c r="G830" s="49"/>
      <c r="H830" s="50"/>
      <c r="I830" s="50"/>
      <c r="J830" s="50"/>
      <c r="K830" s="50"/>
      <c r="L830" s="50"/>
      <c r="M830" s="46"/>
      <c r="N830" s="47"/>
      <c r="O830" s="62" t="str">
        <f aca="false">IF($B830="","",TEXT($A830,"YYYY-MM-DD")&amp;"|"&amp;$B830)</f>
        <v/>
      </c>
      <c r="P830" s="3"/>
      <c r="Q830" s="3"/>
      <c r="R830" s="3"/>
      <c r="S830" s="3"/>
      <c r="T830" s="3"/>
      <c r="U830" s="3"/>
      <c r="V830" s="3"/>
      <c r="W830" s="3"/>
      <c r="X830" s="3"/>
      <c r="Y830" s="3"/>
      <c r="Z830" s="3"/>
      <c r="AA830" s="3"/>
      <c r="AB830" s="3"/>
    </row>
    <row r="831" customFormat="false" ht="15" hidden="false" customHeight="false" outlineLevel="0" collapsed="false">
      <c r="A831" s="54"/>
      <c r="B831" s="52"/>
      <c r="C831" s="56"/>
      <c r="D831" s="56"/>
      <c r="E831" s="56"/>
      <c r="F831" s="56"/>
      <c r="G831" s="55"/>
      <c r="H831" s="56"/>
      <c r="I831" s="56"/>
      <c r="J831" s="56"/>
      <c r="K831" s="56"/>
      <c r="L831" s="56"/>
      <c r="M831" s="52"/>
      <c r="N831" s="53"/>
      <c r="O831" s="62" t="str">
        <f aca="false">IF($B831="","",TEXT($A831,"YYYY-MM-DD")&amp;"|"&amp;$B831)</f>
        <v/>
      </c>
      <c r="P831" s="3"/>
      <c r="Q831" s="3"/>
      <c r="R831" s="3"/>
      <c r="S831" s="3"/>
      <c r="T831" s="3"/>
      <c r="U831" s="3"/>
      <c r="V831" s="3"/>
      <c r="W831" s="3"/>
      <c r="X831" s="3"/>
      <c r="Y831" s="3"/>
      <c r="Z831" s="3"/>
      <c r="AA831" s="3"/>
      <c r="AB831" s="3"/>
    </row>
    <row r="832" customFormat="false" ht="15" hidden="false" customHeight="false" outlineLevel="0" collapsed="false">
      <c r="A832" s="48"/>
      <c r="B832" s="46"/>
      <c r="C832" s="50"/>
      <c r="D832" s="50"/>
      <c r="E832" s="50"/>
      <c r="F832" s="50"/>
      <c r="G832" s="49"/>
      <c r="H832" s="50"/>
      <c r="I832" s="50"/>
      <c r="J832" s="50"/>
      <c r="K832" s="50"/>
      <c r="L832" s="50"/>
      <c r="M832" s="46"/>
      <c r="N832" s="47"/>
      <c r="O832" s="62" t="str">
        <f aca="false">IF($B832="","",TEXT($A832,"YYYY-MM-DD")&amp;"|"&amp;$B832)</f>
        <v/>
      </c>
      <c r="P832" s="3"/>
      <c r="Q832" s="3"/>
      <c r="R832" s="3"/>
      <c r="S832" s="3"/>
      <c r="T832" s="3"/>
      <c r="U832" s="3"/>
      <c r="V832" s="3"/>
      <c r="W832" s="3"/>
      <c r="X832" s="3"/>
      <c r="Y832" s="3"/>
      <c r="Z832" s="3"/>
      <c r="AA832" s="3"/>
      <c r="AB832" s="3"/>
    </row>
    <row r="833" customFormat="false" ht="15" hidden="false" customHeight="false" outlineLevel="0" collapsed="false">
      <c r="A833" s="54"/>
      <c r="B833" s="52"/>
      <c r="C833" s="56"/>
      <c r="D833" s="56"/>
      <c r="E833" s="56"/>
      <c r="F833" s="56"/>
      <c r="G833" s="55"/>
      <c r="H833" s="56"/>
      <c r="I833" s="56"/>
      <c r="J833" s="56"/>
      <c r="K833" s="56"/>
      <c r="L833" s="56"/>
      <c r="M833" s="52"/>
      <c r="N833" s="53"/>
      <c r="O833" s="62" t="str">
        <f aca="false">IF($B833="","",TEXT($A833,"YYYY-MM-DD")&amp;"|"&amp;$B833)</f>
        <v/>
      </c>
      <c r="P833" s="3"/>
      <c r="Q833" s="3"/>
      <c r="R833" s="3"/>
      <c r="S833" s="3"/>
      <c r="T833" s="3"/>
      <c r="U833" s="3"/>
      <c r="V833" s="3"/>
      <c r="W833" s="3"/>
      <c r="X833" s="3"/>
      <c r="Y833" s="3"/>
      <c r="Z833" s="3"/>
      <c r="AA833" s="3"/>
      <c r="AB833" s="3"/>
    </row>
    <row r="834" customFormat="false" ht="15" hidden="false" customHeight="false" outlineLevel="0" collapsed="false">
      <c r="A834" s="48"/>
      <c r="B834" s="46"/>
      <c r="C834" s="50"/>
      <c r="D834" s="50"/>
      <c r="E834" s="50"/>
      <c r="F834" s="50"/>
      <c r="G834" s="49"/>
      <c r="H834" s="50"/>
      <c r="I834" s="50"/>
      <c r="J834" s="50"/>
      <c r="K834" s="50"/>
      <c r="L834" s="50"/>
      <c r="M834" s="46"/>
      <c r="N834" s="47"/>
      <c r="O834" s="62" t="str">
        <f aca="false">IF($B834="","",TEXT($A834,"YYYY-MM-DD")&amp;"|"&amp;$B834)</f>
        <v/>
      </c>
      <c r="P834" s="3"/>
      <c r="Q834" s="3"/>
      <c r="R834" s="3"/>
      <c r="S834" s="3"/>
      <c r="T834" s="3"/>
      <c r="U834" s="3"/>
      <c r="V834" s="3"/>
      <c r="W834" s="3"/>
      <c r="X834" s="3"/>
      <c r="Y834" s="3"/>
      <c r="Z834" s="3"/>
      <c r="AA834" s="3"/>
      <c r="AB834" s="3"/>
    </row>
    <row r="835" customFormat="false" ht="15" hidden="false" customHeight="false" outlineLevel="0" collapsed="false">
      <c r="A835" s="54"/>
      <c r="B835" s="52"/>
      <c r="C835" s="56"/>
      <c r="D835" s="56"/>
      <c r="E835" s="56"/>
      <c r="F835" s="56"/>
      <c r="G835" s="55"/>
      <c r="H835" s="56"/>
      <c r="I835" s="56"/>
      <c r="J835" s="56"/>
      <c r="K835" s="56"/>
      <c r="L835" s="56"/>
      <c r="M835" s="52"/>
      <c r="N835" s="53"/>
      <c r="O835" s="62" t="str">
        <f aca="false">IF($B835="","",TEXT($A835,"YYYY-MM-DD")&amp;"|"&amp;$B835)</f>
        <v/>
      </c>
      <c r="P835" s="3"/>
      <c r="Q835" s="3"/>
      <c r="R835" s="3"/>
      <c r="S835" s="3"/>
      <c r="T835" s="3"/>
      <c r="U835" s="3"/>
      <c r="V835" s="3"/>
      <c r="W835" s="3"/>
      <c r="X835" s="3"/>
      <c r="Y835" s="3"/>
      <c r="Z835" s="3"/>
      <c r="AA835" s="3"/>
      <c r="AB835" s="3"/>
    </row>
    <row r="836" customFormat="false" ht="15" hidden="false" customHeight="false" outlineLevel="0" collapsed="false">
      <c r="A836" s="48"/>
      <c r="B836" s="46"/>
      <c r="C836" s="50"/>
      <c r="D836" s="50"/>
      <c r="E836" s="50"/>
      <c r="F836" s="50"/>
      <c r="G836" s="49"/>
      <c r="H836" s="50"/>
      <c r="I836" s="50"/>
      <c r="J836" s="50"/>
      <c r="K836" s="50"/>
      <c r="L836" s="50"/>
      <c r="M836" s="46"/>
      <c r="N836" s="47"/>
      <c r="O836" s="62" t="str">
        <f aca="false">IF($B836="","",TEXT($A836,"YYYY-MM-DD")&amp;"|"&amp;$B836)</f>
        <v/>
      </c>
      <c r="P836" s="3"/>
      <c r="Q836" s="3"/>
      <c r="R836" s="3"/>
      <c r="S836" s="3"/>
      <c r="T836" s="3"/>
      <c r="U836" s="3"/>
      <c r="V836" s="3"/>
      <c r="W836" s="3"/>
      <c r="X836" s="3"/>
      <c r="Y836" s="3"/>
      <c r="Z836" s="3"/>
      <c r="AA836" s="3"/>
      <c r="AB836" s="3"/>
    </row>
    <row r="837" customFormat="false" ht="15" hidden="false" customHeight="false" outlineLevel="0" collapsed="false">
      <c r="A837" s="54"/>
      <c r="B837" s="52"/>
      <c r="C837" s="56"/>
      <c r="D837" s="56"/>
      <c r="E837" s="56"/>
      <c r="F837" s="56"/>
      <c r="G837" s="55"/>
      <c r="H837" s="56"/>
      <c r="I837" s="56"/>
      <c r="J837" s="56"/>
      <c r="K837" s="56"/>
      <c r="L837" s="56"/>
      <c r="M837" s="52"/>
      <c r="N837" s="53"/>
      <c r="O837" s="62" t="str">
        <f aca="false">IF($B837="","",TEXT($A837,"YYYY-MM-DD")&amp;"|"&amp;$B837)</f>
        <v/>
      </c>
      <c r="P837" s="3"/>
      <c r="Q837" s="3"/>
      <c r="R837" s="3"/>
      <c r="S837" s="3"/>
      <c r="T837" s="3"/>
      <c r="U837" s="3"/>
      <c r="V837" s="3"/>
      <c r="W837" s="3"/>
      <c r="X837" s="3"/>
      <c r="Y837" s="3"/>
      <c r="Z837" s="3"/>
      <c r="AA837" s="3"/>
      <c r="AB837" s="3"/>
    </row>
    <row r="838" customFormat="false" ht="15" hidden="false" customHeight="false" outlineLevel="0" collapsed="false">
      <c r="A838" s="48"/>
      <c r="B838" s="46"/>
      <c r="C838" s="50"/>
      <c r="D838" s="50"/>
      <c r="E838" s="50"/>
      <c r="F838" s="50"/>
      <c r="G838" s="49"/>
      <c r="H838" s="50"/>
      <c r="I838" s="50"/>
      <c r="J838" s="50"/>
      <c r="K838" s="50"/>
      <c r="L838" s="50"/>
      <c r="M838" s="46"/>
      <c r="N838" s="47"/>
      <c r="O838" s="62" t="str">
        <f aca="false">IF($B838="","",TEXT($A838,"YYYY-MM-DD")&amp;"|"&amp;$B838)</f>
        <v/>
      </c>
      <c r="P838" s="3"/>
      <c r="Q838" s="3"/>
      <c r="R838" s="3"/>
      <c r="S838" s="3"/>
      <c r="T838" s="3"/>
      <c r="U838" s="3"/>
      <c r="V838" s="3"/>
      <c r="W838" s="3"/>
      <c r="X838" s="3"/>
      <c r="Y838" s="3"/>
      <c r="Z838" s="3"/>
      <c r="AA838" s="3"/>
      <c r="AB838" s="3"/>
    </row>
    <row r="839" customFormat="false" ht="15" hidden="false" customHeight="false" outlineLevel="0" collapsed="false">
      <c r="A839" s="54"/>
      <c r="B839" s="52"/>
      <c r="C839" s="56"/>
      <c r="D839" s="56"/>
      <c r="E839" s="56"/>
      <c r="F839" s="56"/>
      <c r="G839" s="55"/>
      <c r="H839" s="56"/>
      <c r="I839" s="56"/>
      <c r="J839" s="56"/>
      <c r="K839" s="56"/>
      <c r="L839" s="56"/>
      <c r="M839" s="52"/>
      <c r="N839" s="53"/>
      <c r="O839" s="62" t="str">
        <f aca="false">IF($B839="","",TEXT($A839,"YYYY-MM-DD")&amp;"|"&amp;$B839)</f>
        <v/>
      </c>
      <c r="P839" s="3"/>
      <c r="Q839" s="3"/>
      <c r="R839" s="3"/>
      <c r="S839" s="3"/>
      <c r="T839" s="3"/>
      <c r="U839" s="3"/>
      <c r="V839" s="3"/>
      <c r="W839" s="3"/>
      <c r="X839" s="3"/>
      <c r="Y839" s="3"/>
      <c r="Z839" s="3"/>
      <c r="AA839" s="3"/>
      <c r="AB839" s="3"/>
    </row>
    <row r="840" customFormat="false" ht="15" hidden="false" customHeight="false" outlineLevel="0" collapsed="false">
      <c r="A840" s="48"/>
      <c r="B840" s="46"/>
      <c r="C840" s="50"/>
      <c r="D840" s="50"/>
      <c r="E840" s="50"/>
      <c r="F840" s="50"/>
      <c r="G840" s="49"/>
      <c r="H840" s="50"/>
      <c r="I840" s="50"/>
      <c r="J840" s="50"/>
      <c r="K840" s="50"/>
      <c r="L840" s="50"/>
      <c r="M840" s="46"/>
      <c r="N840" s="47"/>
      <c r="O840" s="62" t="str">
        <f aca="false">IF($B840="","",TEXT($A840,"YYYY-MM-DD")&amp;"|"&amp;$B840)</f>
        <v/>
      </c>
      <c r="P840" s="3"/>
      <c r="Q840" s="3"/>
      <c r="R840" s="3"/>
      <c r="S840" s="3"/>
      <c r="T840" s="3"/>
      <c r="U840" s="3"/>
      <c r="V840" s="3"/>
      <c r="W840" s="3"/>
      <c r="X840" s="3"/>
      <c r="Y840" s="3"/>
      <c r="Z840" s="3"/>
      <c r="AA840" s="3"/>
      <c r="AB840" s="3"/>
    </row>
    <row r="841" customFormat="false" ht="15" hidden="false" customHeight="false" outlineLevel="0" collapsed="false">
      <c r="A841" s="54"/>
      <c r="B841" s="52"/>
      <c r="C841" s="56"/>
      <c r="D841" s="56"/>
      <c r="E841" s="56"/>
      <c r="F841" s="56"/>
      <c r="G841" s="55"/>
      <c r="H841" s="56"/>
      <c r="I841" s="56"/>
      <c r="J841" s="56"/>
      <c r="K841" s="56"/>
      <c r="L841" s="56"/>
      <c r="M841" s="52"/>
      <c r="N841" s="53"/>
      <c r="O841" s="62" t="str">
        <f aca="false">IF($B841="","",TEXT($A841,"YYYY-MM-DD")&amp;"|"&amp;$B841)</f>
        <v/>
      </c>
      <c r="P841" s="3"/>
      <c r="Q841" s="3"/>
      <c r="R841" s="3"/>
      <c r="S841" s="3"/>
      <c r="T841" s="3"/>
      <c r="U841" s="3"/>
      <c r="V841" s="3"/>
      <c r="W841" s="3"/>
      <c r="X841" s="3"/>
      <c r="Y841" s="3"/>
      <c r="Z841" s="3"/>
      <c r="AA841" s="3"/>
      <c r="AB841" s="3"/>
    </row>
    <row r="842" customFormat="false" ht="15" hidden="false" customHeight="false" outlineLevel="0" collapsed="false">
      <c r="A842" s="48"/>
      <c r="B842" s="46"/>
      <c r="C842" s="50"/>
      <c r="D842" s="50"/>
      <c r="E842" s="50"/>
      <c r="F842" s="50"/>
      <c r="G842" s="49"/>
      <c r="H842" s="50"/>
      <c r="I842" s="50"/>
      <c r="J842" s="50"/>
      <c r="K842" s="50"/>
      <c r="L842" s="50"/>
      <c r="M842" s="46"/>
      <c r="N842" s="47"/>
      <c r="O842" s="62" t="str">
        <f aca="false">IF($B842="","",TEXT($A842,"YYYY-MM-DD")&amp;"|"&amp;$B842)</f>
        <v/>
      </c>
      <c r="P842" s="3"/>
      <c r="Q842" s="3"/>
      <c r="R842" s="3"/>
      <c r="S842" s="3"/>
      <c r="T842" s="3"/>
      <c r="U842" s="3"/>
      <c r="V842" s="3"/>
      <c r="W842" s="3"/>
      <c r="X842" s="3"/>
      <c r="Y842" s="3"/>
      <c r="Z842" s="3"/>
      <c r="AA842" s="3"/>
      <c r="AB842" s="3"/>
    </row>
    <row r="843" customFormat="false" ht="15" hidden="false" customHeight="false" outlineLevel="0" collapsed="false">
      <c r="A843" s="54"/>
      <c r="B843" s="52"/>
      <c r="C843" s="56"/>
      <c r="D843" s="56"/>
      <c r="E843" s="56"/>
      <c r="F843" s="56"/>
      <c r="G843" s="55"/>
      <c r="H843" s="56"/>
      <c r="I843" s="56"/>
      <c r="J843" s="56"/>
      <c r="K843" s="56"/>
      <c r="L843" s="56"/>
      <c r="M843" s="52"/>
      <c r="N843" s="53"/>
      <c r="O843" s="62" t="str">
        <f aca="false">IF($B843="","",TEXT($A843,"YYYY-MM-DD")&amp;"|"&amp;$B843)</f>
        <v/>
      </c>
      <c r="P843" s="3"/>
      <c r="Q843" s="3"/>
      <c r="R843" s="3"/>
      <c r="S843" s="3"/>
      <c r="T843" s="3"/>
      <c r="U843" s="3"/>
      <c r="V843" s="3"/>
      <c r="W843" s="3"/>
      <c r="X843" s="3"/>
      <c r="Y843" s="3"/>
      <c r="Z843" s="3"/>
      <c r="AA843" s="3"/>
      <c r="AB843" s="3"/>
    </row>
    <row r="844" customFormat="false" ht="15" hidden="false" customHeight="false" outlineLevel="0" collapsed="false">
      <c r="A844" s="48"/>
      <c r="B844" s="46"/>
      <c r="C844" s="50"/>
      <c r="D844" s="50"/>
      <c r="E844" s="50"/>
      <c r="F844" s="50"/>
      <c r="G844" s="49"/>
      <c r="H844" s="50"/>
      <c r="I844" s="50"/>
      <c r="J844" s="50"/>
      <c r="K844" s="50"/>
      <c r="L844" s="50"/>
      <c r="M844" s="46"/>
      <c r="N844" s="47"/>
      <c r="O844" s="62" t="str">
        <f aca="false">IF($B844="","",TEXT($A844,"YYYY-MM-DD")&amp;"|"&amp;$B844)</f>
        <v/>
      </c>
      <c r="P844" s="3"/>
      <c r="Q844" s="3"/>
      <c r="R844" s="3"/>
      <c r="S844" s="3"/>
      <c r="T844" s="3"/>
      <c r="U844" s="3"/>
      <c r="V844" s="3"/>
      <c r="W844" s="3"/>
      <c r="X844" s="3"/>
      <c r="Y844" s="3"/>
      <c r="Z844" s="3"/>
      <c r="AA844" s="3"/>
      <c r="AB844" s="3"/>
    </row>
    <row r="845" customFormat="false" ht="15" hidden="false" customHeight="false" outlineLevel="0" collapsed="false">
      <c r="A845" s="54"/>
      <c r="B845" s="52"/>
      <c r="C845" s="56"/>
      <c r="D845" s="56"/>
      <c r="E845" s="56"/>
      <c r="F845" s="56"/>
      <c r="G845" s="55"/>
      <c r="H845" s="56"/>
      <c r="I845" s="56"/>
      <c r="J845" s="56"/>
      <c r="K845" s="56"/>
      <c r="L845" s="56"/>
      <c r="M845" s="52"/>
      <c r="N845" s="53"/>
      <c r="O845" s="62" t="str">
        <f aca="false">IF($B845="","",TEXT($A845,"YYYY-MM-DD")&amp;"|"&amp;$B845)</f>
        <v/>
      </c>
      <c r="P845" s="3"/>
      <c r="Q845" s="3"/>
      <c r="R845" s="3"/>
      <c r="S845" s="3"/>
      <c r="T845" s="3"/>
      <c r="U845" s="3"/>
      <c r="V845" s="3"/>
      <c r="W845" s="3"/>
      <c r="X845" s="3"/>
      <c r="Y845" s="3"/>
      <c r="Z845" s="3"/>
      <c r="AA845" s="3"/>
      <c r="AB845" s="3"/>
    </row>
    <row r="846" customFormat="false" ht="15" hidden="false" customHeight="false" outlineLevel="0" collapsed="false">
      <c r="A846" s="48"/>
      <c r="B846" s="46"/>
      <c r="C846" s="50"/>
      <c r="D846" s="50"/>
      <c r="E846" s="50"/>
      <c r="F846" s="50"/>
      <c r="G846" s="49"/>
      <c r="H846" s="50"/>
      <c r="I846" s="50"/>
      <c r="J846" s="50"/>
      <c r="K846" s="50"/>
      <c r="L846" s="50"/>
      <c r="M846" s="46"/>
      <c r="N846" s="47"/>
      <c r="O846" s="62" t="str">
        <f aca="false">IF($B846="","",TEXT($A846,"YYYY-MM-DD")&amp;"|"&amp;$B846)</f>
        <v/>
      </c>
      <c r="P846" s="3"/>
      <c r="Q846" s="3"/>
      <c r="R846" s="3"/>
      <c r="S846" s="3"/>
      <c r="T846" s="3"/>
      <c r="U846" s="3"/>
      <c r="V846" s="3"/>
      <c r="W846" s="3"/>
      <c r="X846" s="3"/>
      <c r="Y846" s="3"/>
      <c r="Z846" s="3"/>
      <c r="AA846" s="3"/>
      <c r="AB846" s="3"/>
    </row>
    <row r="847" customFormat="false" ht="15" hidden="false" customHeight="false" outlineLevel="0" collapsed="false">
      <c r="A847" s="54"/>
      <c r="B847" s="52"/>
      <c r="C847" s="56"/>
      <c r="D847" s="56"/>
      <c r="E847" s="56"/>
      <c r="F847" s="56"/>
      <c r="G847" s="55"/>
      <c r="H847" s="56"/>
      <c r="I847" s="56"/>
      <c r="J847" s="56"/>
      <c r="K847" s="56"/>
      <c r="L847" s="56"/>
      <c r="M847" s="52"/>
      <c r="N847" s="53"/>
      <c r="O847" s="62" t="str">
        <f aca="false">IF($B847="","",TEXT($A847,"YYYY-MM-DD")&amp;"|"&amp;$B847)</f>
        <v/>
      </c>
      <c r="P847" s="3"/>
      <c r="Q847" s="3"/>
      <c r="R847" s="3"/>
      <c r="S847" s="3"/>
      <c r="T847" s="3"/>
      <c r="U847" s="3"/>
      <c r="V847" s="3"/>
      <c r="W847" s="3"/>
      <c r="X847" s="3"/>
      <c r="Y847" s="3"/>
      <c r="Z847" s="3"/>
      <c r="AA847" s="3"/>
      <c r="AB847" s="3"/>
    </row>
    <row r="848" customFormat="false" ht="15" hidden="false" customHeight="false" outlineLevel="0" collapsed="false">
      <c r="A848" s="48"/>
      <c r="B848" s="46"/>
      <c r="C848" s="50"/>
      <c r="D848" s="50"/>
      <c r="E848" s="50"/>
      <c r="F848" s="50"/>
      <c r="G848" s="49"/>
      <c r="H848" s="50"/>
      <c r="I848" s="50"/>
      <c r="J848" s="50"/>
      <c r="K848" s="50"/>
      <c r="L848" s="50"/>
      <c r="M848" s="46"/>
      <c r="N848" s="47"/>
      <c r="O848" s="62" t="str">
        <f aca="false">IF($B848="","",TEXT($A848,"YYYY-MM-DD")&amp;"|"&amp;$B848)</f>
        <v/>
      </c>
      <c r="P848" s="3"/>
      <c r="Q848" s="3"/>
      <c r="R848" s="3"/>
      <c r="S848" s="3"/>
      <c r="T848" s="3"/>
      <c r="U848" s="3"/>
      <c r="V848" s="3"/>
      <c r="W848" s="3"/>
      <c r="X848" s="3"/>
      <c r="Y848" s="3"/>
      <c r="Z848" s="3"/>
      <c r="AA848" s="3"/>
      <c r="AB848" s="3"/>
    </row>
    <row r="849" customFormat="false" ht="15" hidden="false" customHeight="false" outlineLevel="0" collapsed="false">
      <c r="A849" s="54"/>
      <c r="B849" s="52"/>
      <c r="C849" s="56"/>
      <c r="D849" s="56"/>
      <c r="E849" s="56"/>
      <c r="F849" s="56"/>
      <c r="G849" s="55"/>
      <c r="H849" s="56"/>
      <c r="I849" s="56"/>
      <c r="J849" s="56"/>
      <c r="K849" s="56"/>
      <c r="L849" s="56"/>
      <c r="M849" s="52"/>
      <c r="N849" s="53"/>
      <c r="O849" s="62" t="str">
        <f aca="false">IF($B849="","",TEXT($A849,"YYYY-MM-DD")&amp;"|"&amp;$B849)</f>
        <v/>
      </c>
      <c r="P849" s="3"/>
      <c r="Q849" s="3"/>
      <c r="R849" s="3"/>
      <c r="S849" s="3"/>
      <c r="T849" s="3"/>
      <c r="U849" s="3"/>
      <c r="V849" s="3"/>
      <c r="W849" s="3"/>
      <c r="X849" s="3"/>
      <c r="Y849" s="3"/>
      <c r="Z849" s="3"/>
      <c r="AA849" s="3"/>
      <c r="AB849" s="3"/>
    </row>
    <row r="850" customFormat="false" ht="15" hidden="false" customHeight="false" outlineLevel="0" collapsed="false">
      <c r="A850" s="48"/>
      <c r="B850" s="46"/>
      <c r="C850" s="50"/>
      <c r="D850" s="50"/>
      <c r="E850" s="50"/>
      <c r="F850" s="50"/>
      <c r="G850" s="49"/>
      <c r="H850" s="50"/>
      <c r="I850" s="50"/>
      <c r="J850" s="50"/>
      <c r="K850" s="50"/>
      <c r="L850" s="50"/>
      <c r="M850" s="46"/>
      <c r="N850" s="47"/>
      <c r="O850" s="62" t="str">
        <f aca="false">IF($B850="","",TEXT($A850,"YYYY-MM-DD")&amp;"|"&amp;$B850)</f>
        <v/>
      </c>
      <c r="P850" s="3"/>
      <c r="Q850" s="3"/>
      <c r="R850" s="3"/>
      <c r="S850" s="3"/>
      <c r="T850" s="3"/>
      <c r="U850" s="3"/>
      <c r="V850" s="3"/>
      <c r="W850" s="3"/>
      <c r="X850" s="3"/>
      <c r="Y850" s="3"/>
      <c r="Z850" s="3"/>
      <c r="AA850" s="3"/>
      <c r="AB850" s="3"/>
    </row>
    <row r="851" customFormat="false" ht="15" hidden="false" customHeight="false" outlineLevel="0" collapsed="false">
      <c r="A851" s="54"/>
      <c r="B851" s="52"/>
      <c r="C851" s="56"/>
      <c r="D851" s="56"/>
      <c r="E851" s="56"/>
      <c r="F851" s="56"/>
      <c r="G851" s="55"/>
      <c r="H851" s="56"/>
      <c r="I851" s="56"/>
      <c r="J851" s="56"/>
      <c r="K851" s="56"/>
      <c r="L851" s="56"/>
      <c r="M851" s="52"/>
      <c r="N851" s="53"/>
      <c r="O851" s="62" t="str">
        <f aca="false">IF($B851="","",TEXT($A851,"YYYY-MM-DD")&amp;"|"&amp;$B851)</f>
        <v/>
      </c>
      <c r="P851" s="3"/>
      <c r="Q851" s="3"/>
      <c r="R851" s="3"/>
      <c r="S851" s="3"/>
      <c r="T851" s="3"/>
      <c r="U851" s="3"/>
      <c r="V851" s="3"/>
      <c r="W851" s="3"/>
      <c r="X851" s="3"/>
      <c r="Y851" s="3"/>
      <c r="Z851" s="3"/>
      <c r="AA851" s="3"/>
      <c r="AB851" s="3"/>
    </row>
    <row r="852" customFormat="false" ht="15" hidden="false" customHeight="false" outlineLevel="0" collapsed="false">
      <c r="A852" s="48"/>
      <c r="B852" s="46"/>
      <c r="C852" s="50"/>
      <c r="D852" s="50"/>
      <c r="E852" s="50"/>
      <c r="F852" s="50"/>
      <c r="G852" s="49"/>
      <c r="H852" s="50"/>
      <c r="I852" s="50"/>
      <c r="J852" s="50"/>
      <c r="K852" s="50"/>
      <c r="L852" s="50"/>
      <c r="M852" s="46"/>
      <c r="N852" s="47"/>
      <c r="O852" s="62" t="str">
        <f aca="false">IF($B852="","",TEXT($A852,"YYYY-MM-DD")&amp;"|"&amp;$B852)</f>
        <v/>
      </c>
      <c r="P852" s="3"/>
      <c r="Q852" s="3"/>
      <c r="R852" s="3"/>
      <c r="S852" s="3"/>
      <c r="T852" s="3"/>
      <c r="U852" s="3"/>
      <c r="V852" s="3"/>
      <c r="W852" s="3"/>
      <c r="X852" s="3"/>
      <c r="Y852" s="3"/>
      <c r="Z852" s="3"/>
      <c r="AA852" s="3"/>
      <c r="AB852" s="3"/>
    </row>
    <row r="853" customFormat="false" ht="15" hidden="false" customHeight="false" outlineLevel="0" collapsed="false">
      <c r="A853" s="54"/>
      <c r="B853" s="52"/>
      <c r="C853" s="56"/>
      <c r="D853" s="56"/>
      <c r="E853" s="56"/>
      <c r="F853" s="56"/>
      <c r="G853" s="55"/>
      <c r="H853" s="56"/>
      <c r="I853" s="56"/>
      <c r="J853" s="56"/>
      <c r="K853" s="56"/>
      <c r="L853" s="56"/>
      <c r="M853" s="52"/>
      <c r="N853" s="53"/>
      <c r="O853" s="62" t="str">
        <f aca="false">IF($B853="","",TEXT($A853,"YYYY-MM-DD")&amp;"|"&amp;$B853)</f>
        <v/>
      </c>
      <c r="P853" s="3"/>
      <c r="Q853" s="3"/>
      <c r="R853" s="3"/>
      <c r="S853" s="3"/>
      <c r="T853" s="3"/>
      <c r="U853" s="3"/>
      <c r="V853" s="3"/>
      <c r="W853" s="3"/>
      <c r="X853" s="3"/>
      <c r="Y853" s="3"/>
      <c r="Z853" s="3"/>
      <c r="AA853" s="3"/>
      <c r="AB853" s="3"/>
    </row>
    <row r="854" customFormat="false" ht="15" hidden="false" customHeight="false" outlineLevel="0" collapsed="false">
      <c r="A854" s="48"/>
      <c r="B854" s="46"/>
      <c r="C854" s="50"/>
      <c r="D854" s="50"/>
      <c r="E854" s="50"/>
      <c r="F854" s="50"/>
      <c r="G854" s="49"/>
      <c r="H854" s="50"/>
      <c r="I854" s="50"/>
      <c r="J854" s="50"/>
      <c r="K854" s="50"/>
      <c r="L854" s="50"/>
      <c r="M854" s="46"/>
      <c r="N854" s="47"/>
      <c r="O854" s="62" t="str">
        <f aca="false">IF($B854="","",TEXT($A854,"YYYY-MM-DD")&amp;"|"&amp;$B854)</f>
        <v/>
      </c>
      <c r="P854" s="3"/>
      <c r="Q854" s="3"/>
      <c r="R854" s="3"/>
      <c r="S854" s="3"/>
      <c r="T854" s="3"/>
      <c r="U854" s="3"/>
      <c r="V854" s="3"/>
      <c r="W854" s="3"/>
      <c r="X854" s="3"/>
      <c r="Y854" s="3"/>
      <c r="Z854" s="3"/>
      <c r="AA854" s="3"/>
      <c r="AB854" s="3"/>
    </row>
    <row r="855" customFormat="false" ht="15" hidden="false" customHeight="false" outlineLevel="0" collapsed="false">
      <c r="A855" s="54"/>
      <c r="B855" s="52"/>
      <c r="C855" s="56"/>
      <c r="D855" s="56"/>
      <c r="E855" s="56"/>
      <c r="F855" s="56"/>
      <c r="G855" s="55"/>
      <c r="H855" s="56"/>
      <c r="I855" s="56"/>
      <c r="J855" s="56"/>
      <c r="K855" s="56"/>
      <c r="L855" s="56"/>
      <c r="M855" s="52"/>
      <c r="N855" s="53"/>
      <c r="O855" s="62" t="str">
        <f aca="false">IF($B855="","",TEXT($A855,"YYYY-MM-DD")&amp;"|"&amp;$B855)</f>
        <v/>
      </c>
      <c r="P855" s="3"/>
      <c r="Q855" s="3"/>
      <c r="R855" s="3"/>
      <c r="S855" s="3"/>
      <c r="T855" s="3"/>
      <c r="U855" s="3"/>
      <c r="V855" s="3"/>
      <c r="W855" s="3"/>
      <c r="X855" s="3"/>
      <c r="Y855" s="3"/>
      <c r="Z855" s="3"/>
      <c r="AA855" s="3"/>
      <c r="AB855" s="3"/>
    </row>
    <row r="856" customFormat="false" ht="15" hidden="false" customHeight="false" outlineLevel="0" collapsed="false">
      <c r="A856" s="48"/>
      <c r="B856" s="46"/>
      <c r="C856" s="50"/>
      <c r="D856" s="50"/>
      <c r="E856" s="50"/>
      <c r="F856" s="50"/>
      <c r="G856" s="49"/>
      <c r="H856" s="50"/>
      <c r="I856" s="50"/>
      <c r="J856" s="50"/>
      <c r="K856" s="50"/>
      <c r="L856" s="50"/>
      <c r="M856" s="46"/>
      <c r="N856" s="47"/>
      <c r="O856" s="62" t="str">
        <f aca="false">IF($B856="","",TEXT($A856,"YYYY-MM-DD")&amp;"|"&amp;$B856)</f>
        <v/>
      </c>
      <c r="P856" s="3"/>
      <c r="Q856" s="3"/>
      <c r="R856" s="3"/>
      <c r="S856" s="3"/>
      <c r="T856" s="3"/>
      <c r="U856" s="3"/>
      <c r="V856" s="3"/>
      <c r="W856" s="3"/>
      <c r="X856" s="3"/>
      <c r="Y856" s="3"/>
      <c r="Z856" s="3"/>
      <c r="AA856" s="3"/>
      <c r="AB856" s="3"/>
    </row>
    <row r="857" customFormat="false" ht="15" hidden="false" customHeight="false" outlineLevel="0" collapsed="false">
      <c r="A857" s="54"/>
      <c r="B857" s="52"/>
      <c r="C857" s="56"/>
      <c r="D857" s="56"/>
      <c r="E857" s="56"/>
      <c r="F857" s="56"/>
      <c r="G857" s="55"/>
      <c r="H857" s="56"/>
      <c r="I857" s="56"/>
      <c r="J857" s="56"/>
      <c r="K857" s="56"/>
      <c r="L857" s="56"/>
      <c r="M857" s="52"/>
      <c r="N857" s="53"/>
      <c r="O857" s="62" t="str">
        <f aca="false">IF($B857="","",TEXT($A857,"YYYY-MM-DD")&amp;"|"&amp;$B857)</f>
        <v/>
      </c>
      <c r="P857" s="3"/>
      <c r="Q857" s="3"/>
      <c r="R857" s="3"/>
      <c r="S857" s="3"/>
      <c r="T857" s="3"/>
      <c r="U857" s="3"/>
      <c r="V857" s="3"/>
      <c r="W857" s="3"/>
      <c r="X857" s="3"/>
      <c r="Y857" s="3"/>
      <c r="Z857" s="3"/>
      <c r="AA857" s="3"/>
      <c r="AB857" s="3"/>
    </row>
    <row r="858" customFormat="false" ht="15" hidden="false" customHeight="false" outlineLevel="0" collapsed="false">
      <c r="A858" s="48"/>
      <c r="B858" s="46"/>
      <c r="C858" s="50"/>
      <c r="D858" s="50"/>
      <c r="E858" s="50"/>
      <c r="F858" s="50"/>
      <c r="G858" s="49"/>
      <c r="H858" s="50"/>
      <c r="I858" s="50"/>
      <c r="J858" s="50"/>
      <c r="K858" s="50"/>
      <c r="L858" s="50"/>
      <c r="M858" s="46"/>
      <c r="N858" s="47"/>
      <c r="O858" s="62" t="str">
        <f aca="false">IF($B858="","",TEXT($A858,"YYYY-MM-DD")&amp;"|"&amp;$B858)</f>
        <v/>
      </c>
      <c r="P858" s="3"/>
      <c r="Q858" s="3"/>
      <c r="R858" s="3"/>
      <c r="S858" s="3"/>
      <c r="T858" s="3"/>
      <c r="U858" s="3"/>
      <c r="V858" s="3"/>
      <c r="W858" s="3"/>
      <c r="X858" s="3"/>
      <c r="Y858" s="3"/>
      <c r="Z858" s="3"/>
      <c r="AA858" s="3"/>
      <c r="AB858" s="3"/>
    </row>
    <row r="859" customFormat="false" ht="15" hidden="false" customHeight="false" outlineLevel="0" collapsed="false">
      <c r="A859" s="54"/>
      <c r="B859" s="52"/>
      <c r="C859" s="56"/>
      <c r="D859" s="56"/>
      <c r="E859" s="56"/>
      <c r="F859" s="56"/>
      <c r="G859" s="55"/>
      <c r="H859" s="56"/>
      <c r="I859" s="56"/>
      <c r="J859" s="56"/>
      <c r="K859" s="56"/>
      <c r="L859" s="56"/>
      <c r="M859" s="52"/>
      <c r="N859" s="53"/>
      <c r="O859" s="62" t="str">
        <f aca="false">IF($B859="","",TEXT($A859,"YYYY-MM-DD")&amp;"|"&amp;$B859)</f>
        <v/>
      </c>
      <c r="P859" s="3"/>
      <c r="Q859" s="3"/>
      <c r="R859" s="3"/>
      <c r="S859" s="3"/>
      <c r="T859" s="3"/>
      <c r="U859" s="3"/>
      <c r="V859" s="3"/>
      <c r="W859" s="3"/>
      <c r="X859" s="3"/>
      <c r="Y859" s="3"/>
      <c r="Z859" s="3"/>
      <c r="AA859" s="3"/>
      <c r="AB859" s="3"/>
    </row>
    <row r="860" customFormat="false" ht="15" hidden="false" customHeight="false" outlineLevel="0" collapsed="false">
      <c r="A860" s="48"/>
      <c r="B860" s="46"/>
      <c r="C860" s="50"/>
      <c r="D860" s="50"/>
      <c r="E860" s="50"/>
      <c r="F860" s="50"/>
      <c r="G860" s="49"/>
      <c r="H860" s="50"/>
      <c r="I860" s="50"/>
      <c r="J860" s="50"/>
      <c r="K860" s="50"/>
      <c r="L860" s="50"/>
      <c r="M860" s="46"/>
      <c r="N860" s="47"/>
      <c r="O860" s="62" t="str">
        <f aca="false">IF($B860="","",TEXT($A860,"YYYY-MM-DD")&amp;"|"&amp;$B860)</f>
        <v/>
      </c>
      <c r="P860" s="3"/>
      <c r="Q860" s="3"/>
      <c r="R860" s="3"/>
      <c r="S860" s="3"/>
      <c r="T860" s="3"/>
      <c r="U860" s="3"/>
      <c r="V860" s="3"/>
      <c r="W860" s="3"/>
      <c r="X860" s="3"/>
      <c r="Y860" s="3"/>
      <c r="Z860" s="3"/>
      <c r="AA860" s="3"/>
      <c r="AB860" s="3"/>
    </row>
    <row r="861" customFormat="false" ht="15" hidden="false" customHeight="false" outlineLevel="0" collapsed="false">
      <c r="A861" s="54"/>
      <c r="B861" s="52"/>
      <c r="C861" s="56"/>
      <c r="D861" s="56"/>
      <c r="E861" s="56"/>
      <c r="F861" s="56"/>
      <c r="G861" s="55"/>
      <c r="H861" s="56"/>
      <c r="I861" s="56"/>
      <c r="J861" s="56"/>
      <c r="K861" s="56"/>
      <c r="L861" s="56"/>
      <c r="M861" s="52"/>
      <c r="N861" s="53"/>
      <c r="O861" s="62" t="str">
        <f aca="false">IF($B861="","",TEXT($A861,"YYYY-MM-DD")&amp;"|"&amp;$B861)</f>
        <v/>
      </c>
      <c r="P861" s="3"/>
      <c r="Q861" s="3"/>
      <c r="R861" s="3"/>
      <c r="S861" s="3"/>
      <c r="T861" s="3"/>
      <c r="U861" s="3"/>
      <c r="V861" s="3"/>
      <c r="W861" s="3"/>
      <c r="X861" s="3"/>
      <c r="Y861" s="3"/>
      <c r="Z861" s="3"/>
      <c r="AA861" s="3"/>
      <c r="AB861" s="3"/>
    </row>
    <row r="862" customFormat="false" ht="15" hidden="false" customHeight="false" outlineLevel="0" collapsed="false">
      <c r="A862" s="48"/>
      <c r="B862" s="46"/>
      <c r="C862" s="50"/>
      <c r="D862" s="50"/>
      <c r="E862" s="50"/>
      <c r="F862" s="50"/>
      <c r="G862" s="49"/>
      <c r="H862" s="50"/>
      <c r="I862" s="50"/>
      <c r="J862" s="50"/>
      <c r="K862" s="50"/>
      <c r="L862" s="50"/>
      <c r="M862" s="46"/>
      <c r="N862" s="47"/>
      <c r="O862" s="62" t="str">
        <f aca="false">IF($B862="","",TEXT($A862,"YYYY-MM-DD")&amp;"|"&amp;$B862)</f>
        <v/>
      </c>
      <c r="P862" s="3"/>
      <c r="Q862" s="3"/>
      <c r="R862" s="3"/>
      <c r="S862" s="3"/>
      <c r="T862" s="3"/>
      <c r="U862" s="3"/>
      <c r="V862" s="3"/>
      <c r="W862" s="3"/>
      <c r="X862" s="3"/>
      <c r="Y862" s="3"/>
      <c r="Z862" s="3"/>
      <c r="AA862" s="3"/>
      <c r="AB862" s="3"/>
    </row>
    <row r="863" customFormat="false" ht="15" hidden="false" customHeight="false" outlineLevel="0" collapsed="false">
      <c r="A863" s="54"/>
      <c r="B863" s="52"/>
      <c r="C863" s="56"/>
      <c r="D863" s="56"/>
      <c r="E863" s="56"/>
      <c r="F863" s="56"/>
      <c r="G863" s="55"/>
      <c r="H863" s="56"/>
      <c r="I863" s="56"/>
      <c r="J863" s="56"/>
      <c r="K863" s="56"/>
      <c r="L863" s="56"/>
      <c r="M863" s="52"/>
      <c r="N863" s="53"/>
      <c r="O863" s="62" t="str">
        <f aca="false">IF($B863="","",TEXT($A863,"YYYY-MM-DD")&amp;"|"&amp;$B863)</f>
        <v/>
      </c>
      <c r="P863" s="3"/>
      <c r="Q863" s="3"/>
      <c r="R863" s="3"/>
      <c r="S863" s="3"/>
      <c r="T863" s="3"/>
      <c r="U863" s="3"/>
      <c r="V863" s="3"/>
      <c r="W863" s="3"/>
      <c r="X863" s="3"/>
      <c r="Y863" s="3"/>
      <c r="Z863" s="3"/>
      <c r="AA863" s="3"/>
      <c r="AB863" s="3"/>
    </row>
    <row r="864" customFormat="false" ht="15" hidden="false" customHeight="false" outlineLevel="0" collapsed="false">
      <c r="A864" s="48"/>
      <c r="B864" s="46"/>
      <c r="C864" s="50"/>
      <c r="D864" s="50"/>
      <c r="E864" s="50"/>
      <c r="F864" s="50"/>
      <c r="G864" s="49"/>
      <c r="H864" s="50"/>
      <c r="I864" s="50"/>
      <c r="J864" s="50"/>
      <c r="K864" s="50"/>
      <c r="L864" s="50"/>
      <c r="M864" s="46"/>
      <c r="N864" s="47"/>
      <c r="O864" s="62" t="str">
        <f aca="false">IF($B864="","",TEXT($A864,"YYYY-MM-DD")&amp;"|"&amp;$B864)</f>
        <v/>
      </c>
      <c r="P864" s="3"/>
      <c r="Q864" s="3"/>
      <c r="R864" s="3"/>
      <c r="S864" s="3"/>
      <c r="T864" s="3"/>
      <c r="U864" s="3"/>
      <c r="V864" s="3"/>
      <c r="W864" s="3"/>
      <c r="X864" s="3"/>
      <c r="Y864" s="3"/>
      <c r="Z864" s="3"/>
      <c r="AA864" s="3"/>
      <c r="AB864" s="3"/>
    </row>
    <row r="865" customFormat="false" ht="15" hidden="false" customHeight="false" outlineLevel="0" collapsed="false">
      <c r="A865" s="54"/>
      <c r="B865" s="52"/>
      <c r="C865" s="56"/>
      <c r="D865" s="56"/>
      <c r="E865" s="56"/>
      <c r="F865" s="56"/>
      <c r="G865" s="55"/>
      <c r="H865" s="56"/>
      <c r="I865" s="56"/>
      <c r="J865" s="56"/>
      <c r="K865" s="56"/>
      <c r="L865" s="56"/>
      <c r="M865" s="52"/>
      <c r="N865" s="53"/>
      <c r="O865" s="62" t="str">
        <f aca="false">IF($B865="","",TEXT($A865,"YYYY-MM-DD")&amp;"|"&amp;$B865)</f>
        <v/>
      </c>
      <c r="P865" s="3"/>
      <c r="Q865" s="3"/>
      <c r="R865" s="3"/>
      <c r="S865" s="3"/>
      <c r="T865" s="3"/>
      <c r="U865" s="3"/>
      <c r="V865" s="3"/>
      <c r="W865" s="3"/>
      <c r="X865" s="3"/>
      <c r="Y865" s="3"/>
      <c r="Z865" s="3"/>
      <c r="AA865" s="3"/>
      <c r="AB865" s="3"/>
    </row>
    <row r="866" customFormat="false" ht="15" hidden="false" customHeight="false" outlineLevel="0" collapsed="false">
      <c r="A866" s="48"/>
      <c r="B866" s="46"/>
      <c r="C866" s="50"/>
      <c r="D866" s="50"/>
      <c r="E866" s="50"/>
      <c r="F866" s="50"/>
      <c r="G866" s="49"/>
      <c r="H866" s="50"/>
      <c r="I866" s="50"/>
      <c r="J866" s="50"/>
      <c r="K866" s="50"/>
      <c r="L866" s="50"/>
      <c r="M866" s="46"/>
      <c r="N866" s="47"/>
      <c r="O866" s="62" t="str">
        <f aca="false">IF($B866="","",TEXT($A866,"YYYY-MM-DD")&amp;"|"&amp;$B866)</f>
        <v/>
      </c>
      <c r="P866" s="3"/>
      <c r="Q866" s="3"/>
      <c r="R866" s="3"/>
      <c r="S866" s="3"/>
      <c r="T866" s="3"/>
      <c r="U866" s="3"/>
      <c r="V866" s="3"/>
      <c r="W866" s="3"/>
      <c r="X866" s="3"/>
      <c r="Y866" s="3"/>
      <c r="Z866" s="3"/>
      <c r="AA866" s="3"/>
      <c r="AB866" s="3"/>
    </row>
    <row r="867" customFormat="false" ht="15" hidden="false" customHeight="false" outlineLevel="0" collapsed="false">
      <c r="A867" s="54"/>
      <c r="B867" s="52"/>
      <c r="C867" s="56"/>
      <c r="D867" s="56"/>
      <c r="E867" s="56"/>
      <c r="F867" s="56"/>
      <c r="G867" s="55"/>
      <c r="H867" s="56"/>
      <c r="I867" s="56"/>
      <c r="J867" s="56"/>
      <c r="K867" s="56"/>
      <c r="L867" s="56"/>
      <c r="M867" s="52"/>
      <c r="N867" s="53"/>
      <c r="O867" s="62" t="str">
        <f aca="false">IF($B867="","",TEXT($A867,"YYYY-MM-DD")&amp;"|"&amp;$B867)</f>
        <v/>
      </c>
      <c r="P867" s="3"/>
      <c r="Q867" s="3"/>
      <c r="R867" s="3"/>
      <c r="S867" s="3"/>
      <c r="T867" s="3"/>
      <c r="U867" s="3"/>
      <c r="V867" s="3"/>
      <c r="W867" s="3"/>
      <c r="X867" s="3"/>
      <c r="Y867" s="3"/>
      <c r="Z867" s="3"/>
      <c r="AA867" s="3"/>
      <c r="AB867" s="3"/>
    </row>
    <row r="868" customFormat="false" ht="15" hidden="false" customHeight="false" outlineLevel="0" collapsed="false">
      <c r="A868" s="48"/>
      <c r="B868" s="46"/>
      <c r="C868" s="50"/>
      <c r="D868" s="50"/>
      <c r="E868" s="50"/>
      <c r="F868" s="50"/>
      <c r="G868" s="49"/>
      <c r="H868" s="50"/>
      <c r="I868" s="50"/>
      <c r="J868" s="50"/>
      <c r="K868" s="50"/>
      <c r="L868" s="50"/>
      <c r="M868" s="46"/>
      <c r="N868" s="47"/>
      <c r="O868" s="62" t="str">
        <f aca="false">IF($B868="","",TEXT($A868,"YYYY-MM-DD")&amp;"|"&amp;$B868)</f>
        <v/>
      </c>
      <c r="P868" s="3"/>
      <c r="Q868" s="3"/>
      <c r="R868" s="3"/>
      <c r="S868" s="3"/>
      <c r="T868" s="3"/>
      <c r="U868" s="3"/>
      <c r="V868" s="3"/>
      <c r="W868" s="3"/>
      <c r="X868" s="3"/>
      <c r="Y868" s="3"/>
      <c r="Z868" s="3"/>
      <c r="AA868" s="3"/>
      <c r="AB868" s="3"/>
    </row>
    <row r="869" customFormat="false" ht="15" hidden="false" customHeight="false" outlineLevel="0" collapsed="false">
      <c r="A869" s="54"/>
      <c r="B869" s="52"/>
      <c r="C869" s="56"/>
      <c r="D869" s="56"/>
      <c r="E869" s="56"/>
      <c r="F869" s="56"/>
      <c r="G869" s="55"/>
      <c r="H869" s="56"/>
      <c r="I869" s="56"/>
      <c r="J869" s="56"/>
      <c r="K869" s="56"/>
      <c r="L869" s="56"/>
      <c r="M869" s="52"/>
      <c r="N869" s="53"/>
      <c r="O869" s="62" t="str">
        <f aca="false">IF($B869="","",TEXT($A869,"YYYY-MM-DD")&amp;"|"&amp;$B869)</f>
        <v/>
      </c>
      <c r="P869" s="3"/>
      <c r="Q869" s="3"/>
      <c r="R869" s="3"/>
      <c r="S869" s="3"/>
      <c r="T869" s="3"/>
      <c r="U869" s="3"/>
      <c r="V869" s="3"/>
      <c r="W869" s="3"/>
      <c r="X869" s="3"/>
      <c r="Y869" s="3"/>
      <c r="Z869" s="3"/>
      <c r="AA869" s="3"/>
      <c r="AB869" s="3"/>
    </row>
    <row r="870" customFormat="false" ht="15" hidden="false" customHeight="false" outlineLevel="0" collapsed="false">
      <c r="A870" s="48"/>
      <c r="B870" s="46"/>
      <c r="C870" s="50"/>
      <c r="D870" s="50"/>
      <c r="E870" s="50"/>
      <c r="F870" s="50"/>
      <c r="G870" s="49"/>
      <c r="H870" s="50"/>
      <c r="I870" s="50"/>
      <c r="J870" s="50"/>
      <c r="K870" s="50"/>
      <c r="L870" s="50"/>
      <c r="M870" s="46"/>
      <c r="N870" s="47"/>
      <c r="O870" s="62" t="str">
        <f aca="false">IF($B870="","",TEXT($A870,"YYYY-MM-DD")&amp;"|"&amp;$B870)</f>
        <v/>
      </c>
      <c r="P870" s="3"/>
      <c r="Q870" s="3"/>
      <c r="R870" s="3"/>
      <c r="S870" s="3"/>
      <c r="T870" s="3"/>
      <c r="U870" s="3"/>
      <c r="V870" s="3"/>
      <c r="W870" s="3"/>
      <c r="X870" s="3"/>
      <c r="Y870" s="3"/>
      <c r="Z870" s="3"/>
      <c r="AA870" s="3"/>
      <c r="AB870" s="3"/>
    </row>
    <row r="871" customFormat="false" ht="15" hidden="false" customHeight="false" outlineLevel="0" collapsed="false">
      <c r="A871" s="54"/>
      <c r="B871" s="52"/>
      <c r="C871" s="56"/>
      <c r="D871" s="56"/>
      <c r="E871" s="56"/>
      <c r="F871" s="56"/>
      <c r="G871" s="55"/>
      <c r="H871" s="56"/>
      <c r="I871" s="56"/>
      <c r="J871" s="56"/>
      <c r="K871" s="56"/>
      <c r="L871" s="56"/>
      <c r="M871" s="52"/>
      <c r="N871" s="53"/>
      <c r="O871" s="62" t="str">
        <f aca="false">IF($B871="","",TEXT($A871,"YYYY-MM-DD")&amp;"|"&amp;$B871)</f>
        <v/>
      </c>
      <c r="P871" s="3"/>
      <c r="Q871" s="3"/>
      <c r="R871" s="3"/>
      <c r="S871" s="3"/>
      <c r="T871" s="3"/>
      <c r="U871" s="3"/>
      <c r="V871" s="3"/>
      <c r="W871" s="3"/>
      <c r="X871" s="3"/>
      <c r="Y871" s="3"/>
      <c r="Z871" s="3"/>
      <c r="AA871" s="3"/>
      <c r="AB871" s="3"/>
    </row>
    <row r="872" customFormat="false" ht="15" hidden="false" customHeight="false" outlineLevel="0" collapsed="false">
      <c r="A872" s="48"/>
      <c r="B872" s="46"/>
      <c r="C872" s="50"/>
      <c r="D872" s="50"/>
      <c r="E872" s="50"/>
      <c r="F872" s="50"/>
      <c r="G872" s="49"/>
      <c r="H872" s="50"/>
      <c r="I872" s="50"/>
      <c r="J872" s="50"/>
      <c r="K872" s="50"/>
      <c r="L872" s="50"/>
      <c r="M872" s="46"/>
      <c r="N872" s="47"/>
      <c r="O872" s="62" t="str">
        <f aca="false">IF($B872="","",TEXT($A872,"YYYY-MM-DD")&amp;"|"&amp;$B872)</f>
        <v/>
      </c>
      <c r="P872" s="3"/>
      <c r="Q872" s="3"/>
      <c r="R872" s="3"/>
      <c r="S872" s="3"/>
      <c r="T872" s="3"/>
      <c r="U872" s="3"/>
      <c r="V872" s="3"/>
      <c r="W872" s="3"/>
      <c r="X872" s="3"/>
      <c r="Y872" s="3"/>
      <c r="Z872" s="3"/>
      <c r="AA872" s="3"/>
      <c r="AB872" s="3"/>
    </row>
    <row r="873" customFormat="false" ht="15" hidden="false" customHeight="false" outlineLevel="0" collapsed="false">
      <c r="A873" s="54"/>
      <c r="B873" s="52"/>
      <c r="C873" s="56"/>
      <c r="D873" s="56"/>
      <c r="E873" s="56"/>
      <c r="F873" s="56"/>
      <c r="G873" s="55"/>
      <c r="H873" s="56"/>
      <c r="I873" s="56"/>
      <c r="J873" s="56"/>
      <c r="K873" s="56"/>
      <c r="L873" s="56"/>
      <c r="M873" s="52"/>
      <c r="N873" s="53"/>
      <c r="O873" s="62" t="str">
        <f aca="false">IF($B873="","",TEXT($A873,"YYYY-MM-DD")&amp;"|"&amp;$B873)</f>
        <v/>
      </c>
      <c r="P873" s="3"/>
      <c r="Q873" s="3"/>
      <c r="R873" s="3"/>
      <c r="S873" s="3"/>
      <c r="T873" s="3"/>
      <c r="U873" s="3"/>
      <c r="V873" s="3"/>
      <c r="W873" s="3"/>
      <c r="X873" s="3"/>
      <c r="Y873" s="3"/>
      <c r="Z873" s="3"/>
      <c r="AA873" s="3"/>
      <c r="AB873" s="3"/>
    </row>
    <row r="874" customFormat="false" ht="15" hidden="false" customHeight="false" outlineLevel="0" collapsed="false">
      <c r="A874" s="48"/>
      <c r="B874" s="46"/>
      <c r="C874" s="50"/>
      <c r="D874" s="50"/>
      <c r="E874" s="50"/>
      <c r="F874" s="50"/>
      <c r="G874" s="49"/>
      <c r="H874" s="50"/>
      <c r="I874" s="50"/>
      <c r="J874" s="50"/>
      <c r="K874" s="50"/>
      <c r="L874" s="50"/>
      <c r="M874" s="46"/>
      <c r="N874" s="47"/>
      <c r="O874" s="62" t="str">
        <f aca="false">IF($B874="","",TEXT($A874,"YYYY-MM-DD")&amp;"|"&amp;$B874)</f>
        <v/>
      </c>
      <c r="P874" s="3"/>
      <c r="Q874" s="3"/>
      <c r="R874" s="3"/>
      <c r="S874" s="3"/>
      <c r="T874" s="3"/>
      <c r="U874" s="3"/>
      <c r="V874" s="3"/>
      <c r="W874" s="3"/>
      <c r="X874" s="3"/>
      <c r="Y874" s="3"/>
      <c r="Z874" s="3"/>
      <c r="AA874" s="3"/>
      <c r="AB874" s="3"/>
    </row>
    <row r="875" customFormat="false" ht="15" hidden="false" customHeight="false" outlineLevel="0" collapsed="false">
      <c r="A875" s="54"/>
      <c r="B875" s="52"/>
      <c r="C875" s="56"/>
      <c r="D875" s="56"/>
      <c r="E875" s="56"/>
      <c r="F875" s="56"/>
      <c r="G875" s="55"/>
      <c r="H875" s="56"/>
      <c r="I875" s="56"/>
      <c r="J875" s="56"/>
      <c r="K875" s="56"/>
      <c r="L875" s="56"/>
      <c r="M875" s="52"/>
      <c r="N875" s="53"/>
      <c r="O875" s="62" t="str">
        <f aca="false">IF($B875="","",TEXT($A875,"YYYY-MM-DD")&amp;"|"&amp;$B875)</f>
        <v/>
      </c>
      <c r="P875" s="3"/>
      <c r="Q875" s="3"/>
      <c r="R875" s="3"/>
      <c r="S875" s="3"/>
      <c r="T875" s="3"/>
      <c r="U875" s="3"/>
      <c r="V875" s="3"/>
      <c r="W875" s="3"/>
      <c r="X875" s="3"/>
      <c r="Y875" s="3"/>
      <c r="Z875" s="3"/>
      <c r="AA875" s="3"/>
      <c r="AB875" s="3"/>
    </row>
    <row r="876" customFormat="false" ht="15" hidden="false" customHeight="false" outlineLevel="0" collapsed="false">
      <c r="A876" s="48"/>
      <c r="B876" s="46"/>
      <c r="C876" s="50"/>
      <c r="D876" s="50"/>
      <c r="E876" s="50"/>
      <c r="F876" s="50"/>
      <c r="G876" s="49"/>
      <c r="H876" s="50"/>
      <c r="I876" s="50"/>
      <c r="J876" s="50"/>
      <c r="K876" s="50"/>
      <c r="L876" s="50"/>
      <c r="M876" s="46"/>
      <c r="N876" s="47"/>
      <c r="O876" s="62" t="str">
        <f aca="false">IF($B876="","",TEXT($A876,"YYYY-MM-DD")&amp;"|"&amp;$B876)</f>
        <v/>
      </c>
      <c r="P876" s="3"/>
      <c r="Q876" s="3"/>
      <c r="R876" s="3"/>
      <c r="S876" s="3"/>
      <c r="T876" s="3"/>
      <c r="U876" s="3"/>
      <c r="V876" s="3"/>
      <c r="W876" s="3"/>
      <c r="X876" s="3"/>
      <c r="Y876" s="3"/>
      <c r="Z876" s="3"/>
      <c r="AA876" s="3"/>
      <c r="AB876" s="3"/>
    </row>
    <row r="877" customFormat="false" ht="15" hidden="false" customHeight="false" outlineLevel="0" collapsed="false">
      <c r="A877" s="54"/>
      <c r="B877" s="52"/>
      <c r="C877" s="56"/>
      <c r="D877" s="56"/>
      <c r="E877" s="56"/>
      <c r="F877" s="56"/>
      <c r="G877" s="55"/>
      <c r="H877" s="56"/>
      <c r="I877" s="56"/>
      <c r="J877" s="56"/>
      <c r="K877" s="56"/>
      <c r="L877" s="56"/>
      <c r="M877" s="52"/>
      <c r="N877" s="53"/>
      <c r="O877" s="62" t="str">
        <f aca="false">IF($B877="","",TEXT($A877,"YYYY-MM-DD")&amp;"|"&amp;$B877)</f>
        <v/>
      </c>
      <c r="P877" s="3"/>
      <c r="Q877" s="3"/>
      <c r="R877" s="3"/>
      <c r="S877" s="3"/>
      <c r="T877" s="3"/>
      <c r="U877" s="3"/>
      <c r="V877" s="3"/>
      <c r="W877" s="3"/>
      <c r="X877" s="3"/>
      <c r="Y877" s="3"/>
      <c r="Z877" s="3"/>
      <c r="AA877" s="3"/>
      <c r="AB877" s="3"/>
    </row>
    <row r="878" customFormat="false" ht="15" hidden="false" customHeight="false" outlineLevel="0" collapsed="false">
      <c r="A878" s="48"/>
      <c r="B878" s="46"/>
      <c r="C878" s="50"/>
      <c r="D878" s="50"/>
      <c r="E878" s="50"/>
      <c r="F878" s="50"/>
      <c r="G878" s="49"/>
      <c r="H878" s="50"/>
      <c r="I878" s="50"/>
      <c r="J878" s="50"/>
      <c r="K878" s="50"/>
      <c r="L878" s="50"/>
      <c r="M878" s="46"/>
      <c r="N878" s="47"/>
      <c r="O878" s="62" t="str">
        <f aca="false">IF($B878="","",TEXT($A878,"YYYY-MM-DD")&amp;"|"&amp;$B878)</f>
        <v/>
      </c>
      <c r="P878" s="3"/>
      <c r="Q878" s="3"/>
      <c r="R878" s="3"/>
      <c r="S878" s="3"/>
      <c r="T878" s="3"/>
      <c r="U878" s="3"/>
      <c r="V878" s="3"/>
      <c r="W878" s="3"/>
      <c r="X878" s="3"/>
      <c r="Y878" s="3"/>
      <c r="Z878" s="3"/>
      <c r="AA878" s="3"/>
      <c r="AB878" s="3"/>
    </row>
    <row r="879" customFormat="false" ht="15" hidden="false" customHeight="false" outlineLevel="0" collapsed="false">
      <c r="A879" s="54"/>
      <c r="B879" s="52"/>
      <c r="C879" s="56"/>
      <c r="D879" s="56"/>
      <c r="E879" s="56"/>
      <c r="F879" s="56"/>
      <c r="G879" s="55"/>
      <c r="H879" s="56"/>
      <c r="I879" s="56"/>
      <c r="J879" s="56"/>
      <c r="K879" s="56"/>
      <c r="L879" s="56"/>
      <c r="M879" s="52"/>
      <c r="N879" s="53"/>
      <c r="O879" s="62" t="str">
        <f aca="false">IF($B879="","",TEXT($A879,"YYYY-MM-DD")&amp;"|"&amp;$B879)</f>
        <v/>
      </c>
      <c r="P879" s="3"/>
      <c r="Q879" s="3"/>
      <c r="R879" s="3"/>
      <c r="S879" s="3"/>
      <c r="T879" s="3"/>
      <c r="U879" s="3"/>
      <c r="V879" s="3"/>
      <c r="W879" s="3"/>
      <c r="X879" s="3"/>
      <c r="Y879" s="3"/>
      <c r="Z879" s="3"/>
      <c r="AA879" s="3"/>
      <c r="AB879" s="3"/>
    </row>
    <row r="880" customFormat="false" ht="15" hidden="false" customHeight="false" outlineLevel="0" collapsed="false">
      <c r="A880" s="48"/>
      <c r="B880" s="46"/>
      <c r="C880" s="50"/>
      <c r="D880" s="50"/>
      <c r="E880" s="50"/>
      <c r="F880" s="50"/>
      <c r="G880" s="49"/>
      <c r="H880" s="50"/>
      <c r="I880" s="50"/>
      <c r="J880" s="50"/>
      <c r="K880" s="50"/>
      <c r="L880" s="50"/>
      <c r="M880" s="46"/>
      <c r="N880" s="47"/>
      <c r="O880" s="62" t="str">
        <f aca="false">IF($B880="","",TEXT($A880,"YYYY-MM-DD")&amp;"|"&amp;$B880)</f>
        <v/>
      </c>
      <c r="P880" s="3"/>
      <c r="Q880" s="3"/>
      <c r="R880" s="3"/>
      <c r="S880" s="3"/>
      <c r="T880" s="3"/>
      <c r="U880" s="3"/>
      <c r="V880" s="3"/>
      <c r="W880" s="3"/>
      <c r="X880" s="3"/>
      <c r="Y880" s="3"/>
      <c r="Z880" s="3"/>
      <c r="AA880" s="3"/>
      <c r="AB880" s="3"/>
    </row>
    <row r="881" customFormat="false" ht="15" hidden="false" customHeight="false" outlineLevel="0" collapsed="false">
      <c r="A881" s="54"/>
      <c r="B881" s="52"/>
      <c r="C881" s="56"/>
      <c r="D881" s="56"/>
      <c r="E881" s="56"/>
      <c r="F881" s="56"/>
      <c r="G881" s="55"/>
      <c r="H881" s="56"/>
      <c r="I881" s="56"/>
      <c r="J881" s="56"/>
      <c r="K881" s="56"/>
      <c r="L881" s="56"/>
      <c r="M881" s="52"/>
      <c r="N881" s="53"/>
      <c r="O881" s="62" t="str">
        <f aca="false">IF($B881="","",TEXT($A881,"YYYY-MM-DD")&amp;"|"&amp;$B881)</f>
        <v/>
      </c>
      <c r="P881" s="3"/>
      <c r="Q881" s="3"/>
      <c r="R881" s="3"/>
      <c r="S881" s="3"/>
      <c r="T881" s="3"/>
      <c r="U881" s="3"/>
      <c r="V881" s="3"/>
      <c r="W881" s="3"/>
      <c r="X881" s="3"/>
      <c r="Y881" s="3"/>
      <c r="Z881" s="3"/>
      <c r="AA881" s="3"/>
      <c r="AB881" s="3"/>
    </row>
    <row r="882" customFormat="false" ht="15" hidden="false" customHeight="false" outlineLevel="0" collapsed="false">
      <c r="A882" s="48"/>
      <c r="B882" s="46"/>
      <c r="C882" s="50"/>
      <c r="D882" s="50"/>
      <c r="E882" s="50"/>
      <c r="F882" s="50"/>
      <c r="G882" s="49"/>
      <c r="H882" s="50"/>
      <c r="I882" s="50"/>
      <c r="J882" s="50"/>
      <c r="K882" s="50"/>
      <c r="L882" s="50"/>
      <c r="M882" s="46"/>
      <c r="N882" s="47"/>
      <c r="O882" s="62" t="str">
        <f aca="false">IF($B882="","",TEXT($A882,"YYYY-MM-DD")&amp;"|"&amp;$B882)</f>
        <v/>
      </c>
      <c r="P882" s="3"/>
      <c r="Q882" s="3"/>
      <c r="R882" s="3"/>
      <c r="S882" s="3"/>
      <c r="T882" s="3"/>
      <c r="U882" s="3"/>
      <c r="V882" s="3"/>
      <c r="W882" s="3"/>
      <c r="X882" s="3"/>
      <c r="Y882" s="3"/>
      <c r="Z882" s="3"/>
      <c r="AA882" s="3"/>
      <c r="AB882" s="3"/>
    </row>
    <row r="883" customFormat="false" ht="15" hidden="false" customHeight="false" outlineLevel="0" collapsed="false">
      <c r="A883" s="54"/>
      <c r="B883" s="52"/>
      <c r="C883" s="56"/>
      <c r="D883" s="56"/>
      <c r="E883" s="56"/>
      <c r="F883" s="56"/>
      <c r="G883" s="55"/>
      <c r="H883" s="56"/>
      <c r="I883" s="56"/>
      <c r="J883" s="56"/>
      <c r="K883" s="56"/>
      <c r="L883" s="56"/>
      <c r="M883" s="52"/>
      <c r="N883" s="53"/>
      <c r="O883" s="62" t="str">
        <f aca="false">IF($B883="","",TEXT($A883,"YYYY-MM-DD")&amp;"|"&amp;$B883)</f>
        <v/>
      </c>
      <c r="P883" s="3"/>
      <c r="Q883" s="3"/>
      <c r="R883" s="3"/>
      <c r="S883" s="3"/>
      <c r="T883" s="3"/>
      <c r="U883" s="3"/>
      <c r="V883" s="3"/>
      <c r="W883" s="3"/>
      <c r="X883" s="3"/>
      <c r="Y883" s="3"/>
      <c r="Z883" s="3"/>
      <c r="AA883" s="3"/>
      <c r="AB883" s="3"/>
    </row>
    <row r="884" customFormat="false" ht="15" hidden="false" customHeight="false" outlineLevel="0" collapsed="false">
      <c r="A884" s="48"/>
      <c r="B884" s="46"/>
      <c r="C884" s="50"/>
      <c r="D884" s="50"/>
      <c r="E884" s="50"/>
      <c r="F884" s="50"/>
      <c r="G884" s="49"/>
      <c r="H884" s="50"/>
      <c r="I884" s="50"/>
      <c r="J884" s="50"/>
      <c r="K884" s="50"/>
      <c r="L884" s="50"/>
      <c r="M884" s="46"/>
      <c r="N884" s="47"/>
      <c r="O884" s="62" t="str">
        <f aca="false">IF($B884="","",TEXT($A884,"YYYY-MM-DD")&amp;"|"&amp;$B884)</f>
        <v/>
      </c>
      <c r="P884" s="3"/>
      <c r="Q884" s="3"/>
      <c r="R884" s="3"/>
      <c r="S884" s="3"/>
      <c r="T884" s="3"/>
      <c r="U884" s="3"/>
      <c r="V884" s="3"/>
      <c r="W884" s="3"/>
      <c r="X884" s="3"/>
      <c r="Y884" s="3"/>
      <c r="Z884" s="3"/>
      <c r="AA884" s="3"/>
      <c r="AB884" s="3"/>
    </row>
    <row r="885" customFormat="false" ht="15" hidden="false" customHeight="false" outlineLevel="0" collapsed="false">
      <c r="A885" s="54"/>
      <c r="B885" s="52"/>
      <c r="C885" s="56"/>
      <c r="D885" s="56"/>
      <c r="E885" s="56"/>
      <c r="F885" s="56"/>
      <c r="G885" s="55"/>
      <c r="H885" s="56"/>
      <c r="I885" s="56"/>
      <c r="J885" s="56"/>
      <c r="K885" s="56"/>
      <c r="L885" s="56"/>
      <c r="M885" s="52"/>
      <c r="N885" s="53"/>
      <c r="O885" s="62" t="str">
        <f aca="false">IF($B885="","",TEXT($A885,"YYYY-MM-DD")&amp;"|"&amp;$B885)</f>
        <v/>
      </c>
      <c r="P885" s="3"/>
      <c r="Q885" s="3"/>
      <c r="R885" s="3"/>
      <c r="S885" s="3"/>
      <c r="T885" s="3"/>
      <c r="U885" s="3"/>
      <c r="V885" s="3"/>
      <c r="W885" s="3"/>
      <c r="X885" s="3"/>
      <c r="Y885" s="3"/>
      <c r="Z885" s="3"/>
      <c r="AA885" s="3"/>
      <c r="AB885" s="3"/>
    </row>
    <row r="886" customFormat="false" ht="15" hidden="false" customHeight="false" outlineLevel="0" collapsed="false">
      <c r="A886" s="48"/>
      <c r="B886" s="46"/>
      <c r="C886" s="50"/>
      <c r="D886" s="50"/>
      <c r="E886" s="50"/>
      <c r="F886" s="50"/>
      <c r="G886" s="49"/>
      <c r="H886" s="50"/>
      <c r="I886" s="50"/>
      <c r="J886" s="50"/>
      <c r="K886" s="50"/>
      <c r="L886" s="50"/>
      <c r="M886" s="46"/>
      <c r="N886" s="47"/>
      <c r="O886" s="62" t="str">
        <f aca="false">IF($B886="","",TEXT($A886,"YYYY-MM-DD")&amp;"|"&amp;$B886)</f>
        <v/>
      </c>
      <c r="P886" s="3"/>
      <c r="Q886" s="3"/>
      <c r="R886" s="3"/>
      <c r="S886" s="3"/>
      <c r="T886" s="3"/>
      <c r="U886" s="3"/>
      <c r="V886" s="3"/>
      <c r="W886" s="3"/>
      <c r="X886" s="3"/>
      <c r="Y886" s="3"/>
      <c r="Z886" s="3"/>
      <c r="AA886" s="3"/>
      <c r="AB886" s="3"/>
    </row>
    <row r="887" customFormat="false" ht="15" hidden="false" customHeight="false" outlineLevel="0" collapsed="false">
      <c r="A887" s="54"/>
      <c r="B887" s="52"/>
      <c r="C887" s="56"/>
      <c r="D887" s="56"/>
      <c r="E887" s="56"/>
      <c r="F887" s="56"/>
      <c r="G887" s="55"/>
      <c r="H887" s="56"/>
      <c r="I887" s="56"/>
      <c r="J887" s="56"/>
      <c r="K887" s="56"/>
      <c r="L887" s="56"/>
      <c r="M887" s="52"/>
      <c r="N887" s="53"/>
      <c r="O887" s="62" t="str">
        <f aca="false">IF($B887="","",TEXT($A887,"YYYY-MM-DD")&amp;"|"&amp;$B887)</f>
        <v/>
      </c>
      <c r="P887" s="3"/>
      <c r="Q887" s="3"/>
      <c r="R887" s="3"/>
      <c r="S887" s="3"/>
      <c r="T887" s="3"/>
      <c r="U887" s="3"/>
      <c r="V887" s="3"/>
      <c r="W887" s="3"/>
      <c r="X887" s="3"/>
      <c r="Y887" s="3"/>
      <c r="Z887" s="3"/>
      <c r="AA887" s="3"/>
      <c r="AB887" s="3"/>
    </row>
    <row r="888" customFormat="false" ht="15" hidden="false" customHeight="false" outlineLevel="0" collapsed="false">
      <c r="A888" s="48"/>
      <c r="B888" s="46"/>
      <c r="C888" s="50"/>
      <c r="D888" s="50"/>
      <c r="E888" s="50"/>
      <c r="F888" s="50"/>
      <c r="G888" s="49"/>
      <c r="H888" s="50"/>
      <c r="I888" s="50"/>
      <c r="J888" s="50"/>
      <c r="K888" s="50"/>
      <c r="L888" s="50"/>
      <c r="M888" s="46"/>
      <c r="N888" s="47"/>
      <c r="O888" s="62" t="str">
        <f aca="false">IF($B888="","",TEXT($A888,"YYYY-MM-DD")&amp;"|"&amp;$B888)</f>
        <v/>
      </c>
      <c r="P888" s="3"/>
      <c r="Q888" s="3"/>
      <c r="R888" s="3"/>
      <c r="S888" s="3"/>
      <c r="T888" s="3"/>
      <c r="U888" s="3"/>
      <c r="V888" s="3"/>
      <c r="W888" s="3"/>
      <c r="X888" s="3"/>
      <c r="Y888" s="3"/>
      <c r="Z888" s="3"/>
      <c r="AA888" s="3"/>
      <c r="AB888" s="3"/>
    </row>
    <row r="889" customFormat="false" ht="15" hidden="false" customHeight="false" outlineLevel="0" collapsed="false">
      <c r="A889" s="54"/>
      <c r="B889" s="52"/>
      <c r="C889" s="56"/>
      <c r="D889" s="56"/>
      <c r="E889" s="56"/>
      <c r="F889" s="56"/>
      <c r="G889" s="55"/>
      <c r="H889" s="56"/>
      <c r="I889" s="56"/>
      <c r="J889" s="56"/>
      <c r="K889" s="56"/>
      <c r="L889" s="56"/>
      <c r="M889" s="52"/>
      <c r="N889" s="53"/>
      <c r="O889" s="62" t="str">
        <f aca="false">IF($B889="","",TEXT($A889,"YYYY-MM-DD")&amp;"|"&amp;$B889)</f>
        <v/>
      </c>
      <c r="P889" s="3"/>
      <c r="Q889" s="3"/>
      <c r="R889" s="3"/>
      <c r="S889" s="3"/>
      <c r="T889" s="3"/>
      <c r="U889" s="3"/>
      <c r="V889" s="3"/>
      <c r="W889" s="3"/>
      <c r="X889" s="3"/>
      <c r="Y889" s="3"/>
      <c r="Z889" s="3"/>
      <c r="AA889" s="3"/>
      <c r="AB889" s="3"/>
    </row>
    <row r="890" customFormat="false" ht="15" hidden="false" customHeight="false" outlineLevel="0" collapsed="false">
      <c r="A890" s="48"/>
      <c r="B890" s="46"/>
      <c r="C890" s="50"/>
      <c r="D890" s="50"/>
      <c r="E890" s="50"/>
      <c r="F890" s="50"/>
      <c r="G890" s="49"/>
      <c r="H890" s="50"/>
      <c r="I890" s="50"/>
      <c r="J890" s="50"/>
      <c r="K890" s="50"/>
      <c r="L890" s="50"/>
      <c r="M890" s="46"/>
      <c r="N890" s="47"/>
      <c r="O890" s="62" t="str">
        <f aca="false">IF($B890="","",TEXT($A890,"YYYY-MM-DD")&amp;"|"&amp;$B890)</f>
        <v/>
      </c>
      <c r="P890" s="3"/>
      <c r="Q890" s="3"/>
      <c r="R890" s="3"/>
      <c r="S890" s="3"/>
      <c r="T890" s="3"/>
      <c r="U890" s="3"/>
      <c r="V890" s="3"/>
      <c r="W890" s="3"/>
      <c r="X890" s="3"/>
      <c r="Y890" s="3"/>
      <c r="Z890" s="3"/>
      <c r="AA890" s="3"/>
      <c r="AB890" s="3"/>
    </row>
    <row r="891" customFormat="false" ht="15" hidden="false" customHeight="false" outlineLevel="0" collapsed="false">
      <c r="A891" s="54"/>
      <c r="B891" s="52"/>
      <c r="C891" s="56"/>
      <c r="D891" s="56"/>
      <c r="E891" s="56"/>
      <c r="F891" s="56"/>
      <c r="G891" s="55"/>
      <c r="H891" s="56"/>
      <c r="I891" s="56"/>
      <c r="J891" s="56"/>
      <c r="K891" s="56"/>
      <c r="L891" s="56"/>
      <c r="M891" s="52"/>
      <c r="N891" s="53"/>
      <c r="O891" s="62" t="str">
        <f aca="false">IF($B891="","",TEXT($A891,"YYYY-MM-DD")&amp;"|"&amp;$B891)</f>
        <v/>
      </c>
      <c r="P891" s="3"/>
      <c r="Q891" s="3"/>
      <c r="R891" s="3"/>
      <c r="S891" s="3"/>
      <c r="T891" s="3"/>
      <c r="U891" s="3"/>
      <c r="V891" s="3"/>
      <c r="W891" s="3"/>
      <c r="X891" s="3"/>
      <c r="Y891" s="3"/>
      <c r="Z891" s="3"/>
      <c r="AA891" s="3"/>
      <c r="AB891" s="3"/>
    </row>
    <row r="892" customFormat="false" ht="15" hidden="false" customHeight="false" outlineLevel="0" collapsed="false">
      <c r="A892" s="48"/>
      <c r="B892" s="46"/>
      <c r="C892" s="50"/>
      <c r="D892" s="50"/>
      <c r="E892" s="50"/>
      <c r="F892" s="50"/>
      <c r="G892" s="49"/>
      <c r="H892" s="50"/>
      <c r="I892" s="50"/>
      <c r="J892" s="50"/>
      <c r="K892" s="50"/>
      <c r="L892" s="50"/>
      <c r="M892" s="46"/>
      <c r="N892" s="47"/>
      <c r="O892" s="62" t="str">
        <f aca="false">IF($B892="","",TEXT($A892,"YYYY-MM-DD")&amp;"|"&amp;$B892)</f>
        <v/>
      </c>
      <c r="P892" s="3"/>
      <c r="Q892" s="3"/>
      <c r="R892" s="3"/>
      <c r="S892" s="3"/>
      <c r="T892" s="3"/>
      <c r="U892" s="3"/>
      <c r="V892" s="3"/>
      <c r="W892" s="3"/>
      <c r="X892" s="3"/>
      <c r="Y892" s="3"/>
      <c r="Z892" s="3"/>
      <c r="AA892" s="3"/>
      <c r="AB892" s="3"/>
    </row>
    <row r="893" customFormat="false" ht="15" hidden="false" customHeight="false" outlineLevel="0" collapsed="false">
      <c r="A893" s="54"/>
      <c r="B893" s="52"/>
      <c r="C893" s="56"/>
      <c r="D893" s="56"/>
      <c r="E893" s="56"/>
      <c r="F893" s="56"/>
      <c r="G893" s="55"/>
      <c r="H893" s="56"/>
      <c r="I893" s="56"/>
      <c r="J893" s="56"/>
      <c r="K893" s="56"/>
      <c r="L893" s="56"/>
      <c r="M893" s="52"/>
      <c r="N893" s="53"/>
      <c r="O893" s="62" t="str">
        <f aca="false">IF($B893="","",TEXT($A893,"YYYY-MM-DD")&amp;"|"&amp;$B893)</f>
        <v/>
      </c>
      <c r="P893" s="3"/>
      <c r="Q893" s="3"/>
      <c r="R893" s="3"/>
      <c r="S893" s="3"/>
      <c r="T893" s="3"/>
      <c r="U893" s="3"/>
      <c r="V893" s="3"/>
      <c r="W893" s="3"/>
      <c r="X893" s="3"/>
      <c r="Y893" s="3"/>
      <c r="Z893" s="3"/>
      <c r="AA893" s="3"/>
      <c r="AB893" s="3"/>
    </row>
    <row r="894" customFormat="false" ht="15" hidden="false" customHeight="false" outlineLevel="0" collapsed="false">
      <c r="A894" s="48"/>
      <c r="B894" s="46"/>
      <c r="C894" s="50"/>
      <c r="D894" s="50"/>
      <c r="E894" s="50"/>
      <c r="F894" s="50"/>
      <c r="G894" s="49"/>
      <c r="H894" s="50"/>
      <c r="I894" s="50"/>
      <c r="J894" s="50"/>
      <c r="K894" s="50"/>
      <c r="L894" s="50"/>
      <c r="M894" s="46"/>
      <c r="N894" s="47"/>
      <c r="O894" s="62" t="str">
        <f aca="false">IF($B894="","",TEXT($A894,"YYYY-MM-DD")&amp;"|"&amp;$B894)</f>
        <v/>
      </c>
      <c r="P894" s="3"/>
      <c r="Q894" s="3"/>
      <c r="R894" s="3"/>
      <c r="S894" s="3"/>
      <c r="T894" s="3"/>
      <c r="U894" s="3"/>
      <c r="V894" s="3"/>
      <c r="W894" s="3"/>
      <c r="X894" s="3"/>
      <c r="Y894" s="3"/>
      <c r="Z894" s="3"/>
      <c r="AA894" s="3"/>
      <c r="AB894" s="3"/>
    </row>
    <row r="895" customFormat="false" ht="15" hidden="false" customHeight="false" outlineLevel="0" collapsed="false">
      <c r="A895" s="54"/>
      <c r="B895" s="52"/>
      <c r="C895" s="56"/>
      <c r="D895" s="56"/>
      <c r="E895" s="56"/>
      <c r="F895" s="56"/>
      <c r="G895" s="55"/>
      <c r="H895" s="56"/>
      <c r="I895" s="56"/>
      <c r="J895" s="56"/>
      <c r="K895" s="56"/>
      <c r="L895" s="56"/>
      <c r="M895" s="52"/>
      <c r="N895" s="53"/>
      <c r="O895" s="62" t="str">
        <f aca="false">IF($B895="","",TEXT($A895,"YYYY-MM-DD")&amp;"|"&amp;$B895)</f>
        <v/>
      </c>
      <c r="P895" s="3"/>
      <c r="Q895" s="3"/>
      <c r="R895" s="3"/>
      <c r="S895" s="3"/>
      <c r="T895" s="3"/>
      <c r="U895" s="3"/>
      <c r="V895" s="3"/>
      <c r="W895" s="3"/>
      <c r="X895" s="3"/>
      <c r="Y895" s="3"/>
      <c r="Z895" s="3"/>
      <c r="AA895" s="3"/>
      <c r="AB895" s="3"/>
    </row>
    <row r="896" customFormat="false" ht="15" hidden="false" customHeight="false" outlineLevel="0" collapsed="false">
      <c r="A896" s="48"/>
      <c r="B896" s="46"/>
      <c r="C896" s="50"/>
      <c r="D896" s="50"/>
      <c r="E896" s="50"/>
      <c r="F896" s="50"/>
      <c r="G896" s="49"/>
      <c r="H896" s="50"/>
      <c r="I896" s="50"/>
      <c r="J896" s="50"/>
      <c r="K896" s="50"/>
      <c r="L896" s="50"/>
      <c r="M896" s="46"/>
      <c r="N896" s="47"/>
      <c r="O896" s="62" t="str">
        <f aca="false">IF($B896="","",TEXT($A896,"YYYY-MM-DD")&amp;"|"&amp;$B896)</f>
        <v/>
      </c>
      <c r="P896" s="3"/>
      <c r="Q896" s="3"/>
      <c r="R896" s="3"/>
      <c r="S896" s="3"/>
      <c r="T896" s="3"/>
      <c r="U896" s="3"/>
      <c r="V896" s="3"/>
      <c r="W896" s="3"/>
      <c r="X896" s="3"/>
      <c r="Y896" s="3"/>
      <c r="Z896" s="3"/>
      <c r="AA896" s="3"/>
      <c r="AB896" s="3"/>
    </row>
    <row r="897" customFormat="false" ht="15" hidden="false" customHeight="false" outlineLevel="0" collapsed="false">
      <c r="A897" s="54"/>
      <c r="B897" s="52"/>
      <c r="C897" s="56"/>
      <c r="D897" s="56"/>
      <c r="E897" s="56"/>
      <c r="F897" s="56"/>
      <c r="G897" s="55"/>
      <c r="H897" s="56"/>
      <c r="I897" s="56"/>
      <c r="J897" s="56"/>
      <c r="K897" s="56"/>
      <c r="L897" s="56"/>
      <c r="M897" s="52"/>
      <c r="N897" s="53"/>
      <c r="O897" s="62" t="str">
        <f aca="false">IF($B897="","",TEXT($A897,"YYYY-MM-DD")&amp;"|"&amp;$B897)</f>
        <v/>
      </c>
      <c r="P897" s="3"/>
      <c r="Q897" s="3"/>
      <c r="R897" s="3"/>
      <c r="S897" s="3"/>
      <c r="T897" s="3"/>
      <c r="U897" s="3"/>
      <c r="V897" s="3"/>
      <c r="W897" s="3"/>
      <c r="X897" s="3"/>
      <c r="Y897" s="3"/>
      <c r="Z897" s="3"/>
      <c r="AA897" s="3"/>
      <c r="AB897" s="3"/>
    </row>
    <row r="898" customFormat="false" ht="15" hidden="false" customHeight="false" outlineLevel="0" collapsed="false">
      <c r="A898" s="48"/>
      <c r="B898" s="46"/>
      <c r="C898" s="50"/>
      <c r="D898" s="50"/>
      <c r="E898" s="50"/>
      <c r="F898" s="50"/>
      <c r="G898" s="49"/>
      <c r="H898" s="50"/>
      <c r="I898" s="50"/>
      <c r="J898" s="50"/>
      <c r="K898" s="50"/>
      <c r="L898" s="50"/>
      <c r="M898" s="46"/>
      <c r="N898" s="47"/>
      <c r="O898" s="62" t="str">
        <f aca="false">IF($B898="","",TEXT($A898,"YYYY-MM-DD")&amp;"|"&amp;$B898)</f>
        <v/>
      </c>
      <c r="P898" s="3"/>
      <c r="Q898" s="3"/>
      <c r="R898" s="3"/>
      <c r="S898" s="3"/>
      <c r="T898" s="3"/>
      <c r="U898" s="3"/>
      <c r="V898" s="3"/>
      <c r="W898" s="3"/>
      <c r="X898" s="3"/>
      <c r="Y898" s="3"/>
      <c r="Z898" s="3"/>
      <c r="AA898" s="3"/>
      <c r="AB898" s="3"/>
    </row>
    <row r="899" customFormat="false" ht="15" hidden="false" customHeight="false" outlineLevel="0" collapsed="false">
      <c r="A899" s="54"/>
      <c r="B899" s="52"/>
      <c r="C899" s="56"/>
      <c r="D899" s="56"/>
      <c r="E899" s="56"/>
      <c r="F899" s="56"/>
      <c r="G899" s="55"/>
      <c r="H899" s="56"/>
      <c r="I899" s="56"/>
      <c r="J899" s="56"/>
      <c r="K899" s="56"/>
      <c r="L899" s="56"/>
      <c r="M899" s="52"/>
      <c r="N899" s="53"/>
      <c r="O899" s="62" t="str">
        <f aca="false">IF($B899="","",TEXT($A899,"YYYY-MM-DD")&amp;"|"&amp;$B899)</f>
        <v/>
      </c>
      <c r="P899" s="3"/>
      <c r="Q899" s="3"/>
      <c r="R899" s="3"/>
      <c r="S899" s="3"/>
      <c r="T899" s="3"/>
      <c r="U899" s="3"/>
      <c r="V899" s="3"/>
      <c r="W899" s="3"/>
      <c r="X899" s="3"/>
      <c r="Y899" s="3"/>
      <c r="Z899" s="3"/>
      <c r="AA899" s="3"/>
      <c r="AB899" s="3"/>
    </row>
    <row r="900" customFormat="false" ht="15" hidden="false" customHeight="false" outlineLevel="0" collapsed="false">
      <c r="A900" s="48"/>
      <c r="B900" s="46"/>
      <c r="C900" s="50"/>
      <c r="D900" s="50"/>
      <c r="E900" s="50"/>
      <c r="F900" s="50"/>
      <c r="G900" s="49"/>
      <c r="H900" s="50"/>
      <c r="I900" s="50"/>
      <c r="J900" s="50"/>
      <c r="K900" s="50"/>
      <c r="L900" s="50"/>
      <c r="M900" s="46"/>
      <c r="N900" s="47"/>
      <c r="O900" s="62" t="str">
        <f aca="false">IF($B900="","",TEXT($A900,"YYYY-MM-DD")&amp;"|"&amp;$B900)</f>
        <v/>
      </c>
      <c r="P900" s="3"/>
      <c r="Q900" s="3"/>
      <c r="R900" s="3"/>
      <c r="S900" s="3"/>
      <c r="T900" s="3"/>
      <c r="U900" s="3"/>
      <c r="V900" s="3"/>
      <c r="W900" s="3"/>
      <c r="X900" s="3"/>
      <c r="Y900" s="3"/>
      <c r="Z900" s="3"/>
      <c r="AA900" s="3"/>
      <c r="AB900" s="3"/>
    </row>
    <row r="901" customFormat="false" ht="15" hidden="false" customHeight="false" outlineLevel="0" collapsed="false">
      <c r="A901" s="54"/>
      <c r="B901" s="52"/>
      <c r="C901" s="56"/>
      <c r="D901" s="56"/>
      <c r="E901" s="56"/>
      <c r="F901" s="56"/>
      <c r="G901" s="55"/>
      <c r="H901" s="56"/>
      <c r="I901" s="56"/>
      <c r="J901" s="56"/>
      <c r="K901" s="56"/>
      <c r="L901" s="56"/>
      <c r="M901" s="52"/>
      <c r="N901" s="53"/>
      <c r="O901" s="62" t="str">
        <f aca="false">IF($B901="","",TEXT($A901,"YYYY-MM-DD")&amp;"|"&amp;$B901)</f>
        <v/>
      </c>
      <c r="P901" s="3"/>
      <c r="Q901" s="3"/>
      <c r="R901" s="3"/>
      <c r="S901" s="3"/>
      <c r="T901" s="3"/>
      <c r="U901" s="3"/>
      <c r="V901" s="3"/>
      <c r="W901" s="3"/>
      <c r="X901" s="3"/>
      <c r="Y901" s="3"/>
      <c r="Z901" s="3"/>
      <c r="AA901" s="3"/>
      <c r="AB901" s="3"/>
    </row>
    <row r="902" customFormat="false" ht="15" hidden="false" customHeight="false" outlineLevel="0" collapsed="false">
      <c r="A902" s="48"/>
      <c r="B902" s="46"/>
      <c r="C902" s="50"/>
      <c r="D902" s="50"/>
      <c r="E902" s="50"/>
      <c r="F902" s="50"/>
      <c r="G902" s="49"/>
      <c r="H902" s="50"/>
      <c r="I902" s="50"/>
      <c r="J902" s="50"/>
      <c r="K902" s="50"/>
      <c r="L902" s="50"/>
      <c r="M902" s="46"/>
      <c r="N902" s="47"/>
      <c r="O902" s="62" t="str">
        <f aca="false">IF($B902="","",TEXT($A902,"YYYY-MM-DD")&amp;"|"&amp;$B902)</f>
        <v/>
      </c>
      <c r="P902" s="3"/>
      <c r="Q902" s="3"/>
      <c r="R902" s="3"/>
      <c r="S902" s="3"/>
      <c r="T902" s="3"/>
      <c r="U902" s="3"/>
      <c r="V902" s="3"/>
      <c r="W902" s="3"/>
      <c r="X902" s="3"/>
      <c r="Y902" s="3"/>
      <c r="Z902" s="3"/>
      <c r="AA902" s="3"/>
      <c r="AB902" s="3"/>
    </row>
    <row r="903" customFormat="false" ht="15" hidden="false" customHeight="false" outlineLevel="0" collapsed="false">
      <c r="A903" s="54"/>
      <c r="B903" s="52"/>
      <c r="C903" s="56"/>
      <c r="D903" s="56"/>
      <c r="E903" s="56"/>
      <c r="F903" s="56"/>
      <c r="G903" s="55"/>
      <c r="H903" s="56"/>
      <c r="I903" s="56"/>
      <c r="J903" s="56"/>
      <c r="K903" s="56"/>
      <c r="L903" s="56"/>
      <c r="M903" s="52"/>
      <c r="N903" s="53"/>
      <c r="O903" s="62" t="str">
        <f aca="false">IF($B903="","",TEXT($A903,"YYYY-MM-DD")&amp;"|"&amp;$B903)</f>
        <v/>
      </c>
      <c r="P903" s="3"/>
      <c r="Q903" s="3"/>
      <c r="R903" s="3"/>
      <c r="S903" s="3"/>
      <c r="T903" s="3"/>
      <c r="U903" s="3"/>
      <c r="V903" s="3"/>
      <c r="W903" s="3"/>
      <c r="X903" s="3"/>
      <c r="Y903" s="3"/>
      <c r="Z903" s="3"/>
      <c r="AA903" s="3"/>
      <c r="AB903" s="3"/>
    </row>
    <row r="904" customFormat="false" ht="15" hidden="false" customHeight="false" outlineLevel="0" collapsed="false">
      <c r="A904" s="48"/>
      <c r="B904" s="46"/>
      <c r="C904" s="50"/>
      <c r="D904" s="50"/>
      <c r="E904" s="50"/>
      <c r="F904" s="50"/>
      <c r="G904" s="49"/>
      <c r="H904" s="50"/>
      <c r="I904" s="50"/>
      <c r="J904" s="50"/>
      <c r="K904" s="50"/>
      <c r="L904" s="50"/>
      <c r="M904" s="46"/>
      <c r="N904" s="47"/>
      <c r="O904" s="62" t="str">
        <f aca="false">IF($B904="","",TEXT($A904,"YYYY-MM-DD")&amp;"|"&amp;$B904)</f>
        <v/>
      </c>
      <c r="P904" s="3"/>
      <c r="Q904" s="3"/>
      <c r="R904" s="3"/>
      <c r="S904" s="3"/>
      <c r="T904" s="3"/>
      <c r="U904" s="3"/>
      <c r="V904" s="3"/>
      <c r="W904" s="3"/>
      <c r="X904" s="3"/>
      <c r="Y904" s="3"/>
      <c r="Z904" s="3"/>
      <c r="AA904" s="3"/>
      <c r="AB904" s="3"/>
    </row>
    <row r="905" customFormat="false" ht="15" hidden="false" customHeight="false" outlineLevel="0" collapsed="false">
      <c r="A905" s="54"/>
      <c r="B905" s="52"/>
      <c r="C905" s="56"/>
      <c r="D905" s="56"/>
      <c r="E905" s="56"/>
      <c r="F905" s="56"/>
      <c r="G905" s="55"/>
      <c r="H905" s="56"/>
      <c r="I905" s="56"/>
      <c r="J905" s="56"/>
      <c r="K905" s="56"/>
      <c r="L905" s="56"/>
      <c r="M905" s="52"/>
      <c r="N905" s="53"/>
      <c r="O905" s="62" t="str">
        <f aca="false">IF($B905="","",TEXT($A905,"YYYY-MM-DD")&amp;"|"&amp;$B905)</f>
        <v/>
      </c>
      <c r="P905" s="3"/>
      <c r="Q905" s="3"/>
      <c r="R905" s="3"/>
      <c r="S905" s="3"/>
      <c r="T905" s="3"/>
      <c r="U905" s="3"/>
      <c r="V905" s="3"/>
      <c r="W905" s="3"/>
      <c r="X905" s="3"/>
      <c r="Y905" s="3"/>
      <c r="Z905" s="3"/>
      <c r="AA905" s="3"/>
      <c r="AB905" s="3"/>
    </row>
    <row r="906" customFormat="false" ht="15" hidden="false" customHeight="false" outlineLevel="0" collapsed="false">
      <c r="A906" s="48"/>
      <c r="B906" s="46"/>
      <c r="C906" s="50"/>
      <c r="D906" s="50"/>
      <c r="E906" s="50"/>
      <c r="F906" s="50"/>
      <c r="G906" s="49"/>
      <c r="H906" s="50"/>
      <c r="I906" s="50"/>
      <c r="J906" s="50"/>
      <c r="K906" s="50"/>
      <c r="L906" s="50"/>
      <c r="M906" s="46"/>
      <c r="N906" s="47"/>
      <c r="O906" s="62" t="str">
        <f aca="false">IF($B906="","",TEXT($A906,"YYYY-MM-DD")&amp;"|"&amp;$B906)</f>
        <v/>
      </c>
      <c r="P906" s="3"/>
      <c r="Q906" s="3"/>
      <c r="R906" s="3"/>
      <c r="S906" s="3"/>
      <c r="T906" s="3"/>
      <c r="U906" s="3"/>
      <c r="V906" s="3"/>
      <c r="W906" s="3"/>
      <c r="X906" s="3"/>
      <c r="Y906" s="3"/>
      <c r="Z906" s="3"/>
      <c r="AA906" s="3"/>
      <c r="AB906" s="3"/>
    </row>
    <row r="907" customFormat="false" ht="15" hidden="false" customHeight="false" outlineLevel="0" collapsed="false">
      <c r="A907" s="54"/>
      <c r="B907" s="52"/>
      <c r="C907" s="56"/>
      <c r="D907" s="56"/>
      <c r="E907" s="56"/>
      <c r="F907" s="56"/>
      <c r="G907" s="55"/>
      <c r="H907" s="56"/>
      <c r="I907" s="56"/>
      <c r="J907" s="56"/>
      <c r="K907" s="56"/>
      <c r="L907" s="56"/>
      <c r="M907" s="52"/>
      <c r="N907" s="53"/>
      <c r="O907" s="62" t="str">
        <f aca="false">IF($B907="","",TEXT($A907,"YYYY-MM-DD")&amp;"|"&amp;$B907)</f>
        <v/>
      </c>
      <c r="P907" s="3"/>
      <c r="Q907" s="3"/>
      <c r="R907" s="3"/>
      <c r="S907" s="3"/>
      <c r="T907" s="3"/>
      <c r="U907" s="3"/>
      <c r="V907" s="3"/>
      <c r="W907" s="3"/>
      <c r="X907" s="3"/>
      <c r="Y907" s="3"/>
      <c r="Z907" s="3"/>
      <c r="AA907" s="3"/>
      <c r="AB907" s="3"/>
    </row>
    <row r="908" customFormat="false" ht="15" hidden="false" customHeight="false" outlineLevel="0" collapsed="false">
      <c r="A908" s="48"/>
      <c r="B908" s="46"/>
      <c r="C908" s="50"/>
      <c r="D908" s="50"/>
      <c r="E908" s="50"/>
      <c r="F908" s="50"/>
      <c r="G908" s="49"/>
      <c r="H908" s="50"/>
      <c r="I908" s="50"/>
      <c r="J908" s="50"/>
      <c r="K908" s="50"/>
      <c r="L908" s="50"/>
      <c r="M908" s="46"/>
      <c r="N908" s="47"/>
      <c r="O908" s="62" t="str">
        <f aca="false">IF($B908="","",TEXT($A908,"YYYY-MM-DD")&amp;"|"&amp;$B908)</f>
        <v/>
      </c>
      <c r="P908" s="3"/>
      <c r="Q908" s="3"/>
      <c r="R908" s="3"/>
      <c r="S908" s="3"/>
      <c r="T908" s="3"/>
      <c r="U908" s="3"/>
      <c r="V908" s="3"/>
      <c r="W908" s="3"/>
      <c r="X908" s="3"/>
      <c r="Y908" s="3"/>
      <c r="Z908" s="3"/>
      <c r="AA908" s="3"/>
      <c r="AB908" s="3"/>
    </row>
    <row r="909" customFormat="false" ht="15" hidden="false" customHeight="false" outlineLevel="0" collapsed="false">
      <c r="A909" s="54"/>
      <c r="B909" s="52"/>
      <c r="C909" s="56"/>
      <c r="D909" s="56"/>
      <c r="E909" s="56"/>
      <c r="F909" s="56"/>
      <c r="G909" s="55"/>
      <c r="H909" s="56"/>
      <c r="I909" s="56"/>
      <c r="J909" s="56"/>
      <c r="K909" s="56"/>
      <c r="L909" s="56"/>
      <c r="M909" s="52"/>
      <c r="N909" s="53"/>
      <c r="O909" s="62" t="str">
        <f aca="false">IF($B909="","",TEXT($A909,"YYYY-MM-DD")&amp;"|"&amp;$B909)</f>
        <v/>
      </c>
      <c r="P909" s="3"/>
      <c r="Q909" s="3"/>
      <c r="R909" s="3"/>
      <c r="S909" s="3"/>
      <c r="T909" s="3"/>
      <c r="U909" s="3"/>
      <c r="V909" s="3"/>
      <c r="W909" s="3"/>
      <c r="X909" s="3"/>
      <c r="Y909" s="3"/>
      <c r="Z909" s="3"/>
      <c r="AA909" s="3"/>
      <c r="AB909" s="3"/>
    </row>
    <row r="910" customFormat="false" ht="15" hidden="false" customHeight="false" outlineLevel="0" collapsed="false">
      <c r="A910" s="48"/>
      <c r="B910" s="46"/>
      <c r="C910" s="50"/>
      <c r="D910" s="50"/>
      <c r="E910" s="50"/>
      <c r="F910" s="50"/>
      <c r="G910" s="49"/>
      <c r="H910" s="50"/>
      <c r="I910" s="50"/>
      <c r="J910" s="50"/>
      <c r="K910" s="50"/>
      <c r="L910" s="50"/>
      <c r="M910" s="46"/>
      <c r="N910" s="47"/>
      <c r="O910" s="62" t="str">
        <f aca="false">IF($B910="","",TEXT($A910,"YYYY-MM-DD")&amp;"|"&amp;$B910)</f>
        <v/>
      </c>
      <c r="P910" s="3"/>
      <c r="Q910" s="3"/>
      <c r="R910" s="3"/>
      <c r="S910" s="3"/>
      <c r="T910" s="3"/>
      <c r="U910" s="3"/>
      <c r="V910" s="3"/>
      <c r="W910" s="3"/>
      <c r="X910" s="3"/>
      <c r="Y910" s="3"/>
      <c r="Z910" s="3"/>
      <c r="AA910" s="3"/>
      <c r="AB910" s="3"/>
    </row>
    <row r="911" customFormat="false" ht="15" hidden="false" customHeight="false" outlineLevel="0" collapsed="false">
      <c r="A911" s="54"/>
      <c r="B911" s="52"/>
      <c r="C911" s="56"/>
      <c r="D911" s="56"/>
      <c r="E911" s="56"/>
      <c r="F911" s="56"/>
      <c r="G911" s="55"/>
      <c r="H911" s="56"/>
      <c r="I911" s="56"/>
      <c r="J911" s="56"/>
      <c r="K911" s="56"/>
      <c r="L911" s="56"/>
      <c r="M911" s="52"/>
      <c r="N911" s="53"/>
      <c r="O911" s="62" t="str">
        <f aca="false">IF($B911="","",TEXT($A911,"YYYY-MM-DD")&amp;"|"&amp;$B911)</f>
        <v/>
      </c>
      <c r="P911" s="3"/>
      <c r="Q911" s="3"/>
      <c r="R911" s="3"/>
      <c r="S911" s="3"/>
      <c r="T911" s="3"/>
      <c r="U911" s="3"/>
      <c r="V911" s="3"/>
      <c r="W911" s="3"/>
      <c r="X911" s="3"/>
      <c r="Y911" s="3"/>
      <c r="Z911" s="3"/>
      <c r="AA911" s="3"/>
      <c r="AB911" s="3"/>
    </row>
    <row r="912" customFormat="false" ht="15" hidden="false" customHeight="false" outlineLevel="0" collapsed="false">
      <c r="A912" s="48"/>
      <c r="B912" s="46"/>
      <c r="C912" s="50"/>
      <c r="D912" s="50"/>
      <c r="E912" s="50"/>
      <c r="F912" s="50"/>
      <c r="G912" s="49"/>
      <c r="H912" s="50"/>
      <c r="I912" s="50"/>
      <c r="J912" s="50"/>
      <c r="K912" s="50"/>
      <c r="L912" s="50"/>
      <c r="M912" s="46"/>
      <c r="N912" s="47"/>
      <c r="O912" s="62" t="str">
        <f aca="false">IF($B912="","",TEXT($A912,"YYYY-MM-DD")&amp;"|"&amp;$B912)</f>
        <v/>
      </c>
      <c r="P912" s="3"/>
      <c r="Q912" s="3"/>
      <c r="R912" s="3"/>
      <c r="S912" s="3"/>
      <c r="T912" s="3"/>
      <c r="U912" s="3"/>
      <c r="V912" s="3"/>
      <c r="W912" s="3"/>
      <c r="X912" s="3"/>
      <c r="Y912" s="3"/>
      <c r="Z912" s="3"/>
      <c r="AA912" s="3"/>
      <c r="AB912" s="3"/>
    </row>
    <row r="913" customFormat="false" ht="15" hidden="false" customHeight="false" outlineLevel="0" collapsed="false">
      <c r="A913" s="54"/>
      <c r="B913" s="52"/>
      <c r="C913" s="56"/>
      <c r="D913" s="56"/>
      <c r="E913" s="56"/>
      <c r="F913" s="56"/>
      <c r="G913" s="55"/>
      <c r="H913" s="56"/>
      <c r="I913" s="56"/>
      <c r="J913" s="56"/>
      <c r="K913" s="56"/>
      <c r="L913" s="56"/>
      <c r="M913" s="52"/>
      <c r="N913" s="53"/>
      <c r="O913" s="62" t="str">
        <f aca="false">IF($B913="","",TEXT($A913,"YYYY-MM-DD")&amp;"|"&amp;$B913)</f>
        <v/>
      </c>
      <c r="P913" s="3"/>
      <c r="Q913" s="3"/>
      <c r="R913" s="3"/>
      <c r="S913" s="3"/>
      <c r="T913" s="3"/>
      <c r="U913" s="3"/>
      <c r="V913" s="3"/>
      <c r="W913" s="3"/>
      <c r="X913" s="3"/>
      <c r="Y913" s="3"/>
      <c r="Z913" s="3"/>
      <c r="AA913" s="3"/>
      <c r="AB913" s="3"/>
    </row>
    <row r="914" customFormat="false" ht="15" hidden="false" customHeight="false" outlineLevel="0" collapsed="false">
      <c r="A914" s="48"/>
      <c r="B914" s="46"/>
      <c r="C914" s="50"/>
      <c r="D914" s="50"/>
      <c r="E914" s="50"/>
      <c r="F914" s="50"/>
      <c r="G914" s="49"/>
      <c r="H914" s="50"/>
      <c r="I914" s="50"/>
      <c r="J914" s="50"/>
      <c r="K914" s="50"/>
      <c r="L914" s="50"/>
      <c r="M914" s="46"/>
      <c r="N914" s="47"/>
      <c r="O914" s="62" t="str">
        <f aca="false">IF($B914="","",TEXT($A914,"YYYY-MM-DD")&amp;"|"&amp;$B914)</f>
        <v/>
      </c>
      <c r="P914" s="3"/>
      <c r="Q914" s="3"/>
      <c r="R914" s="3"/>
      <c r="S914" s="3"/>
      <c r="T914" s="3"/>
      <c r="U914" s="3"/>
      <c r="V914" s="3"/>
      <c r="W914" s="3"/>
      <c r="X914" s="3"/>
      <c r="Y914" s="3"/>
      <c r="Z914" s="3"/>
      <c r="AA914" s="3"/>
      <c r="AB914" s="3"/>
    </row>
    <row r="915" customFormat="false" ht="15" hidden="false" customHeight="false" outlineLevel="0" collapsed="false">
      <c r="A915" s="54"/>
      <c r="B915" s="52"/>
      <c r="C915" s="56"/>
      <c r="D915" s="56"/>
      <c r="E915" s="56"/>
      <c r="F915" s="56"/>
      <c r="G915" s="55"/>
      <c r="H915" s="56"/>
      <c r="I915" s="56"/>
      <c r="J915" s="56"/>
      <c r="K915" s="56"/>
      <c r="L915" s="56"/>
      <c r="M915" s="52"/>
      <c r="N915" s="53"/>
      <c r="O915" s="62" t="str">
        <f aca="false">IF($B915="","",TEXT($A915,"YYYY-MM-DD")&amp;"|"&amp;$B915)</f>
        <v/>
      </c>
      <c r="P915" s="3"/>
      <c r="Q915" s="3"/>
      <c r="R915" s="3"/>
      <c r="S915" s="3"/>
      <c r="T915" s="3"/>
      <c r="U915" s="3"/>
      <c r="V915" s="3"/>
      <c r="W915" s="3"/>
      <c r="X915" s="3"/>
      <c r="Y915" s="3"/>
      <c r="Z915" s="3"/>
      <c r="AA915" s="3"/>
      <c r="AB915" s="3"/>
    </row>
    <row r="916" customFormat="false" ht="15" hidden="false" customHeight="false" outlineLevel="0" collapsed="false">
      <c r="A916" s="48"/>
      <c r="B916" s="46"/>
      <c r="C916" s="50"/>
      <c r="D916" s="50"/>
      <c r="E916" s="50"/>
      <c r="F916" s="50"/>
      <c r="G916" s="49"/>
      <c r="H916" s="50"/>
      <c r="I916" s="50"/>
      <c r="J916" s="50"/>
      <c r="K916" s="50"/>
      <c r="L916" s="50"/>
      <c r="M916" s="46"/>
      <c r="N916" s="47"/>
      <c r="O916" s="62" t="str">
        <f aca="false">IF($B916="","",TEXT($A916,"YYYY-MM-DD")&amp;"|"&amp;$B916)</f>
        <v/>
      </c>
      <c r="P916" s="3"/>
      <c r="Q916" s="3"/>
      <c r="R916" s="3"/>
      <c r="S916" s="3"/>
      <c r="T916" s="3"/>
      <c r="U916" s="3"/>
      <c r="V916" s="3"/>
      <c r="W916" s="3"/>
      <c r="X916" s="3"/>
      <c r="Y916" s="3"/>
      <c r="Z916" s="3"/>
      <c r="AA916" s="3"/>
      <c r="AB916" s="3"/>
    </row>
    <row r="917" customFormat="false" ht="15" hidden="false" customHeight="false" outlineLevel="0" collapsed="false">
      <c r="A917" s="54"/>
      <c r="B917" s="52"/>
      <c r="C917" s="56"/>
      <c r="D917" s="56"/>
      <c r="E917" s="56"/>
      <c r="F917" s="56"/>
      <c r="G917" s="55"/>
      <c r="H917" s="56"/>
      <c r="I917" s="56"/>
      <c r="J917" s="56"/>
      <c r="K917" s="56"/>
      <c r="L917" s="56"/>
      <c r="M917" s="52"/>
      <c r="N917" s="53"/>
      <c r="O917" s="62" t="str">
        <f aca="false">IF($B917="","",TEXT($A917,"YYYY-MM-DD")&amp;"|"&amp;$B917)</f>
        <v/>
      </c>
      <c r="P917" s="3"/>
      <c r="Q917" s="3"/>
      <c r="R917" s="3"/>
      <c r="S917" s="3"/>
      <c r="T917" s="3"/>
      <c r="U917" s="3"/>
      <c r="V917" s="3"/>
      <c r="W917" s="3"/>
      <c r="X917" s="3"/>
      <c r="Y917" s="3"/>
      <c r="Z917" s="3"/>
      <c r="AA917" s="3"/>
      <c r="AB917" s="3"/>
    </row>
    <row r="918" customFormat="false" ht="15" hidden="false" customHeight="false" outlineLevel="0" collapsed="false">
      <c r="A918" s="48"/>
      <c r="B918" s="46"/>
      <c r="C918" s="50"/>
      <c r="D918" s="50"/>
      <c r="E918" s="50"/>
      <c r="F918" s="50"/>
      <c r="G918" s="49"/>
      <c r="H918" s="50"/>
      <c r="I918" s="50"/>
      <c r="J918" s="50"/>
      <c r="K918" s="50"/>
      <c r="L918" s="50"/>
      <c r="M918" s="46"/>
      <c r="N918" s="47"/>
      <c r="O918" s="62" t="str">
        <f aca="false">IF($B918="","",TEXT($A918,"YYYY-MM-DD")&amp;"|"&amp;$B918)</f>
        <v/>
      </c>
      <c r="P918" s="3"/>
      <c r="Q918" s="3"/>
      <c r="R918" s="3"/>
      <c r="S918" s="3"/>
      <c r="T918" s="3"/>
      <c r="U918" s="3"/>
      <c r="V918" s="3"/>
      <c r="W918" s="3"/>
      <c r="X918" s="3"/>
      <c r="Y918" s="3"/>
      <c r="Z918" s="3"/>
      <c r="AA918" s="3"/>
      <c r="AB918" s="3"/>
    </row>
    <row r="919" customFormat="false" ht="15" hidden="false" customHeight="false" outlineLevel="0" collapsed="false">
      <c r="A919" s="54"/>
      <c r="B919" s="52"/>
      <c r="C919" s="56"/>
      <c r="D919" s="56"/>
      <c r="E919" s="56"/>
      <c r="F919" s="56"/>
      <c r="G919" s="55"/>
      <c r="H919" s="56"/>
      <c r="I919" s="56"/>
      <c r="J919" s="56"/>
      <c r="K919" s="56"/>
      <c r="L919" s="56"/>
      <c r="M919" s="52"/>
      <c r="N919" s="53"/>
      <c r="O919" s="62" t="str">
        <f aca="false">IF($B919="","",TEXT($A919,"YYYY-MM-DD")&amp;"|"&amp;$B919)</f>
        <v/>
      </c>
      <c r="P919" s="3"/>
      <c r="Q919" s="3"/>
      <c r="R919" s="3"/>
      <c r="S919" s="3"/>
      <c r="T919" s="3"/>
      <c r="U919" s="3"/>
      <c r="V919" s="3"/>
      <c r="W919" s="3"/>
      <c r="X919" s="3"/>
      <c r="Y919" s="3"/>
      <c r="Z919" s="3"/>
      <c r="AA919" s="3"/>
      <c r="AB919" s="3"/>
    </row>
    <row r="920" customFormat="false" ht="15" hidden="false" customHeight="false" outlineLevel="0" collapsed="false">
      <c r="A920" s="48"/>
      <c r="B920" s="46"/>
      <c r="C920" s="50"/>
      <c r="D920" s="50"/>
      <c r="E920" s="50"/>
      <c r="F920" s="50"/>
      <c r="G920" s="49"/>
      <c r="H920" s="50"/>
      <c r="I920" s="50"/>
      <c r="J920" s="50"/>
      <c r="K920" s="50"/>
      <c r="L920" s="50"/>
      <c r="M920" s="46"/>
      <c r="N920" s="47"/>
      <c r="O920" s="62" t="str">
        <f aca="false">IF($B920="","",TEXT($A920,"YYYY-MM-DD")&amp;"|"&amp;$B920)</f>
        <v/>
      </c>
      <c r="P920" s="3"/>
      <c r="Q920" s="3"/>
      <c r="R920" s="3"/>
      <c r="S920" s="3"/>
      <c r="T920" s="3"/>
      <c r="U920" s="3"/>
      <c r="V920" s="3"/>
      <c r="W920" s="3"/>
      <c r="X920" s="3"/>
      <c r="Y920" s="3"/>
      <c r="Z920" s="3"/>
      <c r="AA920" s="3"/>
      <c r="AB920" s="3"/>
    </row>
    <row r="921" customFormat="false" ht="15" hidden="false" customHeight="false" outlineLevel="0" collapsed="false">
      <c r="A921" s="54"/>
      <c r="B921" s="52"/>
      <c r="C921" s="56"/>
      <c r="D921" s="56"/>
      <c r="E921" s="56"/>
      <c r="F921" s="56"/>
      <c r="G921" s="55"/>
      <c r="H921" s="56"/>
      <c r="I921" s="56"/>
      <c r="J921" s="56"/>
      <c r="K921" s="56"/>
      <c r="L921" s="56"/>
      <c r="M921" s="52"/>
      <c r="N921" s="53"/>
      <c r="O921" s="62" t="str">
        <f aca="false">IF($B921="","",TEXT($A921,"YYYY-MM-DD")&amp;"|"&amp;$B921)</f>
        <v/>
      </c>
      <c r="P921" s="3"/>
      <c r="Q921" s="3"/>
      <c r="R921" s="3"/>
      <c r="S921" s="3"/>
      <c r="T921" s="3"/>
      <c r="U921" s="3"/>
      <c r="V921" s="3"/>
      <c r="W921" s="3"/>
      <c r="X921" s="3"/>
      <c r="Y921" s="3"/>
      <c r="Z921" s="3"/>
      <c r="AA921" s="3"/>
      <c r="AB921" s="3"/>
    </row>
    <row r="922" customFormat="false" ht="15" hidden="false" customHeight="false" outlineLevel="0" collapsed="false">
      <c r="A922" s="48"/>
      <c r="B922" s="46"/>
      <c r="C922" s="50"/>
      <c r="D922" s="50"/>
      <c r="E922" s="50"/>
      <c r="F922" s="50"/>
      <c r="G922" s="49"/>
      <c r="H922" s="50"/>
      <c r="I922" s="50"/>
      <c r="J922" s="50"/>
      <c r="K922" s="50"/>
      <c r="L922" s="50"/>
      <c r="M922" s="46"/>
      <c r="N922" s="47"/>
      <c r="O922" s="62" t="str">
        <f aca="false">IF($B922="","",TEXT($A922,"YYYY-MM-DD")&amp;"|"&amp;$B922)</f>
        <v/>
      </c>
      <c r="P922" s="3"/>
      <c r="Q922" s="3"/>
      <c r="R922" s="3"/>
      <c r="S922" s="3"/>
      <c r="T922" s="3"/>
      <c r="U922" s="3"/>
      <c r="V922" s="3"/>
      <c r="W922" s="3"/>
      <c r="X922" s="3"/>
      <c r="Y922" s="3"/>
      <c r="Z922" s="3"/>
      <c r="AA922" s="3"/>
      <c r="AB922" s="3"/>
    </row>
    <row r="923" customFormat="false" ht="15" hidden="false" customHeight="false" outlineLevel="0" collapsed="false">
      <c r="A923" s="54"/>
      <c r="B923" s="52"/>
      <c r="C923" s="56"/>
      <c r="D923" s="56"/>
      <c r="E923" s="56"/>
      <c r="F923" s="56"/>
      <c r="G923" s="55"/>
      <c r="H923" s="56"/>
      <c r="I923" s="56"/>
      <c r="J923" s="56"/>
      <c r="K923" s="56"/>
      <c r="L923" s="56"/>
      <c r="M923" s="52"/>
      <c r="N923" s="53"/>
      <c r="O923" s="62" t="str">
        <f aca="false">IF($B923="","",TEXT($A923,"YYYY-MM-DD")&amp;"|"&amp;$B923)</f>
        <v/>
      </c>
      <c r="P923" s="3"/>
      <c r="Q923" s="3"/>
      <c r="R923" s="3"/>
      <c r="S923" s="3"/>
      <c r="T923" s="3"/>
      <c r="U923" s="3"/>
      <c r="V923" s="3"/>
      <c r="W923" s="3"/>
      <c r="X923" s="3"/>
      <c r="Y923" s="3"/>
      <c r="Z923" s="3"/>
      <c r="AA923" s="3"/>
      <c r="AB923" s="3"/>
    </row>
    <row r="924" customFormat="false" ht="15" hidden="false" customHeight="false" outlineLevel="0" collapsed="false">
      <c r="A924" s="48"/>
      <c r="B924" s="46"/>
      <c r="C924" s="50"/>
      <c r="D924" s="50"/>
      <c r="E924" s="50"/>
      <c r="F924" s="50"/>
      <c r="G924" s="49"/>
      <c r="H924" s="50"/>
      <c r="I924" s="50"/>
      <c r="J924" s="50"/>
      <c r="K924" s="50"/>
      <c r="L924" s="50"/>
      <c r="M924" s="46"/>
      <c r="N924" s="47"/>
      <c r="O924" s="62" t="str">
        <f aca="false">IF($B924="","",TEXT($A924,"YYYY-MM-DD")&amp;"|"&amp;$B924)</f>
        <v/>
      </c>
      <c r="P924" s="3"/>
      <c r="Q924" s="3"/>
      <c r="R924" s="3"/>
      <c r="S924" s="3"/>
      <c r="T924" s="3"/>
      <c r="U924" s="3"/>
      <c r="V924" s="3"/>
      <c r="W924" s="3"/>
      <c r="X924" s="3"/>
      <c r="Y924" s="3"/>
      <c r="Z924" s="3"/>
      <c r="AA924" s="3"/>
      <c r="AB924" s="3"/>
    </row>
    <row r="925" customFormat="false" ht="15" hidden="false" customHeight="false" outlineLevel="0" collapsed="false">
      <c r="A925" s="54"/>
      <c r="B925" s="52"/>
      <c r="C925" s="56"/>
      <c r="D925" s="56"/>
      <c r="E925" s="56"/>
      <c r="F925" s="56"/>
      <c r="G925" s="55"/>
      <c r="H925" s="56"/>
      <c r="I925" s="56"/>
      <c r="J925" s="56"/>
      <c r="K925" s="56"/>
      <c r="L925" s="56"/>
      <c r="M925" s="52"/>
      <c r="N925" s="53"/>
      <c r="O925" s="62" t="str">
        <f aca="false">IF($B925="","",TEXT($A925,"YYYY-MM-DD")&amp;"|"&amp;$B925)</f>
        <v/>
      </c>
      <c r="P925" s="3"/>
      <c r="Q925" s="3"/>
      <c r="R925" s="3"/>
      <c r="S925" s="3"/>
      <c r="T925" s="3"/>
      <c r="U925" s="3"/>
      <c r="V925" s="3"/>
      <c r="W925" s="3"/>
      <c r="X925" s="3"/>
      <c r="Y925" s="3"/>
      <c r="Z925" s="3"/>
      <c r="AA925" s="3"/>
      <c r="AB925" s="3"/>
    </row>
    <row r="926" customFormat="false" ht="15" hidden="false" customHeight="false" outlineLevel="0" collapsed="false">
      <c r="A926" s="48"/>
      <c r="B926" s="46"/>
      <c r="C926" s="50"/>
      <c r="D926" s="50"/>
      <c r="E926" s="50"/>
      <c r="F926" s="50"/>
      <c r="G926" s="49"/>
      <c r="H926" s="50"/>
      <c r="I926" s="50"/>
      <c r="J926" s="50"/>
      <c r="K926" s="50"/>
      <c r="L926" s="50"/>
      <c r="M926" s="46"/>
      <c r="N926" s="47"/>
      <c r="O926" s="62" t="str">
        <f aca="false">IF($B926="","",TEXT($A926,"YYYY-MM-DD")&amp;"|"&amp;$B926)</f>
        <v/>
      </c>
      <c r="P926" s="3"/>
      <c r="Q926" s="3"/>
      <c r="R926" s="3"/>
      <c r="S926" s="3"/>
      <c r="T926" s="3"/>
      <c r="U926" s="3"/>
      <c r="V926" s="3"/>
      <c r="W926" s="3"/>
      <c r="X926" s="3"/>
      <c r="Y926" s="3"/>
      <c r="Z926" s="3"/>
      <c r="AA926" s="3"/>
      <c r="AB926" s="3"/>
    </row>
    <row r="927" customFormat="false" ht="15" hidden="false" customHeight="false" outlineLevel="0" collapsed="false">
      <c r="A927" s="54"/>
      <c r="B927" s="52"/>
      <c r="C927" s="56"/>
      <c r="D927" s="56"/>
      <c r="E927" s="56"/>
      <c r="F927" s="56"/>
      <c r="G927" s="55"/>
      <c r="H927" s="56"/>
      <c r="I927" s="56"/>
      <c r="J927" s="56"/>
      <c r="K927" s="56"/>
      <c r="L927" s="56"/>
      <c r="M927" s="52"/>
      <c r="N927" s="53"/>
      <c r="O927" s="62" t="str">
        <f aca="false">IF($B927="","",TEXT($A927,"YYYY-MM-DD")&amp;"|"&amp;$B927)</f>
        <v/>
      </c>
      <c r="P927" s="3"/>
      <c r="Q927" s="3"/>
      <c r="R927" s="3"/>
      <c r="S927" s="3"/>
      <c r="T927" s="3"/>
      <c r="U927" s="3"/>
      <c r="V927" s="3"/>
      <c r="W927" s="3"/>
      <c r="X927" s="3"/>
      <c r="Y927" s="3"/>
      <c r="Z927" s="3"/>
      <c r="AA927" s="3"/>
      <c r="AB927" s="3"/>
    </row>
    <row r="928" customFormat="false" ht="15" hidden="false" customHeight="false" outlineLevel="0" collapsed="false">
      <c r="A928" s="48"/>
      <c r="B928" s="46"/>
      <c r="C928" s="50"/>
      <c r="D928" s="50"/>
      <c r="E928" s="50"/>
      <c r="F928" s="50"/>
      <c r="G928" s="49"/>
      <c r="H928" s="50"/>
      <c r="I928" s="50"/>
      <c r="J928" s="50"/>
      <c r="K928" s="50"/>
      <c r="L928" s="50"/>
      <c r="M928" s="46"/>
      <c r="N928" s="47"/>
      <c r="O928" s="62" t="str">
        <f aca="false">IF($B928="","",TEXT($A928,"YYYY-MM-DD")&amp;"|"&amp;$B928)</f>
        <v/>
      </c>
      <c r="P928" s="3"/>
      <c r="Q928" s="3"/>
      <c r="R928" s="3"/>
      <c r="S928" s="3"/>
      <c r="T928" s="3"/>
      <c r="U928" s="3"/>
      <c r="V928" s="3"/>
      <c r="W928" s="3"/>
      <c r="X928" s="3"/>
      <c r="Y928" s="3"/>
      <c r="Z928" s="3"/>
      <c r="AA928" s="3"/>
      <c r="AB928" s="3"/>
    </row>
    <row r="929" customFormat="false" ht="15" hidden="false" customHeight="false" outlineLevel="0" collapsed="false">
      <c r="A929" s="54"/>
      <c r="B929" s="52"/>
      <c r="C929" s="56"/>
      <c r="D929" s="56"/>
      <c r="E929" s="56"/>
      <c r="F929" s="56"/>
      <c r="G929" s="55"/>
      <c r="H929" s="56"/>
      <c r="I929" s="56"/>
      <c r="J929" s="56"/>
      <c r="K929" s="56"/>
      <c r="L929" s="56"/>
      <c r="M929" s="52"/>
      <c r="N929" s="53"/>
      <c r="O929" s="62" t="str">
        <f aca="false">IF($B929="","",TEXT($A929,"YYYY-MM-DD")&amp;"|"&amp;$B929)</f>
        <v/>
      </c>
      <c r="P929" s="3"/>
      <c r="Q929" s="3"/>
      <c r="R929" s="3"/>
      <c r="S929" s="3"/>
      <c r="T929" s="3"/>
      <c r="U929" s="3"/>
      <c r="V929" s="3"/>
      <c r="W929" s="3"/>
      <c r="X929" s="3"/>
      <c r="Y929" s="3"/>
      <c r="Z929" s="3"/>
      <c r="AA929" s="3"/>
      <c r="AB929" s="3"/>
    </row>
    <row r="930" customFormat="false" ht="15" hidden="false" customHeight="false" outlineLevel="0" collapsed="false">
      <c r="A930" s="48"/>
      <c r="B930" s="46"/>
      <c r="C930" s="50"/>
      <c r="D930" s="50"/>
      <c r="E930" s="50"/>
      <c r="F930" s="50"/>
      <c r="G930" s="49"/>
      <c r="H930" s="50"/>
      <c r="I930" s="50"/>
      <c r="J930" s="50"/>
      <c r="K930" s="50"/>
      <c r="L930" s="50"/>
      <c r="M930" s="46"/>
      <c r="N930" s="47"/>
      <c r="O930" s="62" t="str">
        <f aca="false">IF($B930="","",TEXT($A930,"YYYY-MM-DD")&amp;"|"&amp;$B930)</f>
        <v/>
      </c>
      <c r="P930" s="3"/>
      <c r="Q930" s="3"/>
      <c r="R930" s="3"/>
      <c r="S930" s="3"/>
      <c r="T930" s="3"/>
      <c r="U930" s="3"/>
      <c r="V930" s="3"/>
      <c r="W930" s="3"/>
      <c r="X930" s="3"/>
      <c r="Y930" s="3"/>
      <c r="Z930" s="3"/>
      <c r="AA930" s="3"/>
      <c r="AB930" s="3"/>
    </row>
    <row r="931" customFormat="false" ht="15" hidden="false" customHeight="false" outlineLevel="0" collapsed="false">
      <c r="A931" s="54"/>
      <c r="B931" s="52"/>
      <c r="C931" s="56"/>
      <c r="D931" s="56"/>
      <c r="E931" s="56"/>
      <c r="F931" s="56"/>
      <c r="G931" s="55"/>
      <c r="H931" s="56"/>
      <c r="I931" s="56"/>
      <c r="J931" s="56"/>
      <c r="K931" s="56"/>
      <c r="L931" s="56"/>
      <c r="M931" s="52"/>
      <c r="N931" s="53"/>
      <c r="O931" s="62" t="str">
        <f aca="false">IF($B931="","",TEXT($A931,"YYYY-MM-DD")&amp;"|"&amp;$B931)</f>
        <v/>
      </c>
      <c r="P931" s="3"/>
      <c r="Q931" s="3"/>
      <c r="R931" s="3"/>
      <c r="S931" s="3"/>
      <c r="T931" s="3"/>
      <c r="U931" s="3"/>
      <c r="V931" s="3"/>
      <c r="W931" s="3"/>
      <c r="X931" s="3"/>
      <c r="Y931" s="3"/>
      <c r="Z931" s="3"/>
      <c r="AA931" s="3"/>
      <c r="AB931" s="3"/>
    </row>
    <row r="932" customFormat="false" ht="15" hidden="false" customHeight="false" outlineLevel="0" collapsed="false">
      <c r="A932" s="48"/>
      <c r="B932" s="46"/>
      <c r="C932" s="50"/>
      <c r="D932" s="50"/>
      <c r="E932" s="50"/>
      <c r="F932" s="50"/>
      <c r="G932" s="49"/>
      <c r="H932" s="50"/>
      <c r="I932" s="50"/>
      <c r="J932" s="50"/>
      <c r="K932" s="50"/>
      <c r="L932" s="50"/>
      <c r="M932" s="46"/>
      <c r="N932" s="47"/>
      <c r="O932" s="62" t="str">
        <f aca="false">IF($B932="","",TEXT($A932,"YYYY-MM-DD")&amp;"|"&amp;$B932)</f>
        <v/>
      </c>
      <c r="P932" s="3"/>
      <c r="Q932" s="3"/>
      <c r="R932" s="3"/>
      <c r="S932" s="3"/>
      <c r="T932" s="3"/>
      <c r="U932" s="3"/>
      <c r="V932" s="3"/>
      <c r="W932" s="3"/>
      <c r="X932" s="3"/>
      <c r="Y932" s="3"/>
      <c r="Z932" s="3"/>
      <c r="AA932" s="3"/>
      <c r="AB932" s="3"/>
    </row>
    <row r="933" customFormat="false" ht="15" hidden="false" customHeight="false" outlineLevel="0" collapsed="false">
      <c r="A933" s="54"/>
      <c r="B933" s="52"/>
      <c r="C933" s="56"/>
      <c r="D933" s="56"/>
      <c r="E933" s="56"/>
      <c r="F933" s="56"/>
      <c r="G933" s="55"/>
      <c r="H933" s="56"/>
      <c r="I933" s="56"/>
      <c r="J933" s="56"/>
      <c r="K933" s="56"/>
      <c r="L933" s="56"/>
      <c r="M933" s="52"/>
      <c r="N933" s="53"/>
      <c r="O933" s="62" t="str">
        <f aca="false">IF($B933="","",TEXT($A933,"YYYY-MM-DD")&amp;"|"&amp;$B933)</f>
        <v/>
      </c>
      <c r="P933" s="3"/>
      <c r="Q933" s="3"/>
      <c r="R933" s="3"/>
      <c r="S933" s="3"/>
      <c r="T933" s="3"/>
      <c r="U933" s="3"/>
      <c r="V933" s="3"/>
      <c r="W933" s="3"/>
      <c r="X933" s="3"/>
      <c r="Y933" s="3"/>
      <c r="Z933" s="3"/>
      <c r="AA933" s="3"/>
      <c r="AB933" s="3"/>
    </row>
    <row r="934" customFormat="false" ht="15" hidden="false" customHeight="false" outlineLevel="0" collapsed="false">
      <c r="A934" s="48"/>
      <c r="B934" s="46"/>
      <c r="C934" s="50"/>
      <c r="D934" s="50"/>
      <c r="E934" s="50"/>
      <c r="F934" s="50"/>
      <c r="G934" s="49"/>
      <c r="H934" s="50"/>
      <c r="I934" s="50"/>
      <c r="J934" s="50"/>
      <c r="K934" s="50"/>
      <c r="L934" s="50"/>
      <c r="M934" s="46"/>
      <c r="N934" s="47"/>
      <c r="O934" s="62" t="str">
        <f aca="false">IF($B934="","",TEXT($A934,"YYYY-MM-DD")&amp;"|"&amp;$B934)</f>
        <v/>
      </c>
      <c r="P934" s="3"/>
      <c r="Q934" s="3"/>
      <c r="R934" s="3"/>
      <c r="S934" s="3"/>
      <c r="T934" s="3"/>
      <c r="U934" s="3"/>
      <c r="V934" s="3"/>
      <c r="W934" s="3"/>
      <c r="X934" s="3"/>
      <c r="Y934" s="3"/>
      <c r="Z934" s="3"/>
      <c r="AA934" s="3"/>
      <c r="AB934" s="3"/>
    </row>
    <row r="935" customFormat="false" ht="15" hidden="false" customHeight="false" outlineLevel="0" collapsed="false">
      <c r="A935" s="54"/>
      <c r="B935" s="52"/>
      <c r="C935" s="56"/>
      <c r="D935" s="56"/>
      <c r="E935" s="56"/>
      <c r="F935" s="56"/>
      <c r="G935" s="55"/>
      <c r="H935" s="56"/>
      <c r="I935" s="56"/>
      <c r="J935" s="56"/>
      <c r="K935" s="56"/>
      <c r="L935" s="56"/>
      <c r="M935" s="52"/>
      <c r="N935" s="53"/>
      <c r="O935" s="62" t="str">
        <f aca="false">IF($B935="","",TEXT($A935,"YYYY-MM-DD")&amp;"|"&amp;$B935)</f>
        <v/>
      </c>
      <c r="P935" s="3"/>
      <c r="Q935" s="3"/>
      <c r="R935" s="3"/>
      <c r="S935" s="3"/>
      <c r="T935" s="3"/>
      <c r="U935" s="3"/>
      <c r="V935" s="3"/>
      <c r="W935" s="3"/>
      <c r="X935" s="3"/>
      <c r="Y935" s="3"/>
      <c r="Z935" s="3"/>
      <c r="AA935" s="3"/>
      <c r="AB935" s="3"/>
    </row>
    <row r="936" customFormat="false" ht="15" hidden="false" customHeight="false" outlineLevel="0" collapsed="false">
      <c r="A936" s="48"/>
      <c r="B936" s="46"/>
      <c r="C936" s="50"/>
      <c r="D936" s="50"/>
      <c r="E936" s="50"/>
      <c r="F936" s="50"/>
      <c r="G936" s="49"/>
      <c r="H936" s="50"/>
      <c r="I936" s="50"/>
      <c r="J936" s="50"/>
      <c r="K936" s="50"/>
      <c r="L936" s="50"/>
      <c r="M936" s="46"/>
      <c r="N936" s="47"/>
      <c r="O936" s="62" t="str">
        <f aca="false">IF($B936="","",TEXT($A936,"YYYY-MM-DD")&amp;"|"&amp;$B936)</f>
        <v/>
      </c>
      <c r="P936" s="3"/>
      <c r="Q936" s="3"/>
      <c r="R936" s="3"/>
      <c r="S936" s="3"/>
      <c r="T936" s="3"/>
      <c r="U936" s="3"/>
      <c r="V936" s="3"/>
      <c r="W936" s="3"/>
      <c r="X936" s="3"/>
      <c r="Y936" s="3"/>
      <c r="Z936" s="3"/>
      <c r="AA936" s="3"/>
      <c r="AB936" s="3"/>
    </row>
    <row r="937" customFormat="false" ht="15" hidden="false" customHeight="false" outlineLevel="0" collapsed="false">
      <c r="A937" s="54"/>
      <c r="B937" s="52"/>
      <c r="C937" s="56"/>
      <c r="D937" s="56"/>
      <c r="E937" s="56"/>
      <c r="F937" s="56"/>
      <c r="G937" s="55"/>
      <c r="H937" s="56"/>
      <c r="I937" s="56"/>
      <c r="J937" s="56"/>
      <c r="K937" s="56"/>
      <c r="L937" s="56"/>
      <c r="M937" s="52"/>
      <c r="N937" s="53"/>
      <c r="O937" s="62" t="str">
        <f aca="false">IF($B937="","",TEXT($A937,"YYYY-MM-DD")&amp;"|"&amp;$B937)</f>
        <v/>
      </c>
      <c r="P937" s="3"/>
      <c r="Q937" s="3"/>
      <c r="R937" s="3"/>
      <c r="S937" s="3"/>
      <c r="T937" s="3"/>
      <c r="U937" s="3"/>
      <c r="V937" s="3"/>
      <c r="W937" s="3"/>
      <c r="X937" s="3"/>
      <c r="Y937" s="3"/>
      <c r="Z937" s="3"/>
      <c r="AA937" s="3"/>
      <c r="AB937" s="3"/>
    </row>
    <row r="938" customFormat="false" ht="15" hidden="false" customHeight="false" outlineLevel="0" collapsed="false">
      <c r="A938" s="48"/>
      <c r="B938" s="46"/>
      <c r="C938" s="50"/>
      <c r="D938" s="50"/>
      <c r="E938" s="50"/>
      <c r="F938" s="50"/>
      <c r="G938" s="49"/>
      <c r="H938" s="50"/>
      <c r="I938" s="50"/>
      <c r="J938" s="50"/>
      <c r="K938" s="50"/>
      <c r="L938" s="50"/>
      <c r="M938" s="46"/>
      <c r="N938" s="47"/>
      <c r="O938" s="62" t="str">
        <f aca="false">IF($B938="","",TEXT($A938,"YYYY-MM-DD")&amp;"|"&amp;$B938)</f>
        <v/>
      </c>
      <c r="P938" s="3"/>
      <c r="Q938" s="3"/>
      <c r="R938" s="3"/>
      <c r="S938" s="3"/>
      <c r="T938" s="3"/>
      <c r="U938" s="3"/>
      <c r="V938" s="3"/>
      <c r="W938" s="3"/>
      <c r="X938" s="3"/>
      <c r="Y938" s="3"/>
      <c r="Z938" s="3"/>
      <c r="AA938" s="3"/>
      <c r="AB938" s="3"/>
    </row>
    <row r="939" customFormat="false" ht="15" hidden="false" customHeight="false" outlineLevel="0" collapsed="false">
      <c r="A939" s="54"/>
      <c r="B939" s="52"/>
      <c r="C939" s="56"/>
      <c r="D939" s="56"/>
      <c r="E939" s="56"/>
      <c r="F939" s="56"/>
      <c r="G939" s="55"/>
      <c r="H939" s="56"/>
      <c r="I939" s="56"/>
      <c r="J939" s="56"/>
      <c r="K939" s="56"/>
      <c r="L939" s="56"/>
      <c r="M939" s="52"/>
      <c r="N939" s="53"/>
      <c r="O939" s="62" t="str">
        <f aca="false">IF($B939="","",TEXT($A939,"YYYY-MM-DD")&amp;"|"&amp;$B939)</f>
        <v/>
      </c>
      <c r="P939" s="3"/>
      <c r="Q939" s="3"/>
      <c r="R939" s="3"/>
      <c r="S939" s="3"/>
      <c r="T939" s="3"/>
      <c r="U939" s="3"/>
      <c r="V939" s="3"/>
      <c r="W939" s="3"/>
      <c r="X939" s="3"/>
      <c r="Y939" s="3"/>
      <c r="Z939" s="3"/>
      <c r="AA939" s="3"/>
      <c r="AB939" s="3"/>
    </row>
    <row r="940" customFormat="false" ht="15" hidden="false" customHeight="false" outlineLevel="0" collapsed="false">
      <c r="A940" s="48"/>
      <c r="B940" s="46"/>
      <c r="C940" s="50"/>
      <c r="D940" s="50"/>
      <c r="E940" s="50"/>
      <c r="F940" s="50"/>
      <c r="G940" s="49"/>
      <c r="H940" s="50"/>
      <c r="I940" s="50"/>
      <c r="J940" s="50"/>
      <c r="K940" s="50"/>
      <c r="L940" s="50"/>
      <c r="M940" s="46"/>
      <c r="N940" s="47"/>
      <c r="O940" s="62" t="str">
        <f aca="false">IF($B940="","",TEXT($A940,"YYYY-MM-DD")&amp;"|"&amp;$B940)</f>
        <v/>
      </c>
      <c r="P940" s="3"/>
      <c r="Q940" s="3"/>
      <c r="R940" s="3"/>
      <c r="S940" s="3"/>
      <c r="T940" s="3"/>
      <c r="U940" s="3"/>
      <c r="V940" s="3"/>
      <c r="W940" s="3"/>
      <c r="X940" s="3"/>
      <c r="Y940" s="3"/>
      <c r="Z940" s="3"/>
      <c r="AA940" s="3"/>
      <c r="AB940" s="3"/>
    </row>
    <row r="941" customFormat="false" ht="15" hidden="false" customHeight="false" outlineLevel="0" collapsed="false">
      <c r="A941" s="54"/>
      <c r="B941" s="52"/>
      <c r="C941" s="56"/>
      <c r="D941" s="56"/>
      <c r="E941" s="56"/>
      <c r="F941" s="56"/>
      <c r="G941" s="55"/>
      <c r="H941" s="56"/>
      <c r="I941" s="56"/>
      <c r="J941" s="56"/>
      <c r="K941" s="56"/>
      <c r="L941" s="56"/>
      <c r="M941" s="52"/>
      <c r="N941" s="53"/>
      <c r="O941" s="62" t="str">
        <f aca="false">IF($B941="","",TEXT($A941,"YYYY-MM-DD")&amp;"|"&amp;$B941)</f>
        <v/>
      </c>
      <c r="P941" s="3"/>
      <c r="Q941" s="3"/>
      <c r="R941" s="3"/>
      <c r="S941" s="3"/>
      <c r="T941" s="3"/>
      <c r="U941" s="3"/>
      <c r="V941" s="3"/>
      <c r="W941" s="3"/>
      <c r="X941" s="3"/>
      <c r="Y941" s="3"/>
      <c r="Z941" s="3"/>
      <c r="AA941" s="3"/>
      <c r="AB941" s="3"/>
    </row>
    <row r="942" customFormat="false" ht="15" hidden="false" customHeight="false" outlineLevel="0" collapsed="false">
      <c r="A942" s="48"/>
      <c r="B942" s="46"/>
      <c r="C942" s="50"/>
      <c r="D942" s="50"/>
      <c r="E942" s="50"/>
      <c r="F942" s="50"/>
      <c r="G942" s="49"/>
      <c r="H942" s="50"/>
      <c r="I942" s="50"/>
      <c r="J942" s="50"/>
      <c r="K942" s="50"/>
      <c r="L942" s="50"/>
      <c r="M942" s="46"/>
      <c r="N942" s="47"/>
      <c r="O942" s="62" t="str">
        <f aca="false">IF($B942="","",TEXT($A942,"YYYY-MM-DD")&amp;"|"&amp;$B942)</f>
        <v/>
      </c>
      <c r="P942" s="3"/>
      <c r="Q942" s="3"/>
      <c r="R942" s="3"/>
      <c r="S942" s="3"/>
      <c r="T942" s="3"/>
      <c r="U942" s="3"/>
      <c r="V942" s="3"/>
      <c r="W942" s="3"/>
      <c r="X942" s="3"/>
      <c r="Y942" s="3"/>
      <c r="Z942" s="3"/>
      <c r="AA942" s="3"/>
      <c r="AB942" s="3"/>
    </row>
    <row r="943" customFormat="false" ht="15" hidden="false" customHeight="false" outlineLevel="0" collapsed="false">
      <c r="A943" s="54"/>
      <c r="B943" s="52"/>
      <c r="C943" s="56"/>
      <c r="D943" s="56"/>
      <c r="E943" s="56"/>
      <c r="F943" s="56"/>
      <c r="G943" s="55"/>
      <c r="H943" s="56"/>
      <c r="I943" s="56"/>
      <c r="J943" s="56"/>
      <c r="K943" s="56"/>
      <c r="L943" s="56"/>
      <c r="M943" s="52"/>
      <c r="N943" s="53"/>
      <c r="O943" s="62" t="str">
        <f aca="false">IF($B943="","",TEXT($A943,"YYYY-MM-DD")&amp;"|"&amp;$B943)</f>
        <v/>
      </c>
      <c r="P943" s="3"/>
      <c r="Q943" s="3"/>
      <c r="R943" s="3"/>
      <c r="S943" s="3"/>
      <c r="T943" s="3"/>
      <c r="U943" s="3"/>
      <c r="V943" s="3"/>
      <c r="W943" s="3"/>
      <c r="X943" s="3"/>
      <c r="Y943" s="3"/>
      <c r="Z943" s="3"/>
      <c r="AA943" s="3"/>
      <c r="AB943" s="3"/>
    </row>
    <row r="944" customFormat="false" ht="15" hidden="false" customHeight="false" outlineLevel="0" collapsed="false">
      <c r="A944" s="48"/>
      <c r="B944" s="46"/>
      <c r="C944" s="50"/>
      <c r="D944" s="50"/>
      <c r="E944" s="50"/>
      <c r="F944" s="50"/>
      <c r="G944" s="49"/>
      <c r="H944" s="50"/>
      <c r="I944" s="50"/>
      <c r="J944" s="50"/>
      <c r="K944" s="50"/>
      <c r="L944" s="50"/>
      <c r="M944" s="46"/>
      <c r="N944" s="47"/>
      <c r="O944" s="62" t="str">
        <f aca="false">IF($B944="","",TEXT($A944,"YYYY-MM-DD")&amp;"|"&amp;$B944)</f>
        <v/>
      </c>
      <c r="P944" s="3"/>
      <c r="Q944" s="3"/>
      <c r="R944" s="3"/>
      <c r="S944" s="3"/>
      <c r="T944" s="3"/>
      <c r="U944" s="3"/>
      <c r="V944" s="3"/>
      <c r="W944" s="3"/>
      <c r="X944" s="3"/>
      <c r="Y944" s="3"/>
      <c r="Z944" s="3"/>
      <c r="AA944" s="3"/>
      <c r="AB944" s="3"/>
    </row>
    <row r="945" customFormat="false" ht="15" hidden="false" customHeight="false" outlineLevel="0" collapsed="false">
      <c r="A945" s="54"/>
      <c r="B945" s="52"/>
      <c r="C945" s="56"/>
      <c r="D945" s="56"/>
      <c r="E945" s="56"/>
      <c r="F945" s="56"/>
      <c r="G945" s="55"/>
      <c r="H945" s="56"/>
      <c r="I945" s="56"/>
      <c r="J945" s="56"/>
      <c r="K945" s="56"/>
      <c r="L945" s="56"/>
      <c r="M945" s="52"/>
      <c r="N945" s="53"/>
      <c r="O945" s="62" t="str">
        <f aca="false">IF($B945="","",TEXT($A945,"YYYY-MM-DD")&amp;"|"&amp;$B945)</f>
        <v/>
      </c>
      <c r="P945" s="3"/>
      <c r="Q945" s="3"/>
      <c r="R945" s="3"/>
      <c r="S945" s="3"/>
      <c r="T945" s="3"/>
      <c r="U945" s="3"/>
      <c r="V945" s="3"/>
      <c r="W945" s="3"/>
      <c r="X945" s="3"/>
      <c r="Y945" s="3"/>
      <c r="Z945" s="3"/>
      <c r="AA945" s="3"/>
      <c r="AB945" s="3"/>
    </row>
    <row r="946" customFormat="false" ht="15" hidden="false" customHeight="false" outlineLevel="0" collapsed="false">
      <c r="A946" s="48"/>
      <c r="B946" s="46"/>
      <c r="C946" s="50"/>
      <c r="D946" s="50"/>
      <c r="E946" s="50"/>
      <c r="F946" s="50"/>
      <c r="G946" s="49"/>
      <c r="H946" s="50"/>
      <c r="I946" s="50"/>
      <c r="J946" s="50"/>
      <c r="K946" s="50"/>
      <c r="L946" s="50"/>
      <c r="M946" s="46"/>
      <c r="N946" s="47"/>
      <c r="O946" s="62" t="str">
        <f aca="false">IF($B946="","",TEXT($A946,"YYYY-MM-DD")&amp;"|"&amp;$B946)</f>
        <v/>
      </c>
      <c r="P946" s="3"/>
      <c r="Q946" s="3"/>
      <c r="R946" s="3"/>
      <c r="S946" s="3"/>
      <c r="T946" s="3"/>
      <c r="U946" s="3"/>
      <c r="V946" s="3"/>
      <c r="W946" s="3"/>
      <c r="X946" s="3"/>
      <c r="Y946" s="3"/>
      <c r="Z946" s="3"/>
      <c r="AA946" s="3"/>
      <c r="AB946" s="3"/>
    </row>
    <row r="947" customFormat="false" ht="15" hidden="false" customHeight="false" outlineLevel="0" collapsed="false">
      <c r="A947" s="54"/>
      <c r="B947" s="52"/>
      <c r="C947" s="56"/>
      <c r="D947" s="56"/>
      <c r="E947" s="56"/>
      <c r="F947" s="56"/>
      <c r="G947" s="55"/>
      <c r="H947" s="56"/>
      <c r="I947" s="56"/>
      <c r="J947" s="56"/>
      <c r="K947" s="56"/>
      <c r="L947" s="56"/>
      <c r="M947" s="52"/>
      <c r="N947" s="53"/>
      <c r="O947" s="62" t="str">
        <f aca="false">IF($B947="","",TEXT($A947,"YYYY-MM-DD")&amp;"|"&amp;$B947)</f>
        <v/>
      </c>
      <c r="P947" s="3"/>
      <c r="Q947" s="3"/>
      <c r="R947" s="3"/>
      <c r="S947" s="3"/>
      <c r="T947" s="3"/>
      <c r="U947" s="3"/>
      <c r="V947" s="3"/>
      <c r="W947" s="3"/>
      <c r="X947" s="3"/>
      <c r="Y947" s="3"/>
      <c r="Z947" s="3"/>
      <c r="AA947" s="3"/>
      <c r="AB947" s="3"/>
    </row>
    <row r="948" customFormat="false" ht="15" hidden="false" customHeight="false" outlineLevel="0" collapsed="false">
      <c r="A948" s="48"/>
      <c r="B948" s="46"/>
      <c r="C948" s="50"/>
      <c r="D948" s="50"/>
      <c r="E948" s="50"/>
      <c r="F948" s="50"/>
      <c r="G948" s="49"/>
      <c r="H948" s="50"/>
      <c r="I948" s="50"/>
      <c r="J948" s="50"/>
      <c r="K948" s="50"/>
      <c r="L948" s="50"/>
      <c r="M948" s="46"/>
      <c r="N948" s="47"/>
      <c r="O948" s="62" t="str">
        <f aca="false">IF($B948="","",TEXT($A948,"YYYY-MM-DD")&amp;"|"&amp;$B948)</f>
        <v/>
      </c>
      <c r="P948" s="3"/>
      <c r="Q948" s="3"/>
      <c r="R948" s="3"/>
      <c r="S948" s="3"/>
      <c r="T948" s="3"/>
      <c r="U948" s="3"/>
      <c r="V948" s="3"/>
      <c r="W948" s="3"/>
      <c r="X948" s="3"/>
      <c r="Y948" s="3"/>
      <c r="Z948" s="3"/>
      <c r="AA948" s="3"/>
      <c r="AB948" s="3"/>
    </row>
    <row r="949" customFormat="false" ht="15" hidden="false" customHeight="false" outlineLevel="0" collapsed="false">
      <c r="A949" s="54"/>
      <c r="B949" s="52"/>
      <c r="C949" s="56"/>
      <c r="D949" s="56"/>
      <c r="E949" s="56"/>
      <c r="F949" s="56"/>
      <c r="G949" s="55"/>
      <c r="H949" s="56"/>
      <c r="I949" s="56"/>
      <c r="J949" s="56"/>
      <c r="K949" s="56"/>
      <c r="L949" s="56"/>
      <c r="M949" s="52"/>
      <c r="N949" s="53"/>
      <c r="O949" s="62" t="str">
        <f aca="false">IF($B949="","",TEXT($A949,"YYYY-MM-DD")&amp;"|"&amp;$B949)</f>
        <v/>
      </c>
      <c r="P949" s="3"/>
      <c r="Q949" s="3"/>
      <c r="R949" s="3"/>
      <c r="S949" s="3"/>
      <c r="T949" s="3"/>
      <c r="U949" s="3"/>
      <c r="V949" s="3"/>
      <c r="W949" s="3"/>
      <c r="X949" s="3"/>
      <c r="Y949" s="3"/>
      <c r="Z949" s="3"/>
      <c r="AA949" s="3"/>
      <c r="AB949" s="3"/>
    </row>
    <row r="950" customFormat="false" ht="15" hidden="false" customHeight="false" outlineLevel="0" collapsed="false">
      <c r="A950" s="48"/>
      <c r="B950" s="46"/>
      <c r="C950" s="50"/>
      <c r="D950" s="50"/>
      <c r="E950" s="50"/>
      <c r="F950" s="50"/>
      <c r="G950" s="49"/>
      <c r="H950" s="50"/>
      <c r="I950" s="50"/>
      <c r="J950" s="50"/>
      <c r="K950" s="50"/>
      <c r="L950" s="50"/>
      <c r="M950" s="46"/>
      <c r="N950" s="47"/>
      <c r="O950" s="62" t="str">
        <f aca="false">IF($B950="","",TEXT($A950,"YYYY-MM-DD")&amp;"|"&amp;$B950)</f>
        <v/>
      </c>
      <c r="P950" s="3"/>
      <c r="Q950" s="3"/>
      <c r="R950" s="3"/>
      <c r="S950" s="3"/>
      <c r="T950" s="3"/>
      <c r="U950" s="3"/>
      <c r="V950" s="3"/>
      <c r="W950" s="3"/>
      <c r="X950" s="3"/>
      <c r="Y950" s="3"/>
      <c r="Z950" s="3"/>
      <c r="AA950" s="3"/>
      <c r="AB950" s="3"/>
    </row>
    <row r="951" customFormat="false" ht="15" hidden="false" customHeight="false" outlineLevel="0" collapsed="false">
      <c r="A951" s="54"/>
      <c r="B951" s="52"/>
      <c r="C951" s="56"/>
      <c r="D951" s="56"/>
      <c r="E951" s="56"/>
      <c r="F951" s="56"/>
      <c r="G951" s="55"/>
      <c r="H951" s="56"/>
      <c r="I951" s="56"/>
      <c r="J951" s="56"/>
      <c r="K951" s="56"/>
      <c r="L951" s="56"/>
      <c r="M951" s="52"/>
      <c r="N951" s="53"/>
      <c r="O951" s="62" t="str">
        <f aca="false">IF($B951="","",TEXT($A951,"YYYY-MM-DD")&amp;"|"&amp;$B951)</f>
        <v/>
      </c>
      <c r="P951" s="3"/>
      <c r="Q951" s="3"/>
      <c r="R951" s="3"/>
      <c r="S951" s="3"/>
      <c r="T951" s="3"/>
      <c r="U951" s="3"/>
      <c r="V951" s="3"/>
      <c r="W951" s="3"/>
      <c r="X951" s="3"/>
      <c r="Y951" s="3"/>
      <c r="Z951" s="3"/>
      <c r="AA951" s="3"/>
      <c r="AB951" s="3"/>
    </row>
    <row r="952" customFormat="false" ht="15" hidden="false" customHeight="false" outlineLevel="0" collapsed="false">
      <c r="A952" s="48"/>
      <c r="B952" s="46"/>
      <c r="C952" s="50"/>
      <c r="D952" s="50"/>
      <c r="E952" s="50"/>
      <c r="F952" s="50"/>
      <c r="G952" s="49"/>
      <c r="H952" s="50"/>
      <c r="I952" s="50"/>
      <c r="J952" s="50"/>
      <c r="K952" s="50"/>
      <c r="L952" s="50"/>
      <c r="M952" s="46"/>
      <c r="N952" s="47"/>
      <c r="O952" s="62" t="str">
        <f aca="false">IF($B952="","",TEXT($A952,"YYYY-MM-DD")&amp;"|"&amp;$B952)</f>
        <v/>
      </c>
      <c r="P952" s="3"/>
      <c r="Q952" s="3"/>
      <c r="R952" s="3"/>
      <c r="S952" s="3"/>
      <c r="T952" s="3"/>
      <c r="U952" s="3"/>
      <c r="V952" s="3"/>
      <c r="W952" s="3"/>
      <c r="X952" s="3"/>
      <c r="Y952" s="3"/>
      <c r="Z952" s="3"/>
      <c r="AA952" s="3"/>
      <c r="AB952" s="3"/>
    </row>
    <row r="953" customFormat="false" ht="15" hidden="false" customHeight="false" outlineLevel="0" collapsed="false">
      <c r="A953" s="54"/>
      <c r="B953" s="52"/>
      <c r="C953" s="56"/>
      <c r="D953" s="56"/>
      <c r="E953" s="56"/>
      <c r="F953" s="56"/>
      <c r="G953" s="55"/>
      <c r="H953" s="56"/>
      <c r="I953" s="56"/>
      <c r="J953" s="56"/>
      <c r="K953" s="56"/>
      <c r="L953" s="56"/>
      <c r="M953" s="52"/>
      <c r="N953" s="53"/>
      <c r="O953" s="62" t="str">
        <f aca="false">IF($B953="","",TEXT($A953,"YYYY-MM-DD")&amp;"|"&amp;$B953)</f>
        <v/>
      </c>
      <c r="P953" s="3"/>
      <c r="Q953" s="3"/>
      <c r="R953" s="3"/>
      <c r="S953" s="3"/>
      <c r="T953" s="3"/>
      <c r="U953" s="3"/>
      <c r="V953" s="3"/>
      <c r="W953" s="3"/>
      <c r="X953" s="3"/>
      <c r="Y953" s="3"/>
      <c r="Z953" s="3"/>
      <c r="AA953" s="3"/>
      <c r="AB953" s="3"/>
    </row>
    <row r="954" customFormat="false" ht="15" hidden="false" customHeight="false" outlineLevel="0" collapsed="false">
      <c r="A954" s="48"/>
      <c r="B954" s="46"/>
      <c r="C954" s="50"/>
      <c r="D954" s="50"/>
      <c r="E954" s="50"/>
      <c r="F954" s="50"/>
      <c r="G954" s="49"/>
      <c r="H954" s="50"/>
      <c r="I954" s="50"/>
      <c r="J954" s="50"/>
      <c r="K954" s="50"/>
      <c r="L954" s="50"/>
      <c r="M954" s="46"/>
      <c r="N954" s="47"/>
      <c r="O954" s="62" t="str">
        <f aca="false">IF($B954="","",TEXT($A954,"YYYY-MM-DD")&amp;"|"&amp;$B954)</f>
        <v/>
      </c>
      <c r="P954" s="3"/>
      <c r="Q954" s="3"/>
      <c r="R954" s="3"/>
      <c r="S954" s="3"/>
      <c r="T954" s="3"/>
      <c r="U954" s="3"/>
      <c r="V954" s="3"/>
      <c r="W954" s="3"/>
      <c r="X954" s="3"/>
      <c r="Y954" s="3"/>
      <c r="Z954" s="3"/>
      <c r="AA954" s="3"/>
      <c r="AB954" s="3"/>
    </row>
    <row r="955" customFormat="false" ht="15" hidden="false" customHeight="false" outlineLevel="0" collapsed="false">
      <c r="A955" s="54"/>
      <c r="B955" s="52"/>
      <c r="C955" s="56"/>
      <c r="D955" s="56"/>
      <c r="E955" s="56"/>
      <c r="F955" s="56"/>
      <c r="G955" s="55"/>
      <c r="H955" s="56"/>
      <c r="I955" s="56"/>
      <c r="J955" s="56"/>
      <c r="K955" s="56"/>
      <c r="L955" s="56"/>
      <c r="M955" s="52"/>
      <c r="N955" s="53"/>
      <c r="O955" s="62" t="str">
        <f aca="false">IF($B955="","",TEXT($A955,"YYYY-MM-DD")&amp;"|"&amp;$B955)</f>
        <v/>
      </c>
      <c r="P955" s="3"/>
      <c r="Q955" s="3"/>
      <c r="R955" s="3"/>
      <c r="S955" s="3"/>
      <c r="T955" s="3"/>
      <c r="U955" s="3"/>
      <c r="V955" s="3"/>
      <c r="W955" s="3"/>
      <c r="X955" s="3"/>
      <c r="Y955" s="3"/>
      <c r="Z955" s="3"/>
      <c r="AA955" s="3"/>
      <c r="AB955" s="3"/>
    </row>
    <row r="956" customFormat="false" ht="15" hidden="false" customHeight="false" outlineLevel="0" collapsed="false">
      <c r="A956" s="48"/>
      <c r="B956" s="46"/>
      <c r="C956" s="50"/>
      <c r="D956" s="50"/>
      <c r="E956" s="50"/>
      <c r="F956" s="50"/>
      <c r="G956" s="49"/>
      <c r="H956" s="50"/>
      <c r="I956" s="50"/>
      <c r="J956" s="50"/>
      <c r="K956" s="50"/>
      <c r="L956" s="50"/>
      <c r="M956" s="46"/>
      <c r="N956" s="47"/>
      <c r="O956" s="62" t="str">
        <f aca="false">IF($B956="","",TEXT($A956,"YYYY-MM-DD")&amp;"|"&amp;$B956)</f>
        <v/>
      </c>
      <c r="P956" s="3"/>
      <c r="Q956" s="3"/>
      <c r="R956" s="3"/>
      <c r="S956" s="3"/>
      <c r="T956" s="3"/>
      <c r="U956" s="3"/>
      <c r="V956" s="3"/>
      <c r="W956" s="3"/>
      <c r="X956" s="3"/>
      <c r="Y956" s="3"/>
      <c r="Z956" s="3"/>
      <c r="AA956" s="3"/>
      <c r="AB956" s="3"/>
    </row>
    <row r="957" customFormat="false" ht="15" hidden="false" customHeight="false" outlineLevel="0" collapsed="false">
      <c r="A957" s="54"/>
      <c r="B957" s="52"/>
      <c r="C957" s="56"/>
      <c r="D957" s="56"/>
      <c r="E957" s="56"/>
      <c r="F957" s="56"/>
      <c r="G957" s="55"/>
      <c r="H957" s="56"/>
      <c r="I957" s="56"/>
      <c r="J957" s="56"/>
      <c r="K957" s="56"/>
      <c r="L957" s="56"/>
      <c r="M957" s="52"/>
      <c r="N957" s="53"/>
      <c r="O957" s="62" t="str">
        <f aca="false">IF($B957="","",TEXT($A957,"YYYY-MM-DD")&amp;"|"&amp;$B957)</f>
        <v/>
      </c>
      <c r="P957" s="3"/>
      <c r="Q957" s="3"/>
      <c r="R957" s="3"/>
      <c r="S957" s="3"/>
      <c r="T957" s="3"/>
      <c r="U957" s="3"/>
      <c r="V957" s="3"/>
      <c r="W957" s="3"/>
      <c r="X957" s="3"/>
      <c r="Y957" s="3"/>
      <c r="Z957" s="3"/>
      <c r="AA957" s="3"/>
      <c r="AB957" s="3"/>
    </row>
    <row r="958" customFormat="false" ht="15" hidden="false" customHeight="false" outlineLevel="0" collapsed="false">
      <c r="A958" s="48"/>
      <c r="B958" s="46"/>
      <c r="C958" s="50"/>
      <c r="D958" s="50"/>
      <c r="E958" s="50"/>
      <c r="F958" s="50"/>
      <c r="G958" s="49"/>
      <c r="H958" s="50"/>
      <c r="I958" s="50"/>
      <c r="J958" s="50"/>
      <c r="K958" s="50"/>
      <c r="L958" s="50"/>
      <c r="M958" s="46"/>
      <c r="N958" s="47"/>
      <c r="O958" s="62" t="str">
        <f aca="false">IF($B958="","",TEXT($A958,"YYYY-MM-DD")&amp;"|"&amp;$B958)</f>
        <v/>
      </c>
      <c r="P958" s="3"/>
      <c r="Q958" s="3"/>
      <c r="R958" s="3"/>
      <c r="S958" s="3"/>
      <c r="T958" s="3"/>
      <c r="U958" s="3"/>
      <c r="V958" s="3"/>
      <c r="W958" s="3"/>
      <c r="X958" s="3"/>
      <c r="Y958" s="3"/>
      <c r="Z958" s="3"/>
      <c r="AA958" s="3"/>
      <c r="AB958" s="3"/>
    </row>
    <row r="959" customFormat="false" ht="15" hidden="false" customHeight="false" outlineLevel="0" collapsed="false">
      <c r="A959" s="54"/>
      <c r="B959" s="52"/>
      <c r="C959" s="56"/>
      <c r="D959" s="56"/>
      <c r="E959" s="56"/>
      <c r="F959" s="56"/>
      <c r="G959" s="55"/>
      <c r="H959" s="56"/>
      <c r="I959" s="56"/>
      <c r="J959" s="56"/>
      <c r="K959" s="56"/>
      <c r="L959" s="56"/>
      <c r="M959" s="52"/>
      <c r="N959" s="53"/>
      <c r="O959" s="62" t="str">
        <f aca="false">IF($B959="","",TEXT($A959,"YYYY-MM-DD")&amp;"|"&amp;$B959)</f>
        <v/>
      </c>
      <c r="P959" s="3"/>
      <c r="Q959" s="3"/>
      <c r="R959" s="3"/>
      <c r="S959" s="3"/>
      <c r="T959" s="3"/>
      <c r="U959" s="3"/>
      <c r="V959" s="3"/>
      <c r="W959" s="3"/>
      <c r="X959" s="3"/>
      <c r="Y959" s="3"/>
      <c r="Z959" s="3"/>
      <c r="AA959" s="3"/>
      <c r="AB959" s="3"/>
    </row>
    <row r="960" customFormat="false" ht="15" hidden="false" customHeight="false" outlineLevel="0" collapsed="false">
      <c r="A960" s="48"/>
      <c r="B960" s="46"/>
      <c r="C960" s="50"/>
      <c r="D960" s="50"/>
      <c r="E960" s="50"/>
      <c r="F960" s="50"/>
      <c r="G960" s="49"/>
      <c r="H960" s="50"/>
      <c r="I960" s="50"/>
      <c r="J960" s="50"/>
      <c r="K960" s="50"/>
      <c r="L960" s="50"/>
      <c r="M960" s="46"/>
      <c r="N960" s="47"/>
      <c r="O960" s="62" t="str">
        <f aca="false">IF($B960="","",TEXT($A960,"YYYY-MM-DD")&amp;"|"&amp;$B960)</f>
        <v/>
      </c>
      <c r="P960" s="3"/>
      <c r="Q960" s="3"/>
      <c r="R960" s="3"/>
      <c r="S960" s="3"/>
      <c r="T960" s="3"/>
      <c r="U960" s="3"/>
      <c r="V960" s="3"/>
      <c r="W960" s="3"/>
      <c r="X960" s="3"/>
      <c r="Y960" s="3"/>
      <c r="Z960" s="3"/>
      <c r="AA960" s="3"/>
      <c r="AB960" s="3"/>
    </row>
    <row r="961" customFormat="false" ht="15" hidden="false" customHeight="false" outlineLevel="0" collapsed="false">
      <c r="A961" s="54"/>
      <c r="B961" s="52"/>
      <c r="C961" s="56"/>
      <c r="D961" s="56"/>
      <c r="E961" s="56"/>
      <c r="F961" s="56"/>
      <c r="G961" s="55"/>
      <c r="H961" s="56"/>
      <c r="I961" s="56"/>
      <c r="J961" s="56"/>
      <c r="K961" s="56"/>
      <c r="L961" s="56"/>
      <c r="M961" s="52"/>
      <c r="N961" s="53"/>
      <c r="O961" s="62" t="str">
        <f aca="false">IF($B961="","",TEXT($A961,"YYYY-MM-DD")&amp;"|"&amp;$B961)</f>
        <v/>
      </c>
      <c r="P961" s="3"/>
      <c r="Q961" s="3"/>
      <c r="R961" s="3"/>
      <c r="S961" s="3"/>
      <c r="T961" s="3"/>
      <c r="U961" s="3"/>
      <c r="V961" s="3"/>
      <c r="W961" s="3"/>
      <c r="X961" s="3"/>
      <c r="Y961" s="3"/>
      <c r="Z961" s="3"/>
      <c r="AA961" s="3"/>
      <c r="AB961" s="3"/>
    </row>
    <row r="962" customFormat="false" ht="15" hidden="false" customHeight="false" outlineLevel="0" collapsed="false">
      <c r="A962" s="48"/>
      <c r="B962" s="46"/>
      <c r="C962" s="50"/>
      <c r="D962" s="50"/>
      <c r="E962" s="50"/>
      <c r="F962" s="50"/>
      <c r="G962" s="49"/>
      <c r="H962" s="50"/>
      <c r="I962" s="50"/>
      <c r="J962" s="50"/>
      <c r="K962" s="50"/>
      <c r="L962" s="50"/>
      <c r="M962" s="46"/>
      <c r="N962" s="47"/>
      <c r="O962" s="62" t="str">
        <f aca="false">IF($B962="","",TEXT($A962,"YYYY-MM-DD")&amp;"|"&amp;$B962)</f>
        <v/>
      </c>
      <c r="P962" s="3"/>
      <c r="Q962" s="3"/>
      <c r="R962" s="3"/>
      <c r="S962" s="3"/>
      <c r="T962" s="3"/>
      <c r="U962" s="3"/>
      <c r="V962" s="3"/>
      <c r="W962" s="3"/>
      <c r="X962" s="3"/>
      <c r="Y962" s="3"/>
      <c r="Z962" s="3"/>
      <c r="AA962" s="3"/>
      <c r="AB962" s="3"/>
    </row>
    <row r="963" customFormat="false" ht="15" hidden="false" customHeight="false" outlineLevel="0" collapsed="false">
      <c r="A963" s="54"/>
      <c r="B963" s="52"/>
      <c r="C963" s="56"/>
      <c r="D963" s="56"/>
      <c r="E963" s="56"/>
      <c r="F963" s="56"/>
      <c r="G963" s="55"/>
      <c r="H963" s="56"/>
      <c r="I963" s="56"/>
      <c r="J963" s="56"/>
      <c r="K963" s="56"/>
      <c r="L963" s="56"/>
      <c r="M963" s="52"/>
      <c r="N963" s="53"/>
      <c r="O963" s="62" t="str">
        <f aca="false">IF($B963="","",TEXT($A963,"YYYY-MM-DD")&amp;"|"&amp;$B963)</f>
        <v/>
      </c>
      <c r="P963" s="3"/>
      <c r="Q963" s="3"/>
      <c r="R963" s="3"/>
      <c r="S963" s="3"/>
      <c r="T963" s="3"/>
      <c r="U963" s="3"/>
      <c r="V963" s="3"/>
      <c r="W963" s="3"/>
      <c r="X963" s="3"/>
      <c r="Y963" s="3"/>
      <c r="Z963" s="3"/>
      <c r="AA963" s="3"/>
      <c r="AB963" s="3"/>
    </row>
    <row r="964" customFormat="false" ht="15" hidden="false" customHeight="false" outlineLevel="0" collapsed="false">
      <c r="A964" s="48"/>
      <c r="B964" s="46"/>
      <c r="C964" s="50"/>
      <c r="D964" s="50"/>
      <c r="E964" s="50"/>
      <c r="F964" s="50"/>
      <c r="G964" s="49"/>
      <c r="H964" s="50"/>
      <c r="I964" s="50"/>
      <c r="J964" s="50"/>
      <c r="K964" s="50"/>
      <c r="L964" s="50"/>
      <c r="M964" s="46"/>
      <c r="N964" s="47"/>
      <c r="O964" s="62" t="str">
        <f aca="false">IF($B964="","",TEXT($A964,"YYYY-MM-DD")&amp;"|"&amp;$B964)</f>
        <v/>
      </c>
      <c r="P964" s="3"/>
      <c r="Q964" s="3"/>
      <c r="R964" s="3"/>
      <c r="S964" s="3"/>
      <c r="T964" s="3"/>
      <c r="U964" s="3"/>
      <c r="V964" s="3"/>
      <c r="W964" s="3"/>
      <c r="X964" s="3"/>
      <c r="Y964" s="3"/>
      <c r="Z964" s="3"/>
      <c r="AA964" s="3"/>
      <c r="AB964" s="3"/>
    </row>
    <row r="965" customFormat="false" ht="15" hidden="false" customHeight="false" outlineLevel="0" collapsed="false">
      <c r="A965" s="54"/>
      <c r="B965" s="52"/>
      <c r="C965" s="56"/>
      <c r="D965" s="56"/>
      <c r="E965" s="56"/>
      <c r="F965" s="56"/>
      <c r="G965" s="55"/>
      <c r="H965" s="56"/>
      <c r="I965" s="56"/>
      <c r="J965" s="56"/>
      <c r="K965" s="56"/>
      <c r="L965" s="56"/>
      <c r="M965" s="52"/>
      <c r="N965" s="53"/>
      <c r="O965" s="62" t="str">
        <f aca="false">IF($B965="","",TEXT($A965,"YYYY-MM-DD")&amp;"|"&amp;$B965)</f>
        <v/>
      </c>
      <c r="P965" s="3"/>
      <c r="Q965" s="3"/>
      <c r="R965" s="3"/>
      <c r="S965" s="3"/>
      <c r="T965" s="3"/>
      <c r="U965" s="3"/>
      <c r="V965" s="3"/>
      <c r="W965" s="3"/>
      <c r="X965" s="3"/>
      <c r="Y965" s="3"/>
      <c r="Z965" s="3"/>
      <c r="AA965" s="3"/>
      <c r="AB965" s="3"/>
    </row>
    <row r="966" customFormat="false" ht="15" hidden="false" customHeight="false" outlineLevel="0" collapsed="false">
      <c r="A966" s="48"/>
      <c r="B966" s="46"/>
      <c r="C966" s="50"/>
      <c r="D966" s="50"/>
      <c r="E966" s="50"/>
      <c r="F966" s="50"/>
      <c r="G966" s="49"/>
      <c r="H966" s="50"/>
      <c r="I966" s="50"/>
      <c r="J966" s="50"/>
      <c r="K966" s="50"/>
      <c r="L966" s="50"/>
      <c r="M966" s="46"/>
      <c r="N966" s="47"/>
      <c r="O966" s="62" t="str">
        <f aca="false">IF($B966="","",TEXT($A966,"YYYY-MM-DD")&amp;"|"&amp;$B966)</f>
        <v/>
      </c>
      <c r="P966" s="3"/>
      <c r="Q966" s="3"/>
      <c r="R966" s="3"/>
      <c r="S966" s="3"/>
      <c r="T966" s="3"/>
      <c r="U966" s="3"/>
      <c r="V966" s="3"/>
      <c r="W966" s="3"/>
      <c r="X966" s="3"/>
      <c r="Y966" s="3"/>
      <c r="Z966" s="3"/>
      <c r="AA966" s="3"/>
      <c r="AB966" s="3"/>
    </row>
    <row r="967" customFormat="false" ht="15" hidden="false" customHeight="false" outlineLevel="0" collapsed="false">
      <c r="A967" s="54"/>
      <c r="B967" s="52"/>
      <c r="C967" s="56"/>
      <c r="D967" s="56"/>
      <c r="E967" s="56"/>
      <c r="F967" s="56"/>
      <c r="G967" s="55"/>
      <c r="H967" s="56"/>
      <c r="I967" s="56"/>
      <c r="J967" s="56"/>
      <c r="K967" s="56"/>
      <c r="L967" s="56"/>
      <c r="M967" s="52"/>
      <c r="N967" s="53"/>
      <c r="O967" s="62" t="str">
        <f aca="false">IF($B967="","",TEXT($A967,"YYYY-MM-DD")&amp;"|"&amp;$B967)</f>
        <v/>
      </c>
      <c r="P967" s="3"/>
      <c r="Q967" s="3"/>
      <c r="R967" s="3"/>
      <c r="S967" s="3"/>
      <c r="T967" s="3"/>
      <c r="U967" s="3"/>
      <c r="V967" s="3"/>
      <c r="W967" s="3"/>
      <c r="X967" s="3"/>
      <c r="Y967" s="3"/>
      <c r="Z967" s="3"/>
      <c r="AA967" s="3"/>
      <c r="AB967" s="3"/>
    </row>
    <row r="968" customFormat="false" ht="15" hidden="false" customHeight="false" outlineLevel="0" collapsed="false">
      <c r="A968" s="48"/>
      <c r="B968" s="46"/>
      <c r="C968" s="50"/>
      <c r="D968" s="50"/>
      <c r="E968" s="50"/>
      <c r="F968" s="50"/>
      <c r="G968" s="49"/>
      <c r="H968" s="50"/>
      <c r="I968" s="50"/>
      <c r="J968" s="50"/>
      <c r="K968" s="50"/>
      <c r="L968" s="50"/>
      <c r="M968" s="46"/>
      <c r="N968" s="47"/>
      <c r="O968" s="62" t="str">
        <f aca="false">IF($B968="","",TEXT($A968,"YYYY-MM-DD")&amp;"|"&amp;$B968)</f>
        <v/>
      </c>
      <c r="P968" s="3"/>
      <c r="Q968" s="3"/>
      <c r="R968" s="3"/>
      <c r="S968" s="3"/>
      <c r="T968" s="3"/>
      <c r="U968" s="3"/>
      <c r="V968" s="3"/>
      <c r="W968" s="3"/>
      <c r="X968" s="3"/>
      <c r="Y968" s="3"/>
      <c r="Z968" s="3"/>
      <c r="AA968" s="3"/>
      <c r="AB968" s="3"/>
    </row>
    <row r="969" customFormat="false" ht="15" hidden="false" customHeight="false" outlineLevel="0" collapsed="false">
      <c r="A969" s="54"/>
      <c r="B969" s="52"/>
      <c r="C969" s="56"/>
      <c r="D969" s="56"/>
      <c r="E969" s="56"/>
      <c r="F969" s="56"/>
      <c r="G969" s="55"/>
      <c r="H969" s="56"/>
      <c r="I969" s="56"/>
      <c r="J969" s="56"/>
      <c r="K969" s="56"/>
      <c r="L969" s="56"/>
      <c r="M969" s="52"/>
      <c r="N969" s="53"/>
      <c r="O969" s="62" t="str">
        <f aca="false">IF($B969="","",TEXT($A969,"YYYY-MM-DD")&amp;"|"&amp;$B969)</f>
        <v/>
      </c>
      <c r="P969" s="3"/>
      <c r="Q969" s="3"/>
      <c r="R969" s="3"/>
      <c r="S969" s="3"/>
      <c r="T969" s="3"/>
      <c r="U969" s="3"/>
      <c r="V969" s="3"/>
      <c r="W969" s="3"/>
      <c r="X969" s="3"/>
      <c r="Y969" s="3"/>
      <c r="Z969" s="3"/>
      <c r="AA969" s="3"/>
      <c r="AB969" s="3"/>
    </row>
    <row r="970" customFormat="false" ht="15" hidden="false" customHeight="false" outlineLevel="0" collapsed="false">
      <c r="A970" s="48"/>
      <c r="B970" s="46"/>
      <c r="C970" s="50"/>
      <c r="D970" s="50"/>
      <c r="E970" s="50"/>
      <c r="F970" s="50"/>
      <c r="G970" s="49"/>
      <c r="H970" s="50"/>
      <c r="I970" s="50"/>
      <c r="J970" s="50"/>
      <c r="K970" s="50"/>
      <c r="L970" s="50"/>
      <c r="M970" s="46"/>
      <c r="N970" s="47"/>
      <c r="O970" s="62" t="str">
        <f aca="false">IF($B970="","",TEXT($A970,"YYYY-MM-DD")&amp;"|"&amp;$B970)</f>
        <v/>
      </c>
      <c r="P970" s="3"/>
      <c r="Q970" s="3"/>
      <c r="R970" s="3"/>
      <c r="S970" s="3"/>
      <c r="T970" s="3"/>
      <c r="U970" s="3"/>
      <c r="V970" s="3"/>
      <c r="W970" s="3"/>
      <c r="X970" s="3"/>
      <c r="Y970" s="3"/>
      <c r="Z970" s="3"/>
      <c r="AA970" s="3"/>
      <c r="AB970" s="3"/>
    </row>
    <row r="971" customFormat="false" ht="15" hidden="false" customHeight="false" outlineLevel="0" collapsed="false">
      <c r="A971" s="54"/>
      <c r="B971" s="52"/>
      <c r="C971" s="56"/>
      <c r="D971" s="56"/>
      <c r="E971" s="56"/>
      <c r="F971" s="56"/>
      <c r="G971" s="55"/>
      <c r="H971" s="56"/>
      <c r="I971" s="56"/>
      <c r="J971" s="56"/>
      <c r="K971" s="56"/>
      <c r="L971" s="56"/>
      <c r="M971" s="52"/>
      <c r="N971" s="53"/>
      <c r="O971" s="62" t="str">
        <f aca="false">IF($B971="","",TEXT($A971,"YYYY-MM-DD")&amp;"|"&amp;$B971)</f>
        <v/>
      </c>
      <c r="P971" s="3"/>
      <c r="Q971" s="3"/>
      <c r="R971" s="3"/>
      <c r="S971" s="3"/>
      <c r="T971" s="3"/>
      <c r="U971" s="3"/>
      <c r="V971" s="3"/>
      <c r="W971" s="3"/>
      <c r="X971" s="3"/>
      <c r="Y971" s="3"/>
      <c r="Z971" s="3"/>
      <c r="AA971" s="3"/>
      <c r="AB971" s="3"/>
    </row>
    <row r="972" customFormat="false" ht="15" hidden="false" customHeight="false" outlineLevel="0" collapsed="false">
      <c r="A972" s="48"/>
      <c r="B972" s="46"/>
      <c r="C972" s="50"/>
      <c r="D972" s="50"/>
      <c r="E972" s="50"/>
      <c r="F972" s="50"/>
      <c r="G972" s="49"/>
      <c r="H972" s="50"/>
      <c r="I972" s="50"/>
      <c r="J972" s="50"/>
      <c r="K972" s="50"/>
      <c r="L972" s="50"/>
      <c r="M972" s="46"/>
      <c r="N972" s="47"/>
      <c r="O972" s="62" t="str">
        <f aca="false">IF($B972="","",TEXT($A972,"YYYY-MM-DD")&amp;"|"&amp;$B972)</f>
        <v/>
      </c>
      <c r="P972" s="3"/>
      <c r="Q972" s="3"/>
      <c r="R972" s="3"/>
      <c r="S972" s="3"/>
      <c r="T972" s="3"/>
      <c r="U972" s="3"/>
      <c r="V972" s="3"/>
      <c r="W972" s="3"/>
      <c r="X972" s="3"/>
      <c r="Y972" s="3"/>
      <c r="Z972" s="3"/>
      <c r="AA972" s="3"/>
      <c r="AB972" s="3"/>
    </row>
    <row r="973" customFormat="false" ht="15" hidden="false" customHeight="false" outlineLevel="0" collapsed="false">
      <c r="A973" s="54"/>
      <c r="B973" s="52"/>
      <c r="C973" s="56"/>
      <c r="D973" s="56"/>
      <c r="E973" s="56"/>
      <c r="F973" s="56"/>
      <c r="G973" s="55"/>
      <c r="H973" s="56"/>
      <c r="I973" s="56"/>
      <c r="J973" s="56"/>
      <c r="K973" s="56"/>
      <c r="L973" s="56"/>
      <c r="M973" s="52"/>
      <c r="N973" s="53"/>
      <c r="O973" s="62" t="str">
        <f aca="false">IF($B973="","",TEXT($A973,"YYYY-MM-DD")&amp;"|"&amp;$B973)</f>
        <v/>
      </c>
      <c r="P973" s="3"/>
      <c r="Q973" s="3"/>
      <c r="R973" s="3"/>
      <c r="S973" s="3"/>
      <c r="T973" s="3"/>
      <c r="U973" s="3"/>
      <c r="V973" s="3"/>
      <c r="W973" s="3"/>
      <c r="X973" s="3"/>
      <c r="Y973" s="3"/>
      <c r="Z973" s="3"/>
      <c r="AA973" s="3"/>
      <c r="AB973" s="3"/>
    </row>
    <row r="974" customFormat="false" ht="15" hidden="false" customHeight="false" outlineLevel="0" collapsed="false">
      <c r="A974" s="48"/>
      <c r="B974" s="46"/>
      <c r="C974" s="50"/>
      <c r="D974" s="50"/>
      <c r="E974" s="50"/>
      <c r="F974" s="50"/>
      <c r="G974" s="49"/>
      <c r="H974" s="50"/>
      <c r="I974" s="50"/>
      <c r="J974" s="50"/>
      <c r="K974" s="50"/>
      <c r="L974" s="50"/>
      <c r="M974" s="46"/>
      <c r="N974" s="47"/>
      <c r="O974" s="62" t="str">
        <f aca="false">IF($B974="","",TEXT($A974,"YYYY-MM-DD")&amp;"|"&amp;$B974)</f>
        <v/>
      </c>
      <c r="P974" s="3"/>
      <c r="Q974" s="3"/>
      <c r="R974" s="3"/>
      <c r="S974" s="3"/>
      <c r="T974" s="3"/>
      <c r="U974" s="3"/>
      <c r="V974" s="3"/>
      <c r="W974" s="3"/>
      <c r="X974" s="3"/>
      <c r="Y974" s="3"/>
      <c r="Z974" s="3"/>
      <c r="AA974" s="3"/>
      <c r="AB974" s="3"/>
    </row>
    <row r="975" customFormat="false" ht="15" hidden="false" customHeight="false" outlineLevel="0" collapsed="false">
      <c r="A975" s="54"/>
      <c r="B975" s="52"/>
      <c r="C975" s="56"/>
      <c r="D975" s="56"/>
      <c r="E975" s="56"/>
      <c r="F975" s="56"/>
      <c r="G975" s="55"/>
      <c r="H975" s="56"/>
      <c r="I975" s="56"/>
      <c r="J975" s="56"/>
      <c r="K975" s="56"/>
      <c r="L975" s="56"/>
      <c r="M975" s="52"/>
      <c r="N975" s="53"/>
      <c r="O975" s="62" t="str">
        <f aca="false">IF($B975="","",TEXT($A975,"YYYY-MM-DD")&amp;"|"&amp;$B975)</f>
        <v/>
      </c>
      <c r="P975" s="3"/>
      <c r="Q975" s="3"/>
      <c r="R975" s="3"/>
      <c r="S975" s="3"/>
      <c r="T975" s="3"/>
      <c r="U975" s="3"/>
      <c r="V975" s="3"/>
      <c r="W975" s="3"/>
      <c r="X975" s="3"/>
      <c r="Y975" s="3"/>
      <c r="Z975" s="3"/>
      <c r="AA975" s="3"/>
      <c r="AB975" s="3"/>
    </row>
    <row r="976" customFormat="false" ht="15" hidden="false" customHeight="false" outlineLevel="0" collapsed="false">
      <c r="A976" s="48"/>
      <c r="B976" s="46"/>
      <c r="C976" s="50"/>
      <c r="D976" s="50"/>
      <c r="E976" s="50"/>
      <c r="F976" s="50"/>
      <c r="G976" s="49"/>
      <c r="H976" s="50"/>
      <c r="I976" s="50"/>
      <c r="J976" s="50"/>
      <c r="K976" s="50"/>
      <c r="L976" s="50"/>
      <c r="M976" s="46"/>
      <c r="N976" s="47"/>
      <c r="O976" s="62" t="str">
        <f aca="false">IF($B976="","",TEXT($A976,"YYYY-MM-DD")&amp;"|"&amp;$B976)</f>
        <v/>
      </c>
      <c r="P976" s="3"/>
      <c r="Q976" s="3"/>
      <c r="R976" s="3"/>
      <c r="S976" s="3"/>
      <c r="T976" s="3"/>
      <c r="U976" s="3"/>
      <c r="V976" s="3"/>
      <c r="W976" s="3"/>
      <c r="X976" s="3"/>
      <c r="Y976" s="3"/>
      <c r="Z976" s="3"/>
      <c r="AA976" s="3"/>
      <c r="AB976" s="3"/>
    </row>
    <row r="977" customFormat="false" ht="15" hidden="false" customHeight="false" outlineLevel="0" collapsed="false">
      <c r="A977" s="54"/>
      <c r="B977" s="52"/>
      <c r="C977" s="56"/>
      <c r="D977" s="56"/>
      <c r="E977" s="56"/>
      <c r="F977" s="56"/>
      <c r="G977" s="55"/>
      <c r="H977" s="56"/>
      <c r="I977" s="56"/>
      <c r="J977" s="56"/>
      <c r="K977" s="56"/>
      <c r="L977" s="56"/>
      <c r="M977" s="52"/>
      <c r="N977" s="53"/>
      <c r="O977" s="62" t="str">
        <f aca="false">IF($B977="","",TEXT($A977,"YYYY-MM-DD")&amp;"|"&amp;$B977)</f>
        <v/>
      </c>
      <c r="P977" s="3"/>
      <c r="Q977" s="3"/>
      <c r="R977" s="3"/>
      <c r="S977" s="3"/>
      <c r="T977" s="3"/>
      <c r="U977" s="3"/>
      <c r="V977" s="3"/>
      <c r="W977" s="3"/>
      <c r="X977" s="3"/>
      <c r="Y977" s="3"/>
      <c r="Z977" s="3"/>
      <c r="AA977" s="3"/>
      <c r="AB977" s="3"/>
    </row>
    <row r="978" customFormat="false" ht="15" hidden="false" customHeight="false" outlineLevel="0" collapsed="false">
      <c r="A978" s="48"/>
      <c r="B978" s="46"/>
      <c r="C978" s="50"/>
      <c r="D978" s="50"/>
      <c r="E978" s="50"/>
      <c r="F978" s="50"/>
      <c r="G978" s="49"/>
      <c r="H978" s="50"/>
      <c r="I978" s="50"/>
      <c r="J978" s="50"/>
      <c r="K978" s="50"/>
      <c r="L978" s="50"/>
      <c r="M978" s="46"/>
      <c r="N978" s="47"/>
      <c r="O978" s="62" t="str">
        <f aca="false">IF($B978="","",TEXT($A978,"YYYY-MM-DD")&amp;"|"&amp;$B978)</f>
        <v/>
      </c>
      <c r="P978" s="3"/>
      <c r="Q978" s="3"/>
      <c r="R978" s="3"/>
      <c r="S978" s="3"/>
      <c r="T978" s="3"/>
      <c r="U978" s="3"/>
      <c r="V978" s="3"/>
      <c r="W978" s="3"/>
      <c r="X978" s="3"/>
      <c r="Y978" s="3"/>
      <c r="Z978" s="3"/>
      <c r="AA978" s="3"/>
      <c r="AB978" s="3"/>
    </row>
    <row r="979" customFormat="false" ht="15" hidden="false" customHeight="false" outlineLevel="0" collapsed="false">
      <c r="A979" s="54"/>
      <c r="B979" s="52"/>
      <c r="C979" s="56"/>
      <c r="D979" s="56"/>
      <c r="E979" s="56"/>
      <c r="F979" s="56"/>
      <c r="G979" s="55"/>
      <c r="H979" s="56"/>
      <c r="I979" s="56"/>
      <c r="J979" s="56"/>
      <c r="K979" s="56"/>
      <c r="L979" s="56"/>
      <c r="M979" s="52"/>
      <c r="N979" s="53"/>
      <c r="O979" s="62" t="str">
        <f aca="false">IF($B979="","",TEXT($A979,"YYYY-MM-DD")&amp;"|"&amp;$B979)</f>
        <v/>
      </c>
      <c r="P979" s="3"/>
      <c r="Q979" s="3"/>
      <c r="R979" s="3"/>
      <c r="S979" s="3"/>
      <c r="T979" s="3"/>
      <c r="U979" s="3"/>
      <c r="V979" s="3"/>
      <c r="W979" s="3"/>
      <c r="X979" s="3"/>
      <c r="Y979" s="3"/>
      <c r="Z979" s="3"/>
      <c r="AA979" s="3"/>
      <c r="AB979" s="3"/>
    </row>
    <row r="980" customFormat="false" ht="15" hidden="false" customHeight="false" outlineLevel="0" collapsed="false">
      <c r="A980" s="48"/>
      <c r="B980" s="46"/>
      <c r="C980" s="50"/>
      <c r="D980" s="50"/>
      <c r="E980" s="50"/>
      <c r="F980" s="50"/>
      <c r="G980" s="49"/>
      <c r="H980" s="50"/>
      <c r="I980" s="50"/>
      <c r="J980" s="50"/>
      <c r="K980" s="50"/>
      <c r="L980" s="50"/>
      <c r="M980" s="46"/>
      <c r="N980" s="47"/>
      <c r="O980" s="62" t="str">
        <f aca="false">IF($B980="","",TEXT($A980,"YYYY-MM-DD")&amp;"|"&amp;$B980)</f>
        <v/>
      </c>
      <c r="P980" s="3"/>
      <c r="Q980" s="3"/>
      <c r="R980" s="3"/>
      <c r="S980" s="3"/>
      <c r="T980" s="3"/>
      <c r="U980" s="3"/>
      <c r="V980" s="3"/>
      <c r="W980" s="3"/>
      <c r="X980" s="3"/>
      <c r="Y980" s="3"/>
      <c r="Z980" s="3"/>
      <c r="AA980" s="3"/>
      <c r="AB980" s="3"/>
    </row>
    <row r="981" customFormat="false" ht="15" hidden="false" customHeight="false" outlineLevel="0" collapsed="false">
      <c r="A981" s="54"/>
      <c r="B981" s="52"/>
      <c r="C981" s="56"/>
      <c r="D981" s="56"/>
      <c r="E981" s="56"/>
      <c r="F981" s="56"/>
      <c r="G981" s="55"/>
      <c r="H981" s="56"/>
      <c r="I981" s="56"/>
      <c r="J981" s="56"/>
      <c r="K981" s="56"/>
      <c r="L981" s="56"/>
      <c r="M981" s="52"/>
      <c r="N981" s="53"/>
      <c r="O981" s="62" t="str">
        <f aca="false">IF($B981="","",TEXT($A981,"YYYY-MM-DD")&amp;"|"&amp;$B981)</f>
        <v/>
      </c>
      <c r="P981" s="3"/>
      <c r="Q981" s="3"/>
      <c r="R981" s="3"/>
      <c r="S981" s="3"/>
      <c r="T981" s="3"/>
      <c r="U981" s="3"/>
      <c r="V981" s="3"/>
      <c r="W981" s="3"/>
      <c r="X981" s="3"/>
      <c r="Y981" s="3"/>
      <c r="Z981" s="3"/>
      <c r="AA981" s="3"/>
      <c r="AB981" s="3"/>
    </row>
    <row r="982" customFormat="false" ht="15" hidden="false" customHeight="false" outlineLevel="0" collapsed="false">
      <c r="A982" s="48"/>
      <c r="B982" s="46"/>
      <c r="C982" s="50"/>
      <c r="D982" s="50"/>
      <c r="E982" s="50"/>
      <c r="F982" s="50"/>
      <c r="G982" s="49"/>
      <c r="H982" s="50"/>
      <c r="I982" s="50"/>
      <c r="J982" s="50"/>
      <c r="K982" s="50"/>
      <c r="L982" s="50"/>
      <c r="M982" s="46"/>
      <c r="N982" s="47"/>
      <c r="O982" s="62" t="str">
        <f aca="false">IF($B982="","",TEXT($A982,"YYYY-MM-DD")&amp;"|"&amp;$B982)</f>
        <v/>
      </c>
      <c r="P982" s="3"/>
      <c r="Q982" s="3"/>
      <c r="R982" s="3"/>
      <c r="S982" s="3"/>
      <c r="T982" s="3"/>
      <c r="U982" s="3"/>
      <c r="V982" s="3"/>
      <c r="W982" s="3"/>
      <c r="X982" s="3"/>
      <c r="Y982" s="3"/>
      <c r="Z982" s="3"/>
      <c r="AA982" s="3"/>
      <c r="AB982" s="3"/>
    </row>
    <row r="983" customFormat="false" ht="15" hidden="false" customHeight="false" outlineLevel="0" collapsed="false">
      <c r="A983" s="54"/>
      <c r="B983" s="52"/>
      <c r="C983" s="56"/>
      <c r="D983" s="56"/>
      <c r="E983" s="56"/>
      <c r="F983" s="56"/>
      <c r="G983" s="55"/>
      <c r="H983" s="56"/>
      <c r="I983" s="56"/>
      <c r="J983" s="56"/>
      <c r="K983" s="56"/>
      <c r="L983" s="56"/>
      <c r="M983" s="52"/>
      <c r="N983" s="53"/>
      <c r="O983" s="62" t="str">
        <f aca="false">IF($B983="","",TEXT($A983,"YYYY-MM-DD")&amp;"|"&amp;$B983)</f>
        <v/>
      </c>
      <c r="P983" s="3"/>
      <c r="Q983" s="3"/>
      <c r="R983" s="3"/>
      <c r="S983" s="3"/>
      <c r="T983" s="3"/>
      <c r="U983" s="3"/>
      <c r="V983" s="3"/>
      <c r="W983" s="3"/>
      <c r="X983" s="3"/>
      <c r="Y983" s="3"/>
      <c r="Z983" s="3"/>
      <c r="AA983" s="3"/>
      <c r="AB983" s="3"/>
    </row>
    <row r="984" customFormat="false" ht="15" hidden="false" customHeight="false" outlineLevel="0" collapsed="false">
      <c r="A984" s="48"/>
      <c r="B984" s="46"/>
      <c r="C984" s="50"/>
      <c r="D984" s="50"/>
      <c r="E984" s="50"/>
      <c r="F984" s="50"/>
      <c r="G984" s="49"/>
      <c r="H984" s="50"/>
      <c r="I984" s="50"/>
      <c r="J984" s="50"/>
      <c r="K984" s="50"/>
      <c r="L984" s="50"/>
      <c r="M984" s="46"/>
      <c r="N984" s="47"/>
      <c r="O984" s="62" t="str">
        <f aca="false">IF($B984="","",TEXT($A984,"YYYY-MM-DD")&amp;"|"&amp;$B984)</f>
        <v/>
      </c>
      <c r="P984" s="3"/>
      <c r="Q984" s="3"/>
      <c r="R984" s="3"/>
      <c r="S984" s="3"/>
      <c r="T984" s="3"/>
      <c r="U984" s="3"/>
      <c r="V984" s="3"/>
      <c r="W984" s="3"/>
      <c r="X984" s="3"/>
      <c r="Y984" s="3"/>
      <c r="Z984" s="3"/>
      <c r="AA984" s="3"/>
      <c r="AB984" s="3"/>
    </row>
    <row r="985" customFormat="false" ht="15" hidden="false" customHeight="false" outlineLevel="0" collapsed="false">
      <c r="A985" s="54"/>
      <c r="B985" s="52"/>
      <c r="C985" s="56"/>
      <c r="D985" s="56"/>
      <c r="E985" s="56"/>
      <c r="F985" s="56"/>
      <c r="G985" s="55"/>
      <c r="H985" s="56"/>
      <c r="I985" s="56"/>
      <c r="J985" s="56"/>
      <c r="K985" s="56"/>
      <c r="L985" s="56"/>
      <c r="M985" s="52"/>
      <c r="N985" s="53"/>
      <c r="O985" s="62" t="str">
        <f aca="false">IF($B985="","",TEXT($A985,"YYYY-MM-DD")&amp;"|"&amp;$B985)</f>
        <v/>
      </c>
      <c r="P985" s="3"/>
      <c r="Q985" s="3"/>
      <c r="R985" s="3"/>
      <c r="S985" s="3"/>
      <c r="T985" s="3"/>
      <c r="U985" s="3"/>
      <c r="V985" s="3"/>
      <c r="W985" s="3"/>
      <c r="X985" s="3"/>
      <c r="Y985" s="3"/>
      <c r="Z985" s="3"/>
      <c r="AA985" s="3"/>
      <c r="AB985" s="3"/>
    </row>
    <row r="986" customFormat="false" ht="15" hidden="false" customHeight="false" outlineLevel="0" collapsed="false">
      <c r="A986" s="48"/>
      <c r="B986" s="46"/>
      <c r="C986" s="50"/>
      <c r="D986" s="50"/>
      <c r="E986" s="50"/>
      <c r="F986" s="50"/>
      <c r="G986" s="49"/>
      <c r="H986" s="50"/>
      <c r="I986" s="50"/>
      <c r="J986" s="50"/>
      <c r="K986" s="50"/>
      <c r="L986" s="50"/>
      <c r="M986" s="46"/>
      <c r="N986" s="47"/>
      <c r="O986" s="62" t="str">
        <f aca="false">IF($B986="","",TEXT($A986,"YYYY-MM-DD")&amp;"|"&amp;$B986)</f>
        <v/>
      </c>
      <c r="P986" s="3"/>
      <c r="Q986" s="3"/>
      <c r="R986" s="3"/>
      <c r="S986" s="3"/>
      <c r="T986" s="3"/>
      <c r="U986" s="3"/>
      <c r="V986" s="3"/>
      <c r="W986" s="3"/>
      <c r="X986" s="3"/>
      <c r="Y986" s="3"/>
      <c r="Z986" s="3"/>
      <c r="AA986" s="3"/>
      <c r="AB986" s="3"/>
    </row>
    <row r="987" customFormat="false" ht="15" hidden="false" customHeight="false" outlineLevel="0" collapsed="false">
      <c r="A987" s="54"/>
      <c r="B987" s="52"/>
      <c r="C987" s="56"/>
      <c r="D987" s="56"/>
      <c r="E987" s="56"/>
      <c r="F987" s="56"/>
      <c r="G987" s="55"/>
      <c r="H987" s="56"/>
      <c r="I987" s="56"/>
      <c r="J987" s="56"/>
      <c r="K987" s="56"/>
      <c r="L987" s="56"/>
      <c r="M987" s="52"/>
      <c r="N987" s="53"/>
      <c r="O987" s="62" t="str">
        <f aca="false">IF($B987="","",TEXT($A987,"YYYY-MM-DD")&amp;"|"&amp;$B987)</f>
        <v/>
      </c>
      <c r="P987" s="3"/>
      <c r="Q987" s="3"/>
      <c r="R987" s="3"/>
      <c r="S987" s="3"/>
      <c r="T987" s="3"/>
      <c r="U987" s="3"/>
      <c r="V987" s="3"/>
      <c r="W987" s="3"/>
      <c r="X987" s="3"/>
      <c r="Y987" s="3"/>
      <c r="Z987" s="3"/>
      <c r="AA987" s="3"/>
      <c r="AB987" s="3"/>
    </row>
    <row r="988" customFormat="false" ht="15" hidden="false" customHeight="false" outlineLevel="0" collapsed="false">
      <c r="A988" s="48"/>
      <c r="B988" s="46"/>
      <c r="C988" s="50"/>
      <c r="D988" s="50"/>
      <c r="E988" s="50"/>
      <c r="F988" s="50"/>
      <c r="G988" s="49"/>
      <c r="H988" s="50"/>
      <c r="I988" s="50"/>
      <c r="J988" s="50"/>
      <c r="K988" s="50"/>
      <c r="L988" s="50"/>
      <c r="M988" s="46"/>
      <c r="N988" s="47"/>
      <c r="O988" s="62" t="str">
        <f aca="false">IF($B988="","",TEXT($A988,"YYYY-MM-DD")&amp;"|"&amp;$B988)</f>
        <v/>
      </c>
      <c r="P988" s="3"/>
      <c r="Q988" s="3"/>
      <c r="R988" s="3"/>
      <c r="S988" s="3"/>
      <c r="T988" s="3"/>
      <c r="U988" s="3"/>
      <c r="V988" s="3"/>
      <c r="W988" s="3"/>
      <c r="X988" s="3"/>
      <c r="Y988" s="3"/>
      <c r="Z988" s="3"/>
      <c r="AA988" s="3"/>
      <c r="AB988" s="3"/>
    </row>
    <row r="989" customFormat="false" ht="15" hidden="false" customHeight="false" outlineLevel="0" collapsed="false">
      <c r="A989" s="54"/>
      <c r="B989" s="52"/>
      <c r="C989" s="56"/>
      <c r="D989" s="56"/>
      <c r="E989" s="56"/>
      <c r="F989" s="56"/>
      <c r="G989" s="55"/>
      <c r="H989" s="56"/>
      <c r="I989" s="56"/>
      <c r="J989" s="56"/>
      <c r="K989" s="56"/>
      <c r="L989" s="56"/>
      <c r="M989" s="52"/>
      <c r="N989" s="53"/>
      <c r="O989" s="62" t="str">
        <f aca="false">IF($B989="","",TEXT($A989,"YYYY-MM-DD")&amp;"|"&amp;$B989)</f>
        <v/>
      </c>
      <c r="P989" s="3"/>
      <c r="Q989" s="3"/>
      <c r="R989" s="3"/>
      <c r="S989" s="3"/>
      <c r="T989" s="3"/>
      <c r="U989" s="3"/>
      <c r="V989" s="3"/>
      <c r="W989" s="3"/>
      <c r="X989" s="3"/>
      <c r="Y989" s="3"/>
      <c r="Z989" s="3"/>
      <c r="AA989" s="3"/>
      <c r="AB989" s="3"/>
    </row>
    <row r="990" customFormat="false" ht="15" hidden="false" customHeight="false" outlineLevel="0" collapsed="false">
      <c r="A990" s="48"/>
      <c r="B990" s="46"/>
      <c r="C990" s="50"/>
      <c r="D990" s="50"/>
      <c r="E990" s="50"/>
      <c r="F990" s="50"/>
      <c r="G990" s="49"/>
      <c r="H990" s="50"/>
      <c r="I990" s="50"/>
      <c r="J990" s="50"/>
      <c r="K990" s="50"/>
      <c r="L990" s="50"/>
      <c r="M990" s="46"/>
      <c r="N990" s="47"/>
      <c r="O990" s="62" t="str">
        <f aca="false">IF($B990="","",TEXT($A990,"YYYY-MM-DD")&amp;"|"&amp;$B990)</f>
        <v/>
      </c>
      <c r="P990" s="3"/>
      <c r="Q990" s="3"/>
      <c r="R990" s="3"/>
      <c r="S990" s="3"/>
      <c r="T990" s="3"/>
      <c r="U990" s="3"/>
      <c r="V990" s="3"/>
      <c r="W990" s="3"/>
      <c r="X990" s="3"/>
      <c r="Y990" s="3"/>
      <c r="Z990" s="3"/>
      <c r="AA990" s="3"/>
      <c r="AB990" s="3"/>
    </row>
    <row r="991" customFormat="false" ht="15" hidden="false" customHeight="false" outlineLevel="0" collapsed="false">
      <c r="A991" s="54"/>
      <c r="B991" s="52"/>
      <c r="C991" s="56"/>
      <c r="D991" s="56"/>
      <c r="E991" s="56"/>
      <c r="F991" s="56"/>
      <c r="G991" s="55"/>
      <c r="H991" s="56"/>
      <c r="I991" s="56"/>
      <c r="J991" s="56"/>
      <c r="K991" s="56"/>
      <c r="L991" s="56"/>
      <c r="M991" s="52"/>
      <c r="N991" s="53"/>
      <c r="O991" s="62" t="str">
        <f aca="false">IF($B991="","",TEXT($A991,"YYYY-MM-DD")&amp;"|"&amp;$B991)</f>
        <v/>
      </c>
      <c r="P991" s="3"/>
      <c r="Q991" s="3"/>
      <c r="R991" s="3"/>
      <c r="S991" s="3"/>
      <c r="T991" s="3"/>
      <c r="U991" s="3"/>
      <c r="V991" s="3"/>
      <c r="W991" s="3"/>
      <c r="X991" s="3"/>
      <c r="Y991" s="3"/>
      <c r="Z991" s="3"/>
      <c r="AA991" s="3"/>
      <c r="AB991" s="3"/>
    </row>
    <row r="992" customFormat="false" ht="15" hidden="false" customHeight="false" outlineLevel="0" collapsed="false">
      <c r="A992" s="48"/>
      <c r="B992" s="46"/>
      <c r="C992" s="50"/>
      <c r="D992" s="50"/>
      <c r="E992" s="50"/>
      <c r="F992" s="50"/>
      <c r="G992" s="49"/>
      <c r="H992" s="50"/>
      <c r="I992" s="50"/>
      <c r="J992" s="50"/>
      <c r="K992" s="50"/>
      <c r="L992" s="50"/>
      <c r="M992" s="46"/>
      <c r="N992" s="47"/>
      <c r="O992" s="62" t="str">
        <f aca="false">IF($B992="","",TEXT($A992,"YYYY-MM-DD")&amp;"|"&amp;$B992)</f>
        <v/>
      </c>
      <c r="P992" s="3"/>
      <c r="Q992" s="3"/>
      <c r="R992" s="3"/>
      <c r="S992" s="3"/>
      <c r="T992" s="3"/>
      <c r="U992" s="3"/>
      <c r="V992" s="3"/>
      <c r="W992" s="3"/>
      <c r="X992" s="3"/>
      <c r="Y992" s="3"/>
      <c r="Z992" s="3"/>
      <c r="AA992" s="3"/>
      <c r="AB992" s="3"/>
    </row>
    <row r="993" customFormat="false" ht="15" hidden="false" customHeight="false" outlineLevel="0" collapsed="false">
      <c r="A993" s="54"/>
      <c r="B993" s="52"/>
      <c r="C993" s="56"/>
      <c r="D993" s="56"/>
      <c r="E993" s="56"/>
      <c r="F993" s="56"/>
      <c r="G993" s="55"/>
      <c r="H993" s="56"/>
      <c r="I993" s="56"/>
      <c r="J993" s="56"/>
      <c r="K993" s="56"/>
      <c r="L993" s="56"/>
      <c r="M993" s="52"/>
      <c r="N993" s="53"/>
      <c r="O993" s="62" t="str">
        <f aca="false">IF($B993="","",TEXT($A993,"YYYY-MM-DD")&amp;"|"&amp;$B993)</f>
        <v/>
      </c>
      <c r="P993" s="3"/>
      <c r="Q993" s="3"/>
      <c r="R993" s="3"/>
      <c r="S993" s="3"/>
      <c r="T993" s="3"/>
      <c r="U993" s="3"/>
      <c r="V993" s="3"/>
      <c r="W993" s="3"/>
      <c r="X993" s="3"/>
      <c r="Y993" s="3"/>
      <c r="Z993" s="3"/>
      <c r="AA993" s="3"/>
      <c r="AB993" s="3"/>
    </row>
    <row r="994" customFormat="false" ht="15" hidden="false" customHeight="false" outlineLevel="0" collapsed="false">
      <c r="A994" s="48"/>
      <c r="B994" s="46"/>
      <c r="C994" s="50"/>
      <c r="D994" s="50"/>
      <c r="E994" s="50"/>
      <c r="F994" s="50"/>
      <c r="G994" s="49"/>
      <c r="H994" s="50"/>
      <c r="I994" s="50"/>
      <c r="J994" s="50"/>
      <c r="K994" s="50"/>
      <c r="L994" s="50"/>
      <c r="M994" s="46"/>
      <c r="N994" s="47"/>
      <c r="O994" s="62" t="str">
        <f aca="false">IF($B994="","",TEXT($A994,"YYYY-MM-DD")&amp;"|"&amp;$B994)</f>
        <v/>
      </c>
      <c r="P994" s="3"/>
      <c r="Q994" s="3"/>
      <c r="R994" s="3"/>
      <c r="S994" s="3"/>
      <c r="T994" s="3"/>
      <c r="U994" s="3"/>
      <c r="V994" s="3"/>
      <c r="W994" s="3"/>
      <c r="X994" s="3"/>
      <c r="Y994" s="3"/>
      <c r="Z994" s="3"/>
      <c r="AA994" s="3"/>
      <c r="AB994" s="3"/>
    </row>
    <row r="995" customFormat="false" ht="15" hidden="false" customHeight="false" outlineLevel="0" collapsed="false">
      <c r="A995" s="54"/>
      <c r="B995" s="52"/>
      <c r="C995" s="56"/>
      <c r="D995" s="56"/>
      <c r="E995" s="56"/>
      <c r="F995" s="56"/>
      <c r="G995" s="55"/>
      <c r="H995" s="56"/>
      <c r="I995" s="56"/>
      <c r="J995" s="56"/>
      <c r="K995" s="56"/>
      <c r="L995" s="56"/>
      <c r="M995" s="52"/>
      <c r="N995" s="53"/>
      <c r="O995" s="62" t="str">
        <f aca="false">IF($B995="","",TEXT($A995,"YYYY-MM-DD")&amp;"|"&amp;$B995)</f>
        <v/>
      </c>
      <c r="P995" s="3"/>
      <c r="Q995" s="3"/>
      <c r="R995" s="3"/>
      <c r="S995" s="3"/>
      <c r="T995" s="3"/>
      <c r="U995" s="3"/>
      <c r="V995" s="3"/>
      <c r="W995" s="3"/>
      <c r="X995" s="3"/>
      <c r="Y995" s="3"/>
      <c r="Z995" s="3"/>
      <c r="AA995" s="3"/>
      <c r="AB995" s="3"/>
    </row>
    <row r="996" customFormat="false" ht="15" hidden="false" customHeight="false" outlineLevel="0" collapsed="false">
      <c r="A996" s="48"/>
      <c r="B996" s="46"/>
      <c r="C996" s="50"/>
      <c r="D996" s="50"/>
      <c r="E996" s="50"/>
      <c r="F996" s="50"/>
      <c r="G996" s="49"/>
      <c r="H996" s="50"/>
      <c r="I996" s="50"/>
      <c r="J996" s="50"/>
      <c r="K996" s="50"/>
      <c r="L996" s="50"/>
      <c r="M996" s="46"/>
      <c r="N996" s="47"/>
      <c r="O996" s="62" t="str">
        <f aca="false">IF($B996="","",TEXT($A996,"YYYY-MM-DD")&amp;"|"&amp;$B996)</f>
        <v/>
      </c>
      <c r="P996" s="3"/>
      <c r="Q996" s="3"/>
      <c r="R996" s="3"/>
      <c r="S996" s="3"/>
      <c r="T996" s="3"/>
      <c r="U996" s="3"/>
      <c r="V996" s="3"/>
      <c r="W996" s="3"/>
      <c r="X996" s="3"/>
      <c r="Y996" s="3"/>
      <c r="Z996" s="3"/>
      <c r="AA996" s="3"/>
      <c r="AB996" s="3"/>
    </row>
    <row r="997" customFormat="false" ht="15" hidden="false" customHeight="false" outlineLevel="0" collapsed="false">
      <c r="A997" s="54"/>
      <c r="B997" s="52"/>
      <c r="C997" s="56"/>
      <c r="D997" s="56"/>
      <c r="E997" s="56"/>
      <c r="F997" s="56"/>
      <c r="G997" s="55"/>
      <c r="H997" s="56"/>
      <c r="I997" s="56"/>
      <c r="J997" s="56"/>
      <c r="K997" s="56"/>
      <c r="L997" s="56"/>
      <c r="M997" s="52"/>
      <c r="N997" s="53"/>
      <c r="O997" s="62" t="str">
        <f aca="false">IF($B997="","",TEXT($A997,"YYYY-MM-DD")&amp;"|"&amp;$B997)</f>
        <v/>
      </c>
      <c r="P997" s="3"/>
      <c r="Q997" s="3"/>
      <c r="R997" s="3"/>
      <c r="S997" s="3"/>
      <c r="T997" s="3"/>
      <c r="U997" s="3"/>
      <c r="V997" s="3"/>
      <c r="W997" s="3"/>
      <c r="X997" s="3"/>
      <c r="Y997" s="3"/>
      <c r="Z997" s="3"/>
      <c r="AA997" s="3"/>
      <c r="AB997" s="3"/>
    </row>
    <row r="998" customFormat="false" ht="15" hidden="false" customHeight="false" outlineLevel="0" collapsed="false">
      <c r="A998" s="48"/>
      <c r="B998" s="46"/>
      <c r="C998" s="50"/>
      <c r="D998" s="50"/>
      <c r="E998" s="50"/>
      <c r="F998" s="50"/>
      <c r="G998" s="49"/>
      <c r="H998" s="50"/>
      <c r="I998" s="50"/>
      <c r="J998" s="50"/>
      <c r="K998" s="50"/>
      <c r="L998" s="50"/>
      <c r="M998" s="46"/>
      <c r="N998" s="47"/>
      <c r="O998" s="62" t="str">
        <f aca="false">IF($B998="","",TEXT($A998,"YYYY-MM-DD")&amp;"|"&amp;$B998)</f>
        <v/>
      </c>
      <c r="P998" s="3"/>
      <c r="Q998" s="3"/>
      <c r="R998" s="3"/>
      <c r="S998" s="3"/>
      <c r="T998" s="3"/>
      <c r="U998" s="3"/>
      <c r="V998" s="3"/>
      <c r="W998" s="3"/>
      <c r="X998" s="3"/>
      <c r="Y998" s="3"/>
      <c r="Z998" s="3"/>
      <c r="AA998" s="3"/>
      <c r="AB998" s="3"/>
    </row>
    <row r="999" customFormat="false" ht="15" hidden="false" customHeight="false" outlineLevel="0" collapsed="false">
      <c r="A999" s="54"/>
      <c r="B999" s="52"/>
      <c r="C999" s="56"/>
      <c r="D999" s="56"/>
      <c r="E999" s="56"/>
      <c r="F999" s="56"/>
      <c r="G999" s="55"/>
      <c r="H999" s="56"/>
      <c r="I999" s="56"/>
      <c r="J999" s="56"/>
      <c r="K999" s="56"/>
      <c r="L999" s="56"/>
      <c r="M999" s="52"/>
      <c r="N999" s="53"/>
      <c r="O999" s="62" t="str">
        <f aca="false">IF($B999="","",TEXT($A999,"YYYY-MM-DD")&amp;"|"&amp;$B999)</f>
        <v/>
      </c>
      <c r="P999" s="3"/>
      <c r="Q999" s="3"/>
      <c r="R999" s="3"/>
      <c r="S999" s="3"/>
      <c r="T999" s="3"/>
      <c r="U999" s="3"/>
      <c r="V999" s="3"/>
      <c r="W999" s="3"/>
      <c r="X999" s="3"/>
      <c r="Y999" s="3"/>
      <c r="Z999" s="3"/>
      <c r="AA999" s="3"/>
      <c r="AB999" s="3"/>
    </row>
    <row r="1000" customFormat="false" ht="15" hidden="false" customHeight="false" outlineLevel="0" collapsed="false">
      <c r="A1000" s="48"/>
      <c r="B1000" s="46"/>
      <c r="C1000" s="50"/>
      <c r="D1000" s="50"/>
      <c r="E1000" s="50"/>
      <c r="F1000" s="50"/>
      <c r="G1000" s="49"/>
      <c r="H1000" s="50"/>
      <c r="I1000" s="50"/>
      <c r="J1000" s="50"/>
      <c r="K1000" s="50"/>
      <c r="L1000" s="50"/>
      <c r="M1000" s="46"/>
      <c r="N1000" s="47"/>
      <c r="O1000" s="62" t="str">
        <f aca="false">IF($B1000="","",TEXT($A1000,"YYYY-MM-DD")&amp;"|"&amp;$B1000)</f>
        <v/>
      </c>
      <c r="P1000" s="3"/>
      <c r="Q1000" s="3"/>
      <c r="R1000" s="3"/>
      <c r="S1000" s="3"/>
      <c r="T1000" s="3"/>
      <c r="U1000" s="3"/>
      <c r="V1000" s="3"/>
      <c r="W1000" s="3"/>
      <c r="X1000" s="3"/>
      <c r="Y1000" s="3"/>
      <c r="Z1000" s="3"/>
      <c r="AA1000" s="3"/>
      <c r="AB1000" s="3"/>
    </row>
    <row r="1001" customFormat="false" ht="15" hidden="false" customHeight="false" outlineLevel="0" collapsed="false">
      <c r="A1001" s="54"/>
      <c r="B1001" s="52"/>
      <c r="C1001" s="56"/>
      <c r="D1001" s="56"/>
      <c r="E1001" s="56"/>
      <c r="F1001" s="56"/>
      <c r="G1001" s="55"/>
      <c r="H1001" s="56"/>
      <c r="I1001" s="56"/>
      <c r="J1001" s="56"/>
      <c r="K1001" s="56"/>
      <c r="L1001" s="56"/>
      <c r="M1001" s="52"/>
      <c r="N1001" s="53"/>
      <c r="O1001" s="62" t="str">
        <f aca="false">IF($B1001="","",TEXT($A1001,"YYYY-MM-DD")&amp;"|"&amp;$B1001)</f>
        <v/>
      </c>
      <c r="P1001" s="3"/>
      <c r="Q1001" s="3"/>
      <c r="R1001" s="3"/>
      <c r="S1001" s="3"/>
      <c r="T1001" s="3"/>
      <c r="U1001" s="3"/>
      <c r="V1001" s="3"/>
      <c r="W1001" s="3"/>
      <c r="X1001" s="3"/>
      <c r="Y1001" s="3"/>
      <c r="Z1001" s="3"/>
      <c r="AA1001" s="3"/>
      <c r="AB1001" s="3"/>
    </row>
    <row r="1002" customFormat="false" ht="15" hidden="false" customHeight="false" outlineLevel="0" collapsed="false">
      <c r="A1002" s="48"/>
      <c r="B1002" s="46"/>
      <c r="C1002" s="50"/>
      <c r="D1002" s="50"/>
      <c r="E1002" s="50"/>
      <c r="F1002" s="50"/>
      <c r="G1002" s="49"/>
      <c r="H1002" s="50"/>
      <c r="I1002" s="50"/>
      <c r="J1002" s="50"/>
      <c r="K1002" s="50"/>
      <c r="L1002" s="50"/>
      <c r="M1002" s="46"/>
      <c r="N1002" s="47"/>
      <c r="O1002" s="62" t="str">
        <f aca="false">IF($B1002="","",TEXT($A1002,"YYYY-MM-DD")&amp;"|"&amp;$B1002)</f>
        <v/>
      </c>
      <c r="P1002" s="3"/>
      <c r="Q1002" s="3"/>
      <c r="R1002" s="3"/>
      <c r="S1002" s="3"/>
      <c r="T1002" s="3"/>
      <c r="U1002" s="3"/>
      <c r="V1002" s="3"/>
      <c r="W1002" s="3"/>
      <c r="X1002" s="3"/>
      <c r="Y1002" s="3"/>
      <c r="Z1002" s="3"/>
      <c r="AA1002" s="3"/>
      <c r="AB1002" s="3"/>
    </row>
    <row r="1003" customFormat="false" ht="15" hidden="false" customHeight="false" outlineLevel="0" collapsed="false">
      <c r="A1003" s="54"/>
      <c r="B1003" s="52"/>
      <c r="C1003" s="56"/>
      <c r="D1003" s="56"/>
      <c r="E1003" s="56"/>
      <c r="F1003" s="56"/>
      <c r="G1003" s="55"/>
      <c r="H1003" s="56"/>
      <c r="I1003" s="56"/>
      <c r="J1003" s="56"/>
      <c r="K1003" s="56"/>
      <c r="L1003" s="56"/>
      <c r="M1003" s="52"/>
      <c r="N1003" s="53"/>
      <c r="O1003" s="62" t="str">
        <f aca="false">IF($B1003="","",TEXT($A1003,"YYYY-MM-DD")&amp;"|"&amp;$B1003)</f>
        <v/>
      </c>
      <c r="P1003" s="3"/>
      <c r="Q1003" s="3"/>
      <c r="R1003" s="3"/>
      <c r="S1003" s="3"/>
      <c r="T1003" s="3"/>
      <c r="U1003" s="3"/>
      <c r="V1003" s="3"/>
      <c r="W1003" s="3"/>
      <c r="X1003" s="3"/>
      <c r="Y1003" s="3"/>
      <c r="Z1003" s="3"/>
      <c r="AA1003" s="3"/>
      <c r="AB1003" s="3"/>
    </row>
    <row r="1004" customFormat="false" ht="15" hidden="false" customHeight="false" outlineLevel="0" collapsed="false">
      <c r="A1004" s="48"/>
      <c r="B1004" s="46"/>
      <c r="C1004" s="50"/>
      <c r="D1004" s="50"/>
      <c r="E1004" s="50"/>
      <c r="F1004" s="50"/>
      <c r="G1004" s="49"/>
      <c r="H1004" s="50"/>
      <c r="I1004" s="50"/>
      <c r="J1004" s="50"/>
      <c r="K1004" s="50"/>
      <c r="L1004" s="50"/>
      <c r="M1004" s="46"/>
      <c r="N1004" s="47"/>
      <c r="O1004" s="62" t="str">
        <f aca="false">IF($B1004="","",TEXT($A1004,"YYYY-MM-DD")&amp;"|"&amp;$B1004)</f>
        <v/>
      </c>
      <c r="P1004" s="3"/>
      <c r="Q1004" s="3"/>
      <c r="R1004" s="3"/>
      <c r="S1004" s="3"/>
      <c r="T1004" s="3"/>
      <c r="U1004" s="3"/>
      <c r="V1004" s="3"/>
      <c r="W1004" s="3"/>
      <c r="X1004" s="3"/>
      <c r="Y1004" s="3"/>
      <c r="Z1004" s="3"/>
      <c r="AA1004" s="3"/>
      <c r="AB1004" s="3"/>
    </row>
    <row r="1005" customFormat="false" ht="15" hidden="false" customHeight="false" outlineLevel="0" collapsed="false">
      <c r="A1005" s="54"/>
      <c r="B1005" s="52"/>
      <c r="C1005" s="56"/>
      <c r="D1005" s="56"/>
      <c r="E1005" s="56"/>
      <c r="F1005" s="56"/>
      <c r="G1005" s="55"/>
      <c r="H1005" s="56"/>
      <c r="I1005" s="56"/>
      <c r="J1005" s="56"/>
      <c r="K1005" s="56"/>
      <c r="L1005" s="56"/>
      <c r="M1005" s="52"/>
      <c r="N1005" s="53"/>
      <c r="O1005" s="62" t="str">
        <f aca="false">IF($B1005="","",TEXT($A1005,"YYYY-MM-DD")&amp;"|"&amp;$B1005)</f>
        <v/>
      </c>
      <c r="P1005" s="3"/>
      <c r="Q1005" s="3"/>
      <c r="R1005" s="3"/>
      <c r="S1005" s="3"/>
      <c r="T1005" s="3"/>
      <c r="U1005" s="3"/>
      <c r="V1005" s="3"/>
      <c r="W1005" s="3"/>
      <c r="X1005" s="3"/>
      <c r="Y1005" s="3"/>
      <c r="Z1005" s="3"/>
      <c r="AA1005" s="3"/>
      <c r="AB1005" s="3"/>
    </row>
    <row r="1006" customFormat="false" ht="15" hidden="false" customHeight="false" outlineLevel="0" collapsed="false">
      <c r="A1006" s="48"/>
      <c r="B1006" s="46"/>
      <c r="C1006" s="50"/>
      <c r="D1006" s="50"/>
      <c r="E1006" s="50"/>
      <c r="F1006" s="50"/>
      <c r="G1006" s="49"/>
      <c r="H1006" s="50"/>
      <c r="I1006" s="50"/>
      <c r="J1006" s="50"/>
      <c r="K1006" s="50"/>
      <c r="L1006" s="50"/>
      <c r="M1006" s="46"/>
      <c r="N1006" s="47"/>
      <c r="O1006" s="62" t="str">
        <f aca="false">IF($B1006="","",TEXT($A1006,"YYYY-MM-DD")&amp;"|"&amp;$B1006)</f>
        <v/>
      </c>
      <c r="P1006" s="3"/>
      <c r="Q1006" s="3"/>
      <c r="R1006" s="3"/>
      <c r="S1006" s="3"/>
      <c r="T1006" s="3"/>
      <c r="U1006" s="3"/>
      <c r="V1006" s="3"/>
      <c r="W1006" s="3"/>
      <c r="X1006" s="3"/>
      <c r="Y1006" s="3"/>
      <c r="Z1006" s="3"/>
      <c r="AA1006" s="3"/>
      <c r="AB1006" s="3"/>
    </row>
    <row r="1007" customFormat="false" ht="15" hidden="false" customHeight="false" outlineLevel="0" collapsed="false">
      <c r="A1007" s="54"/>
      <c r="B1007" s="52"/>
      <c r="C1007" s="56"/>
      <c r="D1007" s="56"/>
      <c r="E1007" s="56"/>
      <c r="F1007" s="56"/>
      <c r="G1007" s="55"/>
      <c r="H1007" s="56"/>
      <c r="I1007" s="56"/>
      <c r="J1007" s="56"/>
      <c r="K1007" s="56"/>
      <c r="L1007" s="56"/>
      <c r="M1007" s="52"/>
      <c r="N1007" s="53"/>
      <c r="O1007" s="62" t="str">
        <f aca="false">IF($B1007="","",TEXT($A1007,"YYYY-MM-DD")&amp;"|"&amp;$B1007)</f>
        <v/>
      </c>
      <c r="P1007" s="3"/>
      <c r="Q1007" s="3"/>
      <c r="R1007" s="3"/>
      <c r="S1007" s="3"/>
      <c r="T1007" s="3"/>
      <c r="U1007" s="3"/>
      <c r="V1007" s="3"/>
      <c r="W1007" s="3"/>
      <c r="X1007" s="3"/>
      <c r="Y1007" s="3"/>
      <c r="Z1007" s="3"/>
      <c r="AA1007" s="3"/>
      <c r="AB1007" s="3"/>
    </row>
    <row r="1008" customFormat="false" ht="15" hidden="false" customHeight="false" outlineLevel="0" collapsed="false">
      <c r="A1008" s="48"/>
      <c r="B1008" s="46"/>
      <c r="C1008" s="50"/>
      <c r="D1008" s="50"/>
      <c r="E1008" s="50"/>
      <c r="F1008" s="50"/>
      <c r="G1008" s="49"/>
      <c r="H1008" s="50"/>
      <c r="I1008" s="50"/>
      <c r="J1008" s="50"/>
      <c r="K1008" s="50"/>
      <c r="L1008" s="50"/>
      <c r="M1008" s="46"/>
      <c r="N1008" s="47"/>
      <c r="O1008" s="62" t="str">
        <f aca="false">IF($B1008="","",TEXT($A1008,"YYYY-MM-DD")&amp;"|"&amp;$B1008)</f>
        <v/>
      </c>
      <c r="P1008" s="3"/>
      <c r="Q1008" s="3"/>
      <c r="R1008" s="3"/>
      <c r="S1008" s="3"/>
      <c r="T1008" s="3"/>
      <c r="U1008" s="3"/>
      <c r="V1008" s="3"/>
      <c r="W1008" s="3"/>
      <c r="X1008" s="3"/>
      <c r="Y1008" s="3"/>
      <c r="Z1008" s="3"/>
      <c r="AA1008" s="3"/>
      <c r="AB1008" s="3"/>
    </row>
    <row r="1009" customFormat="false" ht="15" hidden="false" customHeight="false" outlineLevel="0" collapsed="false">
      <c r="A1009" s="54"/>
      <c r="B1009" s="52"/>
      <c r="C1009" s="56"/>
      <c r="D1009" s="56"/>
      <c r="E1009" s="56"/>
      <c r="F1009" s="56"/>
      <c r="G1009" s="55"/>
      <c r="H1009" s="56"/>
      <c r="I1009" s="56"/>
      <c r="J1009" s="56"/>
      <c r="K1009" s="56"/>
      <c r="L1009" s="56"/>
      <c r="M1009" s="52"/>
      <c r="N1009" s="53"/>
      <c r="O1009" s="62" t="str">
        <f aca="false">IF($B1009="","",TEXT($A1009,"YYYY-MM-DD")&amp;"|"&amp;$B1009)</f>
        <v/>
      </c>
      <c r="P1009" s="3"/>
      <c r="Q1009" s="3"/>
      <c r="R1009" s="3"/>
      <c r="S1009" s="3"/>
      <c r="T1009" s="3"/>
      <c r="U1009" s="3"/>
      <c r="V1009" s="3"/>
      <c r="W1009" s="3"/>
      <c r="X1009" s="3"/>
      <c r="Y1009" s="3"/>
      <c r="Z1009" s="3"/>
      <c r="AA1009" s="3"/>
      <c r="AB1009" s="3"/>
    </row>
    <row r="1010" customFormat="false" ht="15" hidden="false" customHeight="false" outlineLevel="0" collapsed="false">
      <c r="A1010" s="48"/>
      <c r="B1010" s="46"/>
      <c r="C1010" s="50"/>
      <c r="D1010" s="50"/>
      <c r="E1010" s="50"/>
      <c r="F1010" s="50"/>
      <c r="G1010" s="49"/>
      <c r="H1010" s="50"/>
      <c r="I1010" s="50"/>
      <c r="J1010" s="50"/>
      <c r="K1010" s="50"/>
      <c r="L1010" s="50"/>
      <c r="M1010" s="46"/>
      <c r="N1010" s="47"/>
      <c r="O1010" s="62" t="str">
        <f aca="false">IF($B1010="","",TEXT($A1010,"YYYY-MM-DD")&amp;"|"&amp;$B1010)</f>
        <v/>
      </c>
      <c r="P1010" s="3"/>
      <c r="Q1010" s="3"/>
      <c r="R1010" s="3"/>
      <c r="S1010" s="3"/>
      <c r="T1010" s="3"/>
      <c r="U1010" s="3"/>
      <c r="V1010" s="3"/>
      <c r="W1010" s="3"/>
      <c r="X1010" s="3"/>
      <c r="Y1010" s="3"/>
      <c r="Z1010" s="3"/>
      <c r="AA1010" s="3"/>
      <c r="AB1010" s="3"/>
    </row>
    <row r="1011" customFormat="false" ht="15" hidden="false" customHeight="false" outlineLevel="0" collapsed="false">
      <c r="A1011" s="54"/>
      <c r="B1011" s="52"/>
      <c r="C1011" s="56"/>
      <c r="D1011" s="56"/>
      <c r="E1011" s="56"/>
      <c r="F1011" s="56"/>
      <c r="G1011" s="55"/>
      <c r="H1011" s="56"/>
      <c r="I1011" s="56"/>
      <c r="J1011" s="56"/>
      <c r="K1011" s="56"/>
      <c r="L1011" s="56"/>
      <c r="M1011" s="52"/>
      <c r="N1011" s="53"/>
      <c r="O1011" s="62" t="str">
        <f aca="false">IF($B1011="","",TEXT($A1011,"YYYY-MM-DD")&amp;"|"&amp;$B1011)</f>
        <v/>
      </c>
      <c r="P1011" s="3"/>
      <c r="Q1011" s="3"/>
      <c r="R1011" s="3"/>
      <c r="S1011" s="3"/>
      <c r="T1011" s="3"/>
      <c r="U1011" s="3"/>
      <c r="V1011" s="3"/>
      <c r="W1011" s="3"/>
      <c r="X1011" s="3"/>
      <c r="Y1011" s="3"/>
      <c r="Z1011" s="3"/>
      <c r="AA1011" s="3"/>
      <c r="AB1011" s="3"/>
    </row>
    <row r="1012" customFormat="false" ht="15" hidden="false" customHeight="false" outlineLevel="0" collapsed="false">
      <c r="A1012" s="48"/>
      <c r="B1012" s="46"/>
      <c r="C1012" s="50"/>
      <c r="D1012" s="50"/>
      <c r="E1012" s="50"/>
      <c r="F1012" s="50"/>
      <c r="G1012" s="49"/>
      <c r="H1012" s="50"/>
      <c r="I1012" s="50"/>
      <c r="J1012" s="50"/>
      <c r="K1012" s="50"/>
      <c r="L1012" s="50"/>
      <c r="M1012" s="46"/>
      <c r="N1012" s="47"/>
      <c r="O1012" s="62" t="str">
        <f aca="false">IF($B1012="","",TEXT($A1012,"YYYY-MM-DD")&amp;"|"&amp;$B1012)</f>
        <v/>
      </c>
      <c r="P1012" s="3"/>
      <c r="Q1012" s="3"/>
      <c r="R1012" s="3"/>
      <c r="S1012" s="3"/>
      <c r="T1012" s="3"/>
      <c r="U1012" s="3"/>
      <c r="V1012" s="3"/>
      <c r="W1012" s="3"/>
      <c r="X1012" s="3"/>
      <c r="Y1012" s="3"/>
      <c r="Z1012" s="3"/>
      <c r="AA1012" s="3"/>
      <c r="AB1012" s="3"/>
    </row>
    <row r="1013" customFormat="false" ht="15" hidden="false" customHeight="false" outlineLevel="0" collapsed="false">
      <c r="A1013" s="54"/>
      <c r="B1013" s="52"/>
      <c r="C1013" s="56"/>
      <c r="D1013" s="56"/>
      <c r="E1013" s="56"/>
      <c r="F1013" s="56"/>
      <c r="G1013" s="55"/>
      <c r="H1013" s="56"/>
      <c r="I1013" s="56"/>
      <c r="J1013" s="56"/>
      <c r="K1013" s="56"/>
      <c r="L1013" s="56"/>
      <c r="M1013" s="52"/>
      <c r="N1013" s="53"/>
      <c r="O1013" s="62" t="str">
        <f aca="false">IF($B1013="","",TEXT($A1013,"YYYY-MM-DD")&amp;"|"&amp;$B1013)</f>
        <v/>
      </c>
      <c r="P1013" s="3"/>
      <c r="Q1013" s="3"/>
      <c r="R1013" s="3"/>
      <c r="S1013" s="3"/>
      <c r="T1013" s="3"/>
      <c r="U1013" s="3"/>
      <c r="V1013" s="3"/>
      <c r="W1013" s="3"/>
      <c r="X1013" s="3"/>
      <c r="Y1013" s="3"/>
      <c r="Z1013" s="3"/>
      <c r="AA1013" s="3"/>
      <c r="AB1013" s="3"/>
    </row>
    <row r="1014" customFormat="false" ht="15" hidden="false" customHeight="false" outlineLevel="0" collapsed="false">
      <c r="A1014" s="48"/>
      <c r="B1014" s="46"/>
      <c r="C1014" s="50"/>
      <c r="D1014" s="50"/>
      <c r="E1014" s="50"/>
      <c r="F1014" s="50"/>
      <c r="G1014" s="49"/>
      <c r="H1014" s="50"/>
      <c r="I1014" s="50"/>
      <c r="J1014" s="50"/>
      <c r="K1014" s="50"/>
      <c r="L1014" s="50"/>
      <c r="M1014" s="46"/>
      <c r="N1014" s="47"/>
      <c r="O1014" s="62" t="str">
        <f aca="false">IF($B1014="","",TEXT($A1014,"YYYY-MM-DD")&amp;"|"&amp;$B1014)</f>
        <v/>
      </c>
      <c r="P1014" s="3"/>
      <c r="Q1014" s="3"/>
      <c r="R1014" s="3"/>
      <c r="S1014" s="3"/>
      <c r="T1014" s="3"/>
      <c r="U1014" s="3"/>
      <c r="V1014" s="3"/>
      <c r="W1014" s="3"/>
      <c r="X1014" s="3"/>
      <c r="Y1014" s="3"/>
      <c r="Z1014" s="3"/>
      <c r="AA1014" s="3"/>
      <c r="AB1014" s="3"/>
    </row>
    <row r="1015" customFormat="false" ht="15" hidden="false" customHeight="false" outlineLevel="0" collapsed="false">
      <c r="A1015" s="54"/>
      <c r="B1015" s="52"/>
      <c r="C1015" s="56"/>
      <c r="D1015" s="56"/>
      <c r="E1015" s="56"/>
      <c r="F1015" s="56"/>
      <c r="G1015" s="55"/>
      <c r="H1015" s="56"/>
      <c r="I1015" s="56"/>
      <c r="J1015" s="56"/>
      <c r="K1015" s="56"/>
      <c r="L1015" s="56"/>
      <c r="M1015" s="52"/>
      <c r="N1015" s="53"/>
      <c r="O1015" s="62" t="str">
        <f aca="false">IF($B1015="","",TEXT($A1015,"YYYY-MM-DD")&amp;"|"&amp;$B1015)</f>
        <v/>
      </c>
      <c r="P1015" s="3"/>
      <c r="Q1015" s="3"/>
      <c r="R1015" s="3"/>
      <c r="S1015" s="3"/>
      <c r="T1015" s="3"/>
      <c r="U1015" s="3"/>
      <c r="V1015" s="3"/>
      <c r="W1015" s="3"/>
      <c r="X1015" s="3"/>
      <c r="Y1015" s="3"/>
      <c r="Z1015" s="3"/>
      <c r="AA1015" s="3"/>
      <c r="AB1015" s="3"/>
    </row>
    <row r="1016" customFormat="false" ht="15" hidden="false" customHeight="false" outlineLevel="0" collapsed="false">
      <c r="A1016" s="48"/>
      <c r="B1016" s="46"/>
      <c r="C1016" s="50"/>
      <c r="D1016" s="50"/>
      <c r="E1016" s="50"/>
      <c r="F1016" s="50"/>
      <c r="G1016" s="49"/>
      <c r="H1016" s="50"/>
      <c r="I1016" s="50"/>
      <c r="J1016" s="50"/>
      <c r="K1016" s="50"/>
      <c r="L1016" s="50"/>
      <c r="M1016" s="46"/>
      <c r="N1016" s="47"/>
      <c r="O1016" s="62" t="str">
        <f aca="false">IF($B1016="","",TEXT($A1016,"YYYY-MM-DD")&amp;"|"&amp;$B1016)</f>
        <v/>
      </c>
      <c r="P1016" s="3"/>
      <c r="Q1016" s="3"/>
      <c r="R1016" s="3"/>
      <c r="S1016" s="3"/>
      <c r="T1016" s="3"/>
      <c r="U1016" s="3"/>
      <c r="V1016" s="3"/>
      <c r="W1016" s="3"/>
      <c r="X1016" s="3"/>
      <c r="Y1016" s="3"/>
      <c r="Z1016" s="3"/>
      <c r="AA1016" s="3"/>
      <c r="AB1016" s="3"/>
    </row>
    <row r="1017" customFormat="false" ht="15" hidden="false" customHeight="false" outlineLevel="0" collapsed="false">
      <c r="A1017" s="54"/>
      <c r="B1017" s="52"/>
      <c r="C1017" s="56"/>
      <c r="D1017" s="56"/>
      <c r="E1017" s="56"/>
      <c r="F1017" s="56"/>
      <c r="G1017" s="55"/>
      <c r="H1017" s="56"/>
      <c r="I1017" s="56"/>
      <c r="J1017" s="56"/>
      <c r="K1017" s="56"/>
      <c r="L1017" s="56"/>
      <c r="M1017" s="52"/>
      <c r="N1017" s="53"/>
      <c r="O1017" s="62" t="str">
        <f aca="false">IF($B1017="","",TEXT($A1017,"YYYY-MM-DD")&amp;"|"&amp;$B1017)</f>
        <v/>
      </c>
      <c r="P1017" s="3"/>
      <c r="Q1017" s="3"/>
      <c r="R1017" s="3"/>
      <c r="S1017" s="3"/>
      <c r="T1017" s="3"/>
      <c r="U1017" s="3"/>
      <c r="V1017" s="3"/>
      <c r="W1017" s="3"/>
      <c r="X1017" s="3"/>
      <c r="Y1017" s="3"/>
      <c r="Z1017" s="3"/>
      <c r="AA1017" s="3"/>
      <c r="AB1017" s="3"/>
    </row>
    <row r="1018" customFormat="false" ht="15" hidden="false" customHeight="false" outlineLevel="0" collapsed="false">
      <c r="A1018" s="48"/>
      <c r="B1018" s="46"/>
      <c r="C1018" s="50"/>
      <c r="D1018" s="50"/>
      <c r="E1018" s="50"/>
      <c r="F1018" s="50"/>
      <c r="G1018" s="49"/>
      <c r="H1018" s="50"/>
      <c r="I1018" s="50"/>
      <c r="J1018" s="50"/>
      <c r="K1018" s="50"/>
      <c r="L1018" s="50"/>
      <c r="M1018" s="46"/>
      <c r="N1018" s="47"/>
      <c r="O1018" s="62" t="str">
        <f aca="false">IF($B1018="","",TEXT($A1018,"YYYY-MM-DD")&amp;"|"&amp;$B1018)</f>
        <v/>
      </c>
      <c r="P1018" s="3"/>
      <c r="Q1018" s="3"/>
      <c r="R1018" s="3"/>
      <c r="S1018" s="3"/>
      <c r="T1018" s="3"/>
      <c r="U1018" s="3"/>
      <c r="V1018" s="3"/>
      <c r="W1018" s="3"/>
      <c r="X1018" s="3"/>
      <c r="Y1018" s="3"/>
      <c r="Z1018" s="3"/>
      <c r="AA1018" s="3"/>
      <c r="AB1018" s="3"/>
    </row>
    <row r="1019" customFormat="false" ht="15" hidden="false" customHeight="false" outlineLevel="0" collapsed="false">
      <c r="A1019" s="54"/>
      <c r="B1019" s="52"/>
      <c r="C1019" s="56"/>
      <c r="D1019" s="56"/>
      <c r="E1019" s="56"/>
      <c r="F1019" s="56"/>
      <c r="G1019" s="55"/>
      <c r="H1019" s="56"/>
      <c r="I1019" s="56"/>
      <c r="J1019" s="56"/>
      <c r="K1019" s="56"/>
      <c r="L1019" s="56"/>
      <c r="M1019" s="52"/>
      <c r="N1019" s="53"/>
      <c r="O1019" s="62" t="str">
        <f aca="false">IF($B1019="","",TEXT($A1019,"YYYY-MM-DD")&amp;"|"&amp;$B1019)</f>
        <v/>
      </c>
      <c r="P1019" s="3"/>
      <c r="Q1019" s="3"/>
      <c r="R1019" s="3"/>
      <c r="S1019" s="3"/>
      <c r="T1019" s="3"/>
      <c r="U1019" s="3"/>
      <c r="V1019" s="3"/>
      <c r="W1019" s="3"/>
      <c r="X1019" s="3"/>
      <c r="Y1019" s="3"/>
      <c r="Z1019" s="3"/>
      <c r="AA1019" s="3"/>
      <c r="AB1019" s="3"/>
    </row>
    <row r="1020" customFormat="false" ht="15" hidden="false" customHeight="false" outlineLevel="0" collapsed="false">
      <c r="A1020" s="48"/>
      <c r="B1020" s="46"/>
      <c r="C1020" s="50"/>
      <c r="D1020" s="50"/>
      <c r="E1020" s="50"/>
      <c r="F1020" s="50"/>
      <c r="G1020" s="49"/>
      <c r="H1020" s="50"/>
      <c r="I1020" s="50"/>
      <c r="J1020" s="50"/>
      <c r="K1020" s="50"/>
      <c r="L1020" s="50"/>
      <c r="M1020" s="46"/>
      <c r="N1020" s="47"/>
      <c r="O1020" s="62" t="str">
        <f aca="false">IF($B1020="","",TEXT($A1020,"YYYY-MM-DD")&amp;"|"&amp;$B1020)</f>
        <v/>
      </c>
      <c r="P1020" s="3"/>
      <c r="Q1020" s="3"/>
      <c r="R1020" s="3"/>
      <c r="S1020" s="3"/>
      <c r="T1020" s="3"/>
      <c r="U1020" s="3"/>
      <c r="V1020" s="3"/>
      <c r="W1020" s="3"/>
      <c r="X1020" s="3"/>
      <c r="Y1020" s="3"/>
      <c r="Z1020" s="3"/>
      <c r="AA1020" s="3"/>
      <c r="AB1020" s="3"/>
    </row>
    <row r="1021" customFormat="false" ht="15" hidden="false" customHeight="false" outlineLevel="0" collapsed="false">
      <c r="A1021" s="54"/>
      <c r="B1021" s="52"/>
      <c r="C1021" s="56"/>
      <c r="D1021" s="56"/>
      <c r="E1021" s="56"/>
      <c r="F1021" s="56"/>
      <c r="G1021" s="55"/>
      <c r="H1021" s="56"/>
      <c r="I1021" s="56"/>
      <c r="J1021" s="56"/>
      <c r="K1021" s="56"/>
      <c r="L1021" s="56"/>
      <c r="M1021" s="52"/>
      <c r="N1021" s="53"/>
      <c r="O1021" s="62" t="str">
        <f aca="false">IF($B1021="","",TEXT($A1021,"YYYY-MM-DD")&amp;"|"&amp;$B1021)</f>
        <v/>
      </c>
      <c r="P1021" s="3"/>
      <c r="Q1021" s="3"/>
      <c r="R1021" s="3"/>
      <c r="S1021" s="3"/>
      <c r="T1021" s="3"/>
      <c r="U1021" s="3"/>
      <c r="V1021" s="3"/>
      <c r="W1021" s="3"/>
      <c r="X1021" s="3"/>
      <c r="Y1021" s="3"/>
      <c r="Z1021" s="3"/>
      <c r="AA1021" s="3"/>
      <c r="AB1021" s="3"/>
    </row>
    <row r="1022" customFormat="false" ht="15" hidden="false" customHeight="false" outlineLevel="0" collapsed="false">
      <c r="A1022" s="48"/>
      <c r="B1022" s="46"/>
      <c r="C1022" s="50"/>
      <c r="D1022" s="50"/>
      <c r="E1022" s="50"/>
      <c r="F1022" s="50"/>
      <c r="G1022" s="49"/>
      <c r="H1022" s="50"/>
      <c r="I1022" s="50"/>
      <c r="J1022" s="50"/>
      <c r="K1022" s="50"/>
      <c r="L1022" s="50"/>
      <c r="M1022" s="46"/>
      <c r="N1022" s="47"/>
      <c r="O1022" s="62" t="str">
        <f aca="false">IF($B1022="","",TEXT($A1022,"YYYY-MM-DD")&amp;"|"&amp;$B1022)</f>
        <v/>
      </c>
      <c r="P1022" s="3"/>
      <c r="Q1022" s="3"/>
      <c r="R1022" s="3"/>
      <c r="S1022" s="3"/>
      <c r="T1022" s="3"/>
      <c r="U1022" s="3"/>
      <c r="V1022" s="3"/>
      <c r="W1022" s="3"/>
      <c r="X1022" s="3"/>
      <c r="Y1022" s="3"/>
      <c r="Z1022" s="3"/>
      <c r="AA1022" s="3"/>
      <c r="AB1022" s="3"/>
    </row>
    <row r="1023" customFormat="false" ht="15" hidden="false" customHeight="false" outlineLevel="0" collapsed="false">
      <c r="A1023" s="54"/>
      <c r="B1023" s="52"/>
      <c r="C1023" s="56"/>
      <c r="D1023" s="56"/>
      <c r="E1023" s="56"/>
      <c r="F1023" s="56"/>
      <c r="G1023" s="55"/>
      <c r="H1023" s="56"/>
      <c r="I1023" s="56"/>
      <c r="J1023" s="56"/>
      <c r="K1023" s="56"/>
      <c r="L1023" s="56"/>
      <c r="M1023" s="52"/>
      <c r="N1023" s="53"/>
      <c r="O1023" s="62" t="str">
        <f aca="false">IF($B1023="","",TEXT($A1023,"YYYY-MM-DD")&amp;"|"&amp;$B1023)</f>
        <v/>
      </c>
      <c r="P1023" s="3"/>
      <c r="Q1023" s="3"/>
      <c r="R1023" s="3"/>
      <c r="S1023" s="3"/>
      <c r="T1023" s="3"/>
      <c r="U1023" s="3"/>
      <c r="V1023" s="3"/>
      <c r="W1023" s="3"/>
      <c r="X1023" s="3"/>
      <c r="Y1023" s="3"/>
      <c r="Z1023" s="3"/>
      <c r="AA1023" s="3"/>
      <c r="AB1023" s="3"/>
    </row>
    <row r="1024" customFormat="false" ht="15" hidden="false" customHeight="false" outlineLevel="0" collapsed="false">
      <c r="A1024" s="48"/>
      <c r="B1024" s="46"/>
      <c r="C1024" s="50"/>
      <c r="D1024" s="50"/>
      <c r="E1024" s="50"/>
      <c r="F1024" s="50"/>
      <c r="G1024" s="49"/>
      <c r="H1024" s="50"/>
      <c r="I1024" s="50"/>
      <c r="J1024" s="50"/>
      <c r="K1024" s="50"/>
      <c r="L1024" s="50"/>
      <c r="M1024" s="46"/>
      <c r="N1024" s="47"/>
      <c r="O1024" s="62" t="str">
        <f aca="false">IF($B1024="","",TEXT($A1024,"YYYY-MM-DD")&amp;"|"&amp;$B1024)</f>
        <v/>
      </c>
      <c r="P1024" s="3"/>
      <c r="Q1024" s="3"/>
      <c r="R1024" s="3"/>
      <c r="S1024" s="3"/>
      <c r="T1024" s="3"/>
      <c r="U1024" s="3"/>
      <c r="V1024" s="3"/>
      <c r="W1024" s="3"/>
      <c r="X1024" s="3"/>
      <c r="Y1024" s="3"/>
      <c r="Z1024" s="3"/>
      <c r="AA1024" s="3"/>
      <c r="AB1024" s="3"/>
    </row>
    <row r="1025" customFormat="false" ht="15" hidden="false" customHeight="false" outlineLevel="0" collapsed="false">
      <c r="A1025" s="54"/>
      <c r="B1025" s="52"/>
      <c r="C1025" s="56"/>
      <c r="D1025" s="56"/>
      <c r="E1025" s="56"/>
      <c r="F1025" s="56"/>
      <c r="G1025" s="55"/>
      <c r="H1025" s="56"/>
      <c r="I1025" s="56"/>
      <c r="J1025" s="56"/>
      <c r="K1025" s="56"/>
      <c r="L1025" s="56"/>
      <c r="M1025" s="52"/>
      <c r="N1025" s="53"/>
      <c r="O1025" s="62" t="str">
        <f aca="false">IF($B1025="","",TEXT($A1025,"YYYY-MM-DD")&amp;"|"&amp;$B1025)</f>
        <v/>
      </c>
      <c r="P1025" s="3"/>
      <c r="Q1025" s="3"/>
      <c r="R1025" s="3"/>
      <c r="S1025" s="3"/>
      <c r="T1025" s="3"/>
      <c r="U1025" s="3"/>
      <c r="V1025" s="3"/>
      <c r="W1025" s="3"/>
      <c r="X1025" s="3"/>
      <c r="Y1025" s="3"/>
      <c r="Z1025" s="3"/>
      <c r="AA1025" s="3"/>
      <c r="AB1025" s="3"/>
    </row>
    <row r="1026" customFormat="false" ht="15" hidden="false" customHeight="false" outlineLevel="0" collapsed="false">
      <c r="A1026" s="48"/>
      <c r="B1026" s="46"/>
      <c r="C1026" s="50"/>
      <c r="D1026" s="50"/>
      <c r="E1026" s="50"/>
      <c r="F1026" s="50"/>
      <c r="G1026" s="49"/>
      <c r="H1026" s="50"/>
      <c r="I1026" s="50"/>
      <c r="J1026" s="50"/>
      <c r="K1026" s="50"/>
      <c r="L1026" s="50"/>
      <c r="M1026" s="46"/>
      <c r="N1026" s="47"/>
      <c r="O1026" s="62" t="str">
        <f aca="false">IF($B1026="","",TEXT($A1026,"YYYY-MM-DD")&amp;"|"&amp;$B1026)</f>
        <v/>
      </c>
      <c r="P1026" s="3"/>
      <c r="Q1026" s="3"/>
      <c r="R1026" s="3"/>
      <c r="S1026" s="3"/>
      <c r="T1026" s="3"/>
      <c r="U1026" s="3"/>
      <c r="V1026" s="3"/>
      <c r="W1026" s="3"/>
      <c r="X1026" s="3"/>
      <c r="Y1026" s="3"/>
      <c r="Z1026" s="3"/>
      <c r="AA1026" s="3"/>
      <c r="AB1026" s="3"/>
    </row>
    <row r="1027" customFormat="false" ht="15" hidden="false" customHeight="false" outlineLevel="0" collapsed="false">
      <c r="A1027" s="54"/>
      <c r="B1027" s="52"/>
      <c r="C1027" s="56"/>
      <c r="D1027" s="56"/>
      <c r="E1027" s="56"/>
      <c r="F1027" s="56"/>
      <c r="G1027" s="55"/>
      <c r="H1027" s="56"/>
      <c r="I1027" s="56"/>
      <c r="J1027" s="56"/>
      <c r="K1027" s="56"/>
      <c r="L1027" s="56"/>
      <c r="M1027" s="52"/>
      <c r="N1027" s="53"/>
      <c r="O1027" s="62" t="str">
        <f aca="false">IF($B1027="","",TEXT($A1027,"YYYY-MM-DD")&amp;"|"&amp;$B1027)</f>
        <v/>
      </c>
      <c r="P1027" s="3"/>
      <c r="Q1027" s="3"/>
      <c r="R1027" s="3"/>
      <c r="S1027" s="3"/>
      <c r="T1027" s="3"/>
      <c r="U1027" s="3"/>
      <c r="V1027" s="3"/>
      <c r="W1027" s="3"/>
      <c r="X1027" s="3"/>
      <c r="Y1027" s="3"/>
      <c r="Z1027" s="3"/>
      <c r="AA1027" s="3"/>
      <c r="AB1027" s="3"/>
    </row>
    <row r="1028" customFormat="false" ht="15" hidden="false" customHeight="false" outlineLevel="0" collapsed="false">
      <c r="A1028" s="48"/>
      <c r="B1028" s="46"/>
      <c r="C1028" s="50"/>
      <c r="D1028" s="50"/>
      <c r="E1028" s="50"/>
      <c r="F1028" s="50"/>
      <c r="G1028" s="49"/>
      <c r="H1028" s="50"/>
      <c r="I1028" s="50"/>
      <c r="J1028" s="50"/>
      <c r="K1028" s="50"/>
      <c r="L1028" s="50"/>
      <c r="M1028" s="46"/>
      <c r="N1028" s="47"/>
      <c r="O1028" s="62" t="str">
        <f aca="false">IF($B1028="","",TEXT($A1028,"YYYY-MM-DD")&amp;"|"&amp;$B1028)</f>
        <v/>
      </c>
      <c r="P1028" s="3"/>
      <c r="Q1028" s="3"/>
      <c r="R1028" s="3"/>
      <c r="S1028" s="3"/>
      <c r="T1028" s="3"/>
      <c r="U1028" s="3"/>
      <c r="V1028" s="3"/>
      <c r="W1028" s="3"/>
      <c r="X1028" s="3"/>
      <c r="Y1028" s="3"/>
      <c r="Z1028" s="3"/>
      <c r="AA1028" s="3"/>
      <c r="AB1028" s="3"/>
    </row>
    <row r="1029" customFormat="false" ht="15" hidden="false" customHeight="false" outlineLevel="0" collapsed="false">
      <c r="A1029" s="54"/>
      <c r="B1029" s="52"/>
      <c r="C1029" s="56"/>
      <c r="D1029" s="56"/>
      <c r="E1029" s="56"/>
      <c r="F1029" s="56"/>
      <c r="G1029" s="55"/>
      <c r="H1029" s="56"/>
      <c r="I1029" s="56"/>
      <c r="J1029" s="56"/>
      <c r="K1029" s="56"/>
      <c r="L1029" s="56"/>
      <c r="M1029" s="52"/>
      <c r="N1029" s="53"/>
      <c r="O1029" s="62" t="str">
        <f aca="false">IF($B1029="","",TEXT($A1029,"YYYY-MM-DD")&amp;"|"&amp;$B1029)</f>
        <v/>
      </c>
      <c r="P1029" s="3"/>
      <c r="Q1029" s="3"/>
      <c r="R1029" s="3"/>
      <c r="S1029" s="3"/>
      <c r="T1029" s="3"/>
      <c r="U1029" s="3"/>
      <c r="V1029" s="3"/>
      <c r="W1029" s="3"/>
      <c r="X1029" s="3"/>
      <c r="Y1029" s="3"/>
      <c r="Z1029" s="3"/>
      <c r="AA1029" s="3"/>
      <c r="AB1029" s="3"/>
    </row>
    <row r="1030" customFormat="false" ht="15" hidden="false" customHeight="false" outlineLevel="0" collapsed="false">
      <c r="A1030" s="48"/>
      <c r="B1030" s="46"/>
      <c r="C1030" s="50"/>
      <c r="D1030" s="50"/>
      <c r="E1030" s="50"/>
      <c r="F1030" s="50"/>
      <c r="G1030" s="49"/>
      <c r="H1030" s="50"/>
      <c r="I1030" s="50"/>
      <c r="J1030" s="50"/>
      <c r="K1030" s="50"/>
      <c r="L1030" s="50"/>
      <c r="M1030" s="46"/>
      <c r="N1030" s="47"/>
      <c r="O1030" s="62" t="str">
        <f aca="false">IF($B1030="","",TEXT($A1030,"YYYY-MM-DD")&amp;"|"&amp;$B1030)</f>
        <v/>
      </c>
      <c r="P1030" s="3"/>
      <c r="Q1030" s="3"/>
      <c r="R1030" s="3"/>
      <c r="S1030" s="3"/>
      <c r="T1030" s="3"/>
      <c r="U1030" s="3"/>
      <c r="V1030" s="3"/>
      <c r="W1030" s="3"/>
      <c r="X1030" s="3"/>
      <c r="Y1030" s="3"/>
      <c r="Z1030" s="3"/>
      <c r="AA1030" s="3"/>
      <c r="AB1030" s="3"/>
    </row>
    <row r="1031" customFormat="false" ht="15" hidden="false" customHeight="false" outlineLevel="0" collapsed="false">
      <c r="A1031" s="54"/>
      <c r="B1031" s="52"/>
      <c r="C1031" s="56"/>
      <c r="D1031" s="56"/>
      <c r="E1031" s="56"/>
      <c r="F1031" s="56"/>
      <c r="G1031" s="55"/>
      <c r="H1031" s="56"/>
      <c r="I1031" s="56"/>
      <c r="J1031" s="56"/>
      <c r="K1031" s="56"/>
      <c r="L1031" s="56"/>
      <c r="M1031" s="52"/>
      <c r="N1031" s="53"/>
      <c r="O1031" s="62" t="str">
        <f aca="false">IF($B1031="","",TEXT($A1031,"YYYY-MM-DD")&amp;"|"&amp;$B1031)</f>
        <v/>
      </c>
      <c r="P1031" s="3"/>
      <c r="Q1031" s="3"/>
      <c r="R1031" s="3"/>
      <c r="S1031" s="3"/>
      <c r="T1031" s="3"/>
      <c r="U1031" s="3"/>
      <c r="V1031" s="3"/>
      <c r="W1031" s="3"/>
      <c r="X1031" s="3"/>
      <c r="Y1031" s="3"/>
      <c r="Z1031" s="3"/>
      <c r="AA1031" s="3"/>
      <c r="AB1031" s="3"/>
    </row>
    <row r="1032" customFormat="false" ht="15" hidden="false" customHeight="false" outlineLevel="0" collapsed="false">
      <c r="A1032" s="48"/>
      <c r="B1032" s="46"/>
      <c r="C1032" s="50"/>
      <c r="D1032" s="50"/>
      <c r="E1032" s="50"/>
      <c r="F1032" s="50"/>
      <c r="G1032" s="49"/>
      <c r="H1032" s="50"/>
      <c r="I1032" s="50"/>
      <c r="J1032" s="50"/>
      <c r="K1032" s="50"/>
      <c r="L1032" s="50"/>
      <c r="M1032" s="46"/>
      <c r="N1032" s="47"/>
      <c r="O1032" s="62" t="str">
        <f aca="false">IF($B1032="","",TEXT($A1032,"YYYY-MM-DD")&amp;"|"&amp;$B1032)</f>
        <v/>
      </c>
      <c r="P1032" s="3"/>
      <c r="Q1032" s="3"/>
      <c r="R1032" s="3"/>
      <c r="S1032" s="3"/>
      <c r="T1032" s="3"/>
      <c r="U1032" s="3"/>
      <c r="V1032" s="3"/>
      <c r="W1032" s="3"/>
      <c r="X1032" s="3"/>
      <c r="Y1032" s="3"/>
      <c r="Z1032" s="3"/>
      <c r="AA1032" s="3"/>
      <c r="AB1032" s="3"/>
    </row>
    <row r="1033" customFormat="false" ht="15" hidden="false" customHeight="false" outlineLevel="0" collapsed="false">
      <c r="A1033" s="54"/>
      <c r="B1033" s="52"/>
      <c r="C1033" s="56"/>
      <c r="D1033" s="56"/>
      <c r="E1033" s="56"/>
      <c r="F1033" s="56"/>
      <c r="G1033" s="55"/>
      <c r="H1033" s="56"/>
      <c r="I1033" s="56"/>
      <c r="J1033" s="56"/>
      <c r="K1033" s="56"/>
      <c r="L1033" s="56"/>
      <c r="M1033" s="52"/>
      <c r="N1033" s="53"/>
      <c r="O1033" s="62" t="str">
        <f aca="false">IF($B1033="","",TEXT($A1033,"YYYY-MM-DD")&amp;"|"&amp;$B1033)</f>
        <v/>
      </c>
      <c r="P1033" s="3"/>
      <c r="Q1033" s="3"/>
      <c r="R1033" s="3"/>
      <c r="S1033" s="3"/>
      <c r="T1033" s="3"/>
      <c r="U1033" s="3"/>
      <c r="V1033" s="3"/>
      <c r="W1033" s="3"/>
      <c r="X1033" s="3"/>
      <c r="Y1033" s="3"/>
      <c r="Z1033" s="3"/>
      <c r="AA1033" s="3"/>
      <c r="AB1033" s="3"/>
    </row>
    <row r="1034" customFormat="false" ht="15" hidden="false" customHeight="false" outlineLevel="0" collapsed="false">
      <c r="A1034" s="48"/>
      <c r="B1034" s="46"/>
      <c r="C1034" s="50"/>
      <c r="D1034" s="50"/>
      <c r="E1034" s="50"/>
      <c r="F1034" s="50"/>
      <c r="G1034" s="49"/>
      <c r="H1034" s="50"/>
      <c r="I1034" s="50"/>
      <c r="J1034" s="50"/>
      <c r="K1034" s="50"/>
      <c r="L1034" s="50"/>
      <c r="M1034" s="46"/>
      <c r="N1034" s="47"/>
      <c r="O1034" s="62" t="str">
        <f aca="false">IF($B1034="","",TEXT($A1034,"YYYY-MM-DD")&amp;"|"&amp;$B1034)</f>
        <v/>
      </c>
      <c r="P1034" s="3"/>
      <c r="Q1034" s="3"/>
      <c r="R1034" s="3"/>
      <c r="S1034" s="3"/>
      <c r="T1034" s="3"/>
      <c r="U1034" s="3"/>
      <c r="V1034" s="3"/>
      <c r="W1034" s="3"/>
      <c r="X1034" s="3"/>
      <c r="Y1034" s="3"/>
      <c r="Z1034" s="3"/>
      <c r="AA1034" s="3"/>
      <c r="AB1034" s="3"/>
    </row>
    <row r="1035" customFormat="false" ht="15" hidden="false" customHeight="false" outlineLevel="0" collapsed="false">
      <c r="A1035" s="54"/>
      <c r="B1035" s="52"/>
      <c r="C1035" s="56"/>
      <c r="D1035" s="56"/>
      <c r="E1035" s="56"/>
      <c r="F1035" s="56"/>
      <c r="G1035" s="55"/>
      <c r="H1035" s="56"/>
      <c r="I1035" s="56"/>
      <c r="J1035" s="56"/>
      <c r="K1035" s="56"/>
      <c r="L1035" s="56"/>
      <c r="M1035" s="52"/>
      <c r="N1035" s="53"/>
      <c r="O1035" s="62" t="str">
        <f aca="false">IF($B1035="","",TEXT($A1035,"YYYY-MM-DD")&amp;"|"&amp;$B1035)</f>
        <v/>
      </c>
      <c r="P1035" s="3"/>
      <c r="Q1035" s="3"/>
      <c r="R1035" s="3"/>
      <c r="S1035" s="3"/>
      <c r="T1035" s="3"/>
      <c r="U1035" s="3"/>
      <c r="V1035" s="3"/>
      <c r="W1035" s="3"/>
      <c r="X1035" s="3"/>
      <c r="Y1035" s="3"/>
      <c r="Z1035" s="3"/>
      <c r="AA1035" s="3"/>
      <c r="AB1035" s="3"/>
    </row>
    <row r="1036" customFormat="false" ht="15" hidden="false" customHeight="false" outlineLevel="0" collapsed="false">
      <c r="A1036" s="48"/>
      <c r="B1036" s="46"/>
      <c r="C1036" s="50"/>
      <c r="D1036" s="50"/>
      <c r="E1036" s="50"/>
      <c r="F1036" s="50"/>
      <c r="G1036" s="49"/>
      <c r="H1036" s="50"/>
      <c r="I1036" s="50"/>
      <c r="J1036" s="50"/>
      <c r="K1036" s="50"/>
      <c r="L1036" s="50"/>
      <c r="M1036" s="46"/>
      <c r="N1036" s="47"/>
      <c r="O1036" s="62" t="str">
        <f aca="false">IF($B1036="","",TEXT($A1036,"YYYY-MM-DD")&amp;"|"&amp;$B1036)</f>
        <v/>
      </c>
      <c r="P1036" s="3"/>
      <c r="Q1036" s="3"/>
      <c r="R1036" s="3"/>
      <c r="S1036" s="3"/>
      <c r="T1036" s="3"/>
      <c r="U1036" s="3"/>
      <c r="V1036" s="3"/>
      <c r="W1036" s="3"/>
      <c r="X1036" s="3"/>
      <c r="Y1036" s="3"/>
      <c r="Z1036" s="3"/>
      <c r="AA1036" s="3"/>
      <c r="AB1036" s="3"/>
    </row>
    <row r="1037" customFormat="false" ht="15" hidden="false" customHeight="false" outlineLevel="0" collapsed="false">
      <c r="A1037" s="54"/>
      <c r="B1037" s="52"/>
      <c r="C1037" s="56"/>
      <c r="D1037" s="56"/>
      <c r="E1037" s="56"/>
      <c r="F1037" s="56"/>
      <c r="G1037" s="55"/>
      <c r="H1037" s="56"/>
      <c r="I1037" s="56"/>
      <c r="J1037" s="56"/>
      <c r="K1037" s="56"/>
      <c r="L1037" s="56"/>
      <c r="M1037" s="52"/>
      <c r="N1037" s="53"/>
      <c r="O1037" s="62" t="str">
        <f aca="false">IF($B1037="","",TEXT($A1037,"YYYY-MM-DD")&amp;"|"&amp;$B1037)</f>
        <v/>
      </c>
      <c r="P1037" s="3"/>
      <c r="Q1037" s="3"/>
      <c r="R1037" s="3"/>
      <c r="S1037" s="3"/>
      <c r="T1037" s="3"/>
      <c r="U1037" s="3"/>
      <c r="V1037" s="3"/>
      <c r="W1037" s="3"/>
      <c r="X1037" s="3"/>
      <c r="Y1037" s="3"/>
      <c r="Z1037" s="3"/>
      <c r="AA1037" s="3"/>
      <c r="AB1037" s="3"/>
    </row>
    <row r="1038" customFormat="false" ht="15" hidden="false" customHeight="false" outlineLevel="0" collapsed="false">
      <c r="A1038" s="48"/>
      <c r="B1038" s="46"/>
      <c r="C1038" s="50"/>
      <c r="D1038" s="50"/>
      <c r="E1038" s="50"/>
      <c r="F1038" s="50"/>
      <c r="G1038" s="49"/>
      <c r="H1038" s="50"/>
      <c r="I1038" s="50"/>
      <c r="J1038" s="50"/>
      <c r="K1038" s="50"/>
      <c r="L1038" s="50"/>
      <c r="M1038" s="46"/>
      <c r="N1038" s="47"/>
      <c r="O1038" s="62" t="str">
        <f aca="false">IF($B1038="","",TEXT($A1038,"YYYY-MM-DD")&amp;"|"&amp;$B1038)</f>
        <v/>
      </c>
      <c r="P1038" s="3"/>
      <c r="Q1038" s="3"/>
      <c r="R1038" s="3"/>
      <c r="S1038" s="3"/>
      <c r="T1038" s="3"/>
      <c r="U1038" s="3"/>
      <c r="V1038" s="3"/>
      <c r="W1038" s="3"/>
      <c r="X1038" s="3"/>
      <c r="Y1038" s="3"/>
      <c r="Z1038" s="3"/>
      <c r="AA1038" s="3"/>
      <c r="AB1038" s="3"/>
    </row>
    <row r="1039" customFormat="false" ht="15" hidden="false" customHeight="false" outlineLevel="0" collapsed="false">
      <c r="A1039" s="54"/>
      <c r="B1039" s="52"/>
      <c r="C1039" s="56"/>
      <c r="D1039" s="56"/>
      <c r="E1039" s="56"/>
      <c r="F1039" s="56"/>
      <c r="G1039" s="55"/>
      <c r="H1039" s="56"/>
      <c r="I1039" s="56"/>
      <c r="J1039" s="56"/>
      <c r="K1039" s="56"/>
      <c r="L1039" s="56"/>
      <c r="M1039" s="52"/>
      <c r="N1039" s="53"/>
      <c r="O1039" s="62" t="str">
        <f aca="false">IF($B1039="","",TEXT($A1039,"YYYY-MM-DD")&amp;"|"&amp;$B1039)</f>
        <v/>
      </c>
      <c r="P1039" s="3"/>
      <c r="Q1039" s="3"/>
      <c r="R1039" s="3"/>
      <c r="S1039" s="3"/>
      <c r="T1039" s="3"/>
      <c r="U1039" s="3"/>
      <c r="V1039" s="3"/>
      <c r="W1039" s="3"/>
      <c r="X1039" s="3"/>
      <c r="Y1039" s="3"/>
      <c r="Z1039" s="3"/>
      <c r="AA1039" s="3"/>
      <c r="AB1039" s="3"/>
    </row>
    <row r="1040" customFormat="false" ht="15" hidden="false" customHeight="false" outlineLevel="0" collapsed="false">
      <c r="A1040" s="48"/>
      <c r="B1040" s="46"/>
      <c r="C1040" s="50"/>
      <c r="D1040" s="50"/>
      <c r="E1040" s="50"/>
      <c r="F1040" s="50"/>
      <c r="G1040" s="49"/>
      <c r="H1040" s="50"/>
      <c r="I1040" s="50"/>
      <c r="J1040" s="50"/>
      <c r="K1040" s="50"/>
      <c r="L1040" s="50"/>
      <c r="M1040" s="46"/>
      <c r="N1040" s="47"/>
      <c r="O1040" s="62" t="str">
        <f aca="false">IF($B1040="","",TEXT($A1040,"YYYY-MM-DD")&amp;"|"&amp;$B1040)</f>
        <v/>
      </c>
      <c r="P1040" s="3"/>
      <c r="Q1040" s="3"/>
      <c r="R1040" s="3"/>
      <c r="S1040" s="3"/>
      <c r="T1040" s="3"/>
      <c r="U1040" s="3"/>
      <c r="V1040" s="3"/>
      <c r="W1040" s="3"/>
      <c r="X1040" s="3"/>
      <c r="Y1040" s="3"/>
      <c r="Z1040" s="3"/>
      <c r="AA1040" s="3"/>
      <c r="AB1040" s="3"/>
    </row>
    <row r="1041" customFormat="false" ht="15" hidden="false" customHeight="false" outlineLevel="0" collapsed="false">
      <c r="A1041" s="54"/>
      <c r="B1041" s="52"/>
      <c r="C1041" s="56"/>
      <c r="D1041" s="56"/>
      <c r="E1041" s="56"/>
      <c r="F1041" s="56"/>
      <c r="G1041" s="55"/>
      <c r="H1041" s="56"/>
      <c r="I1041" s="56"/>
      <c r="J1041" s="56"/>
      <c r="K1041" s="56"/>
      <c r="L1041" s="56"/>
      <c r="M1041" s="52"/>
      <c r="N1041" s="53"/>
      <c r="O1041" s="62" t="str">
        <f aca="false">IF($B1041="","",TEXT($A1041,"YYYY-MM-DD")&amp;"|"&amp;$B1041)</f>
        <v/>
      </c>
      <c r="P1041" s="3"/>
      <c r="Q1041" s="3"/>
      <c r="R1041" s="3"/>
      <c r="S1041" s="3"/>
      <c r="T1041" s="3"/>
      <c r="U1041" s="3"/>
      <c r="V1041" s="3"/>
      <c r="W1041" s="3"/>
      <c r="X1041" s="3"/>
      <c r="Y1041" s="3"/>
      <c r="Z1041" s="3"/>
      <c r="AA1041" s="3"/>
      <c r="AB1041" s="3"/>
    </row>
    <row r="1042" customFormat="false" ht="15" hidden="false" customHeight="false" outlineLevel="0" collapsed="false">
      <c r="A1042" s="48"/>
      <c r="B1042" s="46"/>
      <c r="C1042" s="50"/>
      <c r="D1042" s="50"/>
      <c r="E1042" s="50"/>
      <c r="F1042" s="50"/>
      <c r="G1042" s="49"/>
      <c r="H1042" s="50"/>
      <c r="I1042" s="50"/>
      <c r="J1042" s="50"/>
      <c r="K1042" s="50"/>
      <c r="L1042" s="50"/>
      <c r="M1042" s="46"/>
      <c r="N1042" s="47"/>
      <c r="O1042" s="62" t="str">
        <f aca="false">IF($B1042="","",TEXT($A1042,"YYYY-MM-DD")&amp;"|"&amp;$B1042)</f>
        <v/>
      </c>
      <c r="P1042" s="3"/>
      <c r="Q1042" s="3"/>
      <c r="R1042" s="3"/>
      <c r="S1042" s="3"/>
      <c r="T1042" s="3"/>
      <c r="U1042" s="3"/>
      <c r="V1042" s="3"/>
      <c r="W1042" s="3"/>
      <c r="X1042" s="3"/>
      <c r="Y1042" s="3"/>
      <c r="Z1042" s="3"/>
      <c r="AA1042" s="3"/>
      <c r="AB1042" s="3"/>
    </row>
    <row r="1043" customFormat="false" ht="15" hidden="false" customHeight="false" outlineLevel="0" collapsed="false">
      <c r="A1043" s="54"/>
      <c r="B1043" s="52"/>
      <c r="C1043" s="56"/>
      <c r="D1043" s="56"/>
      <c r="E1043" s="56"/>
      <c r="F1043" s="56"/>
      <c r="G1043" s="55"/>
      <c r="H1043" s="56"/>
      <c r="I1043" s="56"/>
      <c r="J1043" s="56"/>
      <c r="K1043" s="56"/>
      <c r="L1043" s="56"/>
      <c r="M1043" s="52"/>
      <c r="N1043" s="53"/>
      <c r="O1043" s="62" t="str">
        <f aca="false">IF($B1043="","",TEXT($A1043,"YYYY-MM-DD")&amp;"|"&amp;$B1043)</f>
        <v/>
      </c>
      <c r="P1043" s="3"/>
      <c r="Q1043" s="3"/>
      <c r="R1043" s="3"/>
      <c r="S1043" s="3"/>
      <c r="T1043" s="3"/>
      <c r="U1043" s="3"/>
      <c r="V1043" s="3"/>
      <c r="W1043" s="3"/>
      <c r="X1043" s="3"/>
      <c r="Y1043" s="3"/>
      <c r="Z1043" s="3"/>
      <c r="AA1043" s="3"/>
      <c r="AB1043" s="3"/>
    </row>
    <row r="1044" customFormat="false" ht="15" hidden="false" customHeight="false" outlineLevel="0" collapsed="false">
      <c r="A1044" s="48"/>
      <c r="B1044" s="46"/>
      <c r="C1044" s="50"/>
      <c r="D1044" s="50"/>
      <c r="E1044" s="50"/>
      <c r="F1044" s="50"/>
      <c r="G1044" s="49"/>
      <c r="H1044" s="50"/>
      <c r="I1044" s="50"/>
      <c r="J1044" s="50"/>
      <c r="K1044" s="50"/>
      <c r="L1044" s="50"/>
      <c r="M1044" s="46"/>
      <c r="N1044" s="47"/>
      <c r="O1044" s="62" t="str">
        <f aca="false">IF($B1044="","",TEXT($A1044,"YYYY-MM-DD")&amp;"|"&amp;$B1044)</f>
        <v/>
      </c>
      <c r="P1044" s="3"/>
      <c r="Q1044" s="3"/>
      <c r="R1044" s="3"/>
      <c r="S1044" s="3"/>
      <c r="T1044" s="3"/>
      <c r="U1044" s="3"/>
      <c r="V1044" s="3"/>
      <c r="W1044" s="3"/>
      <c r="X1044" s="3"/>
      <c r="Y1044" s="3"/>
      <c r="Z1044" s="3"/>
      <c r="AA1044" s="3"/>
      <c r="AB1044" s="3"/>
    </row>
    <row r="1045" customFormat="false" ht="15" hidden="false" customHeight="false" outlineLevel="0" collapsed="false">
      <c r="A1045" s="54"/>
      <c r="B1045" s="52"/>
      <c r="C1045" s="56"/>
      <c r="D1045" s="56"/>
      <c r="E1045" s="56"/>
      <c r="F1045" s="56"/>
      <c r="G1045" s="55"/>
      <c r="H1045" s="56"/>
      <c r="I1045" s="56"/>
      <c r="J1045" s="56"/>
      <c r="K1045" s="56"/>
      <c r="L1045" s="56"/>
      <c r="M1045" s="52"/>
      <c r="N1045" s="53"/>
      <c r="O1045" s="62" t="str">
        <f aca="false">IF($B1045="","",TEXT($A1045,"YYYY-MM-DD")&amp;"|"&amp;$B1045)</f>
        <v/>
      </c>
      <c r="P1045" s="3"/>
      <c r="Q1045" s="3"/>
      <c r="R1045" s="3"/>
      <c r="S1045" s="3"/>
      <c r="T1045" s="3"/>
      <c r="U1045" s="3"/>
      <c r="V1045" s="3"/>
      <c r="W1045" s="3"/>
      <c r="X1045" s="3"/>
      <c r="Y1045" s="3"/>
      <c r="Z1045" s="3"/>
      <c r="AA1045" s="3"/>
      <c r="AB1045" s="3"/>
    </row>
    <row r="1046" customFormat="false" ht="15" hidden="false" customHeight="false" outlineLevel="0" collapsed="false">
      <c r="A1046" s="48"/>
      <c r="B1046" s="46"/>
      <c r="C1046" s="50"/>
      <c r="D1046" s="50"/>
      <c r="E1046" s="50"/>
      <c r="F1046" s="50"/>
      <c r="G1046" s="49"/>
      <c r="H1046" s="50"/>
      <c r="I1046" s="50"/>
      <c r="J1046" s="50"/>
      <c r="K1046" s="50"/>
      <c r="L1046" s="50"/>
      <c r="M1046" s="46"/>
      <c r="N1046" s="47"/>
      <c r="O1046" s="62" t="str">
        <f aca="false">IF($B1046="","",TEXT($A1046,"YYYY-MM-DD")&amp;"|"&amp;$B1046)</f>
        <v/>
      </c>
      <c r="P1046" s="3"/>
      <c r="Q1046" s="3"/>
      <c r="R1046" s="3"/>
      <c r="S1046" s="3"/>
      <c r="T1046" s="3"/>
      <c r="U1046" s="3"/>
      <c r="V1046" s="3"/>
      <c r="W1046" s="3"/>
      <c r="X1046" s="3"/>
      <c r="Y1046" s="3"/>
      <c r="Z1046" s="3"/>
      <c r="AA1046" s="3"/>
      <c r="AB1046" s="3"/>
    </row>
    <row r="1047" customFormat="false" ht="15" hidden="false" customHeight="false" outlineLevel="0" collapsed="false">
      <c r="A1047" s="54"/>
      <c r="B1047" s="52"/>
      <c r="C1047" s="56"/>
      <c r="D1047" s="56"/>
      <c r="E1047" s="56"/>
      <c r="F1047" s="56"/>
      <c r="G1047" s="55"/>
      <c r="H1047" s="56"/>
      <c r="I1047" s="56"/>
      <c r="J1047" s="56"/>
      <c r="K1047" s="56"/>
      <c r="L1047" s="56"/>
      <c r="M1047" s="52"/>
      <c r="N1047" s="53"/>
      <c r="O1047" s="62" t="str">
        <f aca="false">IF($B1047="","",TEXT($A1047,"YYYY-MM-DD")&amp;"|"&amp;$B1047)</f>
        <v/>
      </c>
      <c r="P1047" s="3"/>
      <c r="Q1047" s="3"/>
      <c r="R1047" s="3"/>
      <c r="S1047" s="3"/>
      <c r="T1047" s="3"/>
      <c r="U1047" s="3"/>
      <c r="V1047" s="3"/>
      <c r="W1047" s="3"/>
      <c r="X1047" s="3"/>
      <c r="Y1047" s="3"/>
      <c r="Z1047" s="3"/>
      <c r="AA1047" s="3"/>
      <c r="AB1047" s="3"/>
    </row>
    <row r="1048" customFormat="false" ht="15" hidden="false" customHeight="false" outlineLevel="0" collapsed="false">
      <c r="A1048" s="48"/>
      <c r="B1048" s="46"/>
      <c r="C1048" s="50"/>
      <c r="D1048" s="50"/>
      <c r="E1048" s="50"/>
      <c r="F1048" s="50"/>
      <c r="G1048" s="49"/>
      <c r="H1048" s="50"/>
      <c r="I1048" s="50"/>
      <c r="J1048" s="50"/>
      <c r="K1048" s="50"/>
      <c r="L1048" s="50"/>
      <c r="M1048" s="46"/>
      <c r="N1048" s="47"/>
      <c r="O1048" s="62" t="str">
        <f aca="false">IF($B1048="","",TEXT($A1048,"YYYY-MM-DD")&amp;"|"&amp;$B1048)</f>
        <v/>
      </c>
      <c r="P1048" s="3"/>
      <c r="Q1048" s="3"/>
      <c r="R1048" s="3"/>
      <c r="S1048" s="3"/>
      <c r="T1048" s="3"/>
      <c r="U1048" s="3"/>
      <c r="V1048" s="3"/>
      <c r="W1048" s="3"/>
      <c r="X1048" s="3"/>
      <c r="Y1048" s="3"/>
      <c r="Z1048" s="3"/>
      <c r="AA1048" s="3"/>
      <c r="AB1048" s="3"/>
    </row>
    <row r="1049" customFormat="false" ht="15" hidden="false" customHeight="false" outlineLevel="0" collapsed="false">
      <c r="A1049" s="54"/>
      <c r="B1049" s="52"/>
      <c r="C1049" s="56"/>
      <c r="D1049" s="56"/>
      <c r="E1049" s="56"/>
      <c r="F1049" s="56"/>
      <c r="G1049" s="55"/>
      <c r="H1049" s="56"/>
      <c r="I1049" s="56"/>
      <c r="J1049" s="56"/>
      <c r="K1049" s="56"/>
      <c r="L1049" s="56"/>
      <c r="M1049" s="52"/>
      <c r="N1049" s="53"/>
      <c r="O1049" s="62" t="str">
        <f aca="false">IF($B1049="","",TEXT($A1049,"YYYY-MM-DD")&amp;"|"&amp;$B1049)</f>
        <v/>
      </c>
      <c r="P1049" s="3"/>
      <c r="Q1049" s="3"/>
      <c r="R1049" s="3"/>
      <c r="S1049" s="3"/>
      <c r="T1049" s="3"/>
      <c r="U1049" s="3"/>
      <c r="V1049" s="3"/>
      <c r="W1049" s="3"/>
      <c r="X1049" s="3"/>
      <c r="Y1049" s="3"/>
      <c r="Z1049" s="3"/>
      <c r="AA1049" s="3"/>
      <c r="AB1049" s="3"/>
    </row>
    <row r="1050" customFormat="false" ht="15" hidden="false" customHeight="false" outlineLevel="0" collapsed="false">
      <c r="A1050" s="48"/>
      <c r="B1050" s="46"/>
      <c r="C1050" s="50"/>
      <c r="D1050" s="50"/>
      <c r="E1050" s="50"/>
      <c r="F1050" s="50"/>
      <c r="G1050" s="49"/>
      <c r="H1050" s="50"/>
      <c r="I1050" s="50"/>
      <c r="J1050" s="50"/>
      <c r="K1050" s="50"/>
      <c r="L1050" s="50"/>
      <c r="M1050" s="46"/>
      <c r="N1050" s="47"/>
      <c r="O1050" s="62" t="str">
        <f aca="false">IF($B1050="","",TEXT($A1050,"YYYY-MM-DD")&amp;"|"&amp;$B1050)</f>
        <v/>
      </c>
      <c r="P1050" s="3"/>
      <c r="Q1050" s="3"/>
      <c r="R1050" s="3"/>
      <c r="S1050" s="3"/>
      <c r="T1050" s="3"/>
      <c r="U1050" s="3"/>
      <c r="V1050" s="3"/>
      <c r="W1050" s="3"/>
      <c r="X1050" s="3"/>
      <c r="Y1050" s="3"/>
      <c r="Z1050" s="3"/>
      <c r="AA1050" s="3"/>
      <c r="AB1050" s="3"/>
    </row>
    <row r="1051" customFormat="false" ht="15" hidden="false" customHeight="false" outlineLevel="0" collapsed="false">
      <c r="A1051" s="54"/>
      <c r="B1051" s="52"/>
      <c r="C1051" s="56"/>
      <c r="D1051" s="56"/>
      <c r="E1051" s="56"/>
      <c r="F1051" s="56"/>
      <c r="G1051" s="55"/>
      <c r="H1051" s="56"/>
      <c r="I1051" s="56"/>
      <c r="J1051" s="56"/>
      <c r="K1051" s="56"/>
      <c r="L1051" s="56"/>
      <c r="M1051" s="52"/>
      <c r="N1051" s="53"/>
      <c r="O1051" s="62" t="str">
        <f aca="false">IF($B1051="","",TEXT($A1051,"YYYY-MM-DD")&amp;"|"&amp;$B1051)</f>
        <v/>
      </c>
      <c r="P1051" s="3"/>
      <c r="Q1051" s="3"/>
      <c r="R1051" s="3"/>
      <c r="S1051" s="3"/>
      <c r="T1051" s="3"/>
      <c r="U1051" s="3"/>
      <c r="V1051" s="3"/>
      <c r="W1051" s="3"/>
      <c r="X1051" s="3"/>
      <c r="Y1051" s="3"/>
      <c r="Z1051" s="3"/>
      <c r="AA1051" s="3"/>
      <c r="AB1051" s="3"/>
    </row>
    <row r="1052" customFormat="false" ht="15" hidden="false" customHeight="false" outlineLevel="0" collapsed="false">
      <c r="A1052" s="48"/>
      <c r="B1052" s="46"/>
      <c r="C1052" s="50"/>
      <c r="D1052" s="50"/>
      <c r="E1052" s="50"/>
      <c r="F1052" s="50"/>
      <c r="G1052" s="49"/>
      <c r="H1052" s="50"/>
      <c r="I1052" s="50"/>
      <c r="J1052" s="50"/>
      <c r="K1052" s="50"/>
      <c r="L1052" s="50"/>
      <c r="M1052" s="46"/>
      <c r="N1052" s="47"/>
      <c r="O1052" s="62" t="str">
        <f aca="false">IF($B1052="","",TEXT($A1052,"YYYY-MM-DD")&amp;"|"&amp;$B1052)</f>
        <v/>
      </c>
      <c r="P1052" s="3"/>
      <c r="Q1052" s="3"/>
      <c r="R1052" s="3"/>
      <c r="S1052" s="3"/>
      <c r="T1052" s="3"/>
      <c r="U1052" s="3"/>
      <c r="V1052" s="3"/>
      <c r="W1052" s="3"/>
      <c r="X1052" s="3"/>
      <c r="Y1052" s="3"/>
      <c r="Z1052" s="3"/>
      <c r="AA1052" s="3"/>
      <c r="AB1052" s="3"/>
    </row>
    <row r="1053" customFormat="false" ht="15" hidden="false" customHeight="false" outlineLevel="0" collapsed="false">
      <c r="A1053" s="54"/>
      <c r="B1053" s="52"/>
      <c r="C1053" s="56"/>
      <c r="D1053" s="56"/>
      <c r="E1053" s="56"/>
      <c r="F1053" s="56"/>
      <c r="G1053" s="55"/>
      <c r="H1053" s="56"/>
      <c r="I1053" s="56"/>
      <c r="J1053" s="56"/>
      <c r="K1053" s="56"/>
      <c r="L1053" s="56"/>
      <c r="M1053" s="52"/>
      <c r="N1053" s="53"/>
      <c r="O1053" s="62" t="str">
        <f aca="false">IF($B1053="","",TEXT($A1053,"YYYY-MM-DD")&amp;"|"&amp;$B1053)</f>
        <v/>
      </c>
      <c r="P1053" s="3"/>
      <c r="Q1053" s="3"/>
      <c r="R1053" s="3"/>
      <c r="S1053" s="3"/>
      <c r="T1053" s="3"/>
      <c r="U1053" s="3"/>
      <c r="V1053" s="3"/>
      <c r="W1053" s="3"/>
      <c r="X1053" s="3"/>
      <c r="Y1053" s="3"/>
      <c r="Z1053" s="3"/>
      <c r="AA1053" s="3"/>
      <c r="AB1053" s="3"/>
    </row>
    <row r="1054" customFormat="false" ht="15" hidden="false" customHeight="false" outlineLevel="0" collapsed="false">
      <c r="A1054" s="48"/>
      <c r="B1054" s="46"/>
      <c r="C1054" s="50"/>
      <c r="D1054" s="50"/>
      <c r="E1054" s="50"/>
      <c r="F1054" s="50"/>
      <c r="G1054" s="49"/>
      <c r="H1054" s="50"/>
      <c r="I1054" s="50"/>
      <c r="J1054" s="50"/>
      <c r="K1054" s="50"/>
      <c r="L1054" s="50"/>
      <c r="M1054" s="46"/>
      <c r="N1054" s="47"/>
      <c r="O1054" s="62" t="str">
        <f aca="false">IF($B1054="","",TEXT($A1054,"YYYY-MM-DD")&amp;"|"&amp;$B1054)</f>
        <v/>
      </c>
      <c r="P1054" s="3"/>
      <c r="Q1054" s="3"/>
      <c r="R1054" s="3"/>
      <c r="S1054" s="3"/>
      <c r="T1054" s="3"/>
      <c r="U1054" s="3"/>
      <c r="V1054" s="3"/>
      <c r="W1054" s="3"/>
      <c r="X1054" s="3"/>
      <c r="Y1054" s="3"/>
      <c r="Z1054" s="3"/>
      <c r="AA1054" s="3"/>
      <c r="AB1054" s="3"/>
    </row>
    <row r="1055" customFormat="false" ht="15" hidden="false" customHeight="false" outlineLevel="0" collapsed="false">
      <c r="A1055" s="54"/>
      <c r="B1055" s="52"/>
      <c r="C1055" s="56"/>
      <c r="D1055" s="56"/>
      <c r="E1055" s="56"/>
      <c r="F1055" s="56"/>
      <c r="G1055" s="55"/>
      <c r="H1055" s="56"/>
      <c r="I1055" s="56"/>
      <c r="J1055" s="56"/>
      <c r="K1055" s="56"/>
      <c r="L1055" s="56"/>
      <c r="M1055" s="52"/>
      <c r="N1055" s="53"/>
      <c r="O1055" s="62" t="str">
        <f aca="false">IF($B1055="","",TEXT($A1055,"YYYY-MM-DD")&amp;"|"&amp;$B1055)</f>
        <v/>
      </c>
      <c r="P1055" s="3"/>
      <c r="Q1055" s="3"/>
      <c r="R1055" s="3"/>
      <c r="S1055" s="3"/>
      <c r="T1055" s="3"/>
      <c r="U1055" s="3"/>
      <c r="V1055" s="3"/>
      <c r="W1055" s="3"/>
      <c r="X1055" s="3"/>
      <c r="Y1055" s="3"/>
      <c r="Z1055" s="3"/>
      <c r="AA1055" s="3"/>
      <c r="AB1055" s="3"/>
    </row>
    <row r="1056" customFormat="false" ht="15" hidden="false" customHeight="false" outlineLevel="0" collapsed="false">
      <c r="A1056" s="48"/>
      <c r="B1056" s="46"/>
      <c r="C1056" s="50"/>
      <c r="D1056" s="50"/>
      <c r="E1056" s="50"/>
      <c r="F1056" s="50"/>
      <c r="G1056" s="49"/>
      <c r="H1056" s="50"/>
      <c r="I1056" s="50"/>
      <c r="J1056" s="50"/>
      <c r="K1056" s="50"/>
      <c r="L1056" s="50"/>
      <c r="M1056" s="46"/>
      <c r="N1056" s="47"/>
      <c r="O1056" s="62" t="str">
        <f aca="false">IF($B1056="","",TEXT($A1056,"YYYY-MM-DD")&amp;"|"&amp;$B1056)</f>
        <v/>
      </c>
      <c r="P1056" s="3"/>
      <c r="Q1056" s="3"/>
      <c r="R1056" s="3"/>
      <c r="S1056" s="3"/>
      <c r="T1056" s="3"/>
      <c r="U1056" s="3"/>
      <c r="V1056" s="3"/>
      <c r="W1056" s="3"/>
      <c r="X1056" s="3"/>
      <c r="Y1056" s="3"/>
      <c r="Z1056" s="3"/>
      <c r="AA1056" s="3"/>
      <c r="AB1056" s="3"/>
    </row>
    <row r="1057" customFormat="false" ht="15" hidden="false" customHeight="false" outlineLevel="0" collapsed="false">
      <c r="A1057" s="54"/>
      <c r="B1057" s="52"/>
      <c r="C1057" s="56"/>
      <c r="D1057" s="56"/>
      <c r="E1057" s="56"/>
      <c r="F1057" s="56"/>
      <c r="G1057" s="55"/>
      <c r="H1057" s="56"/>
      <c r="I1057" s="56"/>
      <c r="J1057" s="56"/>
      <c r="K1057" s="56"/>
      <c r="L1057" s="56"/>
      <c r="M1057" s="52"/>
      <c r="N1057" s="53"/>
      <c r="O1057" s="62" t="str">
        <f aca="false">IF($B1057="","",TEXT($A1057,"YYYY-MM-DD")&amp;"|"&amp;$B1057)</f>
        <v/>
      </c>
      <c r="P1057" s="3"/>
      <c r="Q1057" s="3"/>
      <c r="R1057" s="3"/>
      <c r="S1057" s="3"/>
      <c r="T1057" s="3"/>
      <c r="U1057" s="3"/>
      <c r="V1057" s="3"/>
      <c r="W1057" s="3"/>
      <c r="X1057" s="3"/>
      <c r="Y1057" s="3"/>
      <c r="Z1057" s="3"/>
      <c r="AA1057" s="3"/>
      <c r="AB1057" s="3"/>
    </row>
    <row r="1058" customFormat="false" ht="15" hidden="false" customHeight="false" outlineLevel="0" collapsed="false">
      <c r="A1058" s="48"/>
      <c r="B1058" s="46"/>
      <c r="C1058" s="50"/>
      <c r="D1058" s="50"/>
      <c r="E1058" s="50"/>
      <c r="F1058" s="50"/>
      <c r="G1058" s="49"/>
      <c r="H1058" s="50"/>
      <c r="I1058" s="50"/>
      <c r="J1058" s="50"/>
      <c r="K1058" s="50"/>
      <c r="L1058" s="50"/>
      <c r="M1058" s="46"/>
      <c r="N1058" s="47"/>
      <c r="O1058" s="62" t="str">
        <f aca="false">IF($B1058="","",TEXT($A1058,"YYYY-MM-DD")&amp;"|"&amp;$B1058)</f>
        <v/>
      </c>
      <c r="P1058" s="3"/>
      <c r="Q1058" s="3"/>
      <c r="R1058" s="3"/>
      <c r="S1058" s="3"/>
      <c r="T1058" s="3"/>
      <c r="U1058" s="3"/>
      <c r="V1058" s="3"/>
      <c r="W1058" s="3"/>
      <c r="X1058" s="3"/>
      <c r="Y1058" s="3"/>
      <c r="Z1058" s="3"/>
      <c r="AA1058" s="3"/>
      <c r="AB1058" s="3"/>
    </row>
    <row r="1059" customFormat="false" ht="15" hidden="false" customHeight="false" outlineLevel="0" collapsed="false">
      <c r="A1059" s="54"/>
      <c r="B1059" s="52"/>
      <c r="C1059" s="56"/>
      <c r="D1059" s="56"/>
      <c r="E1059" s="56"/>
      <c r="F1059" s="56"/>
      <c r="G1059" s="55"/>
      <c r="H1059" s="56"/>
      <c r="I1059" s="56"/>
      <c r="J1059" s="56"/>
      <c r="K1059" s="56"/>
      <c r="L1059" s="56"/>
      <c r="M1059" s="52"/>
      <c r="N1059" s="53"/>
      <c r="O1059" s="62" t="str">
        <f aca="false">IF($B1059="","",TEXT($A1059,"YYYY-MM-DD")&amp;"|"&amp;$B1059)</f>
        <v/>
      </c>
      <c r="P1059" s="3"/>
      <c r="Q1059" s="3"/>
      <c r="R1059" s="3"/>
      <c r="S1059" s="3"/>
      <c r="T1059" s="3"/>
      <c r="U1059" s="3"/>
      <c r="V1059" s="3"/>
      <c r="W1059" s="3"/>
      <c r="X1059" s="3"/>
      <c r="Y1059" s="3"/>
      <c r="Z1059" s="3"/>
      <c r="AA1059" s="3"/>
      <c r="AB1059" s="3"/>
    </row>
    <row r="1060" customFormat="false" ht="15" hidden="false" customHeight="false" outlineLevel="0" collapsed="false">
      <c r="A1060" s="48"/>
      <c r="B1060" s="46"/>
      <c r="C1060" s="50"/>
      <c r="D1060" s="50"/>
      <c r="E1060" s="50"/>
      <c r="F1060" s="50"/>
      <c r="G1060" s="49"/>
      <c r="H1060" s="50"/>
      <c r="I1060" s="50"/>
      <c r="J1060" s="50"/>
      <c r="K1060" s="50"/>
      <c r="L1060" s="50"/>
      <c r="M1060" s="46"/>
      <c r="N1060" s="47"/>
      <c r="O1060" s="62" t="str">
        <f aca="false">IF($B1060="","",TEXT($A1060,"YYYY-MM-DD")&amp;"|"&amp;$B1060)</f>
        <v/>
      </c>
      <c r="P1060" s="3"/>
      <c r="Q1060" s="3"/>
      <c r="R1060" s="3"/>
      <c r="S1060" s="3"/>
      <c r="T1060" s="3"/>
      <c r="U1060" s="3"/>
      <c r="V1060" s="3"/>
      <c r="W1060" s="3"/>
      <c r="X1060" s="3"/>
      <c r="Y1060" s="3"/>
      <c r="Z1060" s="3"/>
      <c r="AA1060" s="3"/>
      <c r="AB1060" s="3"/>
    </row>
    <row r="1061" customFormat="false" ht="15" hidden="false" customHeight="false" outlineLevel="0" collapsed="false">
      <c r="A1061" s="54"/>
      <c r="B1061" s="52"/>
      <c r="C1061" s="56"/>
      <c r="D1061" s="56"/>
      <c r="E1061" s="56"/>
      <c r="F1061" s="56"/>
      <c r="G1061" s="55"/>
      <c r="H1061" s="56"/>
      <c r="I1061" s="56"/>
      <c r="J1061" s="56"/>
      <c r="K1061" s="56"/>
      <c r="L1061" s="56"/>
      <c r="M1061" s="52"/>
      <c r="N1061" s="53"/>
      <c r="O1061" s="62" t="str">
        <f aca="false">IF($B1061="","",TEXT($A1061,"YYYY-MM-DD")&amp;"|"&amp;$B1061)</f>
        <v/>
      </c>
      <c r="P1061" s="3"/>
      <c r="Q1061" s="3"/>
      <c r="R1061" s="3"/>
      <c r="S1061" s="3"/>
      <c r="T1061" s="3"/>
      <c r="U1061" s="3"/>
      <c r="V1061" s="3"/>
      <c r="W1061" s="3"/>
      <c r="X1061" s="3"/>
      <c r="Y1061" s="3"/>
      <c r="Z1061" s="3"/>
      <c r="AA1061" s="3"/>
      <c r="AB1061" s="3"/>
    </row>
    <row r="1062" customFormat="false" ht="15" hidden="false" customHeight="false" outlineLevel="0" collapsed="false">
      <c r="A1062" s="48"/>
      <c r="B1062" s="46"/>
      <c r="C1062" s="50"/>
      <c r="D1062" s="50"/>
      <c r="E1062" s="50"/>
      <c r="F1062" s="50"/>
      <c r="G1062" s="49"/>
      <c r="H1062" s="50"/>
      <c r="I1062" s="50"/>
      <c r="J1062" s="50"/>
      <c r="K1062" s="50"/>
      <c r="L1062" s="50"/>
      <c r="M1062" s="46"/>
      <c r="N1062" s="47"/>
      <c r="O1062" s="62" t="str">
        <f aca="false">IF($B1062="","",TEXT($A1062,"YYYY-MM-DD")&amp;"|"&amp;$B1062)</f>
        <v/>
      </c>
      <c r="P1062" s="3"/>
      <c r="Q1062" s="3"/>
      <c r="R1062" s="3"/>
      <c r="S1062" s="3"/>
      <c r="T1062" s="3"/>
      <c r="U1062" s="3"/>
      <c r="V1062" s="3"/>
      <c r="W1062" s="3"/>
      <c r="X1062" s="3"/>
      <c r="Y1062" s="3"/>
      <c r="Z1062" s="3"/>
      <c r="AA1062" s="3"/>
      <c r="AB1062" s="3"/>
    </row>
    <row r="1063" customFormat="false" ht="15" hidden="false" customHeight="false" outlineLevel="0" collapsed="false">
      <c r="A1063" s="54"/>
      <c r="B1063" s="52"/>
      <c r="C1063" s="56"/>
      <c r="D1063" s="56"/>
      <c r="E1063" s="56"/>
      <c r="F1063" s="56"/>
      <c r="G1063" s="55"/>
      <c r="H1063" s="56"/>
      <c r="I1063" s="56"/>
      <c r="J1063" s="56"/>
      <c r="K1063" s="56"/>
      <c r="L1063" s="56"/>
      <c r="M1063" s="52"/>
      <c r="N1063" s="53"/>
      <c r="O1063" s="62" t="str">
        <f aca="false">IF($B1063="","",TEXT($A1063,"YYYY-MM-DD")&amp;"|"&amp;$B1063)</f>
        <v/>
      </c>
      <c r="P1063" s="3"/>
      <c r="Q1063" s="3"/>
      <c r="R1063" s="3"/>
      <c r="S1063" s="3"/>
      <c r="T1063" s="3"/>
      <c r="U1063" s="3"/>
      <c r="V1063" s="3"/>
      <c r="W1063" s="3"/>
      <c r="X1063" s="3"/>
      <c r="Y1063" s="3"/>
      <c r="Z1063" s="3"/>
      <c r="AA1063" s="3"/>
      <c r="AB1063" s="3"/>
    </row>
    <row r="1064" customFormat="false" ht="15" hidden="false" customHeight="false" outlineLevel="0" collapsed="false">
      <c r="A1064" s="48"/>
      <c r="B1064" s="46"/>
      <c r="C1064" s="50"/>
      <c r="D1064" s="50"/>
      <c r="E1064" s="50"/>
      <c r="F1064" s="50"/>
      <c r="G1064" s="49"/>
      <c r="H1064" s="50"/>
      <c r="I1064" s="50"/>
      <c r="J1064" s="50"/>
      <c r="K1064" s="50"/>
      <c r="L1064" s="50"/>
      <c r="M1064" s="46"/>
      <c r="N1064" s="47"/>
      <c r="O1064" s="62" t="str">
        <f aca="false">IF($B1064="","",TEXT($A1064,"YYYY-MM-DD")&amp;"|"&amp;$B1064)</f>
        <v/>
      </c>
      <c r="P1064" s="3"/>
      <c r="Q1064" s="3"/>
      <c r="R1064" s="3"/>
      <c r="S1064" s="3"/>
      <c r="T1064" s="3"/>
      <c r="U1064" s="3"/>
      <c r="V1064" s="3"/>
      <c r="W1064" s="3"/>
      <c r="X1064" s="3"/>
      <c r="Y1064" s="3"/>
      <c r="Z1064" s="3"/>
      <c r="AA1064" s="3"/>
      <c r="AB1064" s="3"/>
    </row>
    <row r="1065" customFormat="false" ht="15" hidden="false" customHeight="false" outlineLevel="0" collapsed="false">
      <c r="A1065" s="54"/>
      <c r="B1065" s="52"/>
      <c r="C1065" s="56"/>
      <c r="D1065" s="56"/>
      <c r="E1065" s="56"/>
      <c r="F1065" s="56"/>
      <c r="G1065" s="55"/>
      <c r="H1065" s="56"/>
      <c r="I1065" s="56"/>
      <c r="J1065" s="56"/>
      <c r="K1065" s="56"/>
      <c r="L1065" s="56"/>
      <c r="M1065" s="52"/>
      <c r="N1065" s="53"/>
      <c r="O1065" s="62" t="str">
        <f aca="false">IF($B1065="","",TEXT($A1065,"YYYY-MM-DD")&amp;"|"&amp;$B1065)</f>
        <v/>
      </c>
      <c r="P1065" s="3"/>
      <c r="Q1065" s="3"/>
      <c r="R1065" s="3"/>
      <c r="S1065" s="3"/>
      <c r="T1065" s="3"/>
      <c r="U1065" s="3"/>
      <c r="V1065" s="3"/>
      <c r="W1065" s="3"/>
      <c r="X1065" s="3"/>
      <c r="Y1065" s="3"/>
      <c r="Z1065" s="3"/>
      <c r="AA1065" s="3"/>
      <c r="AB1065" s="3"/>
    </row>
    <row r="1066" customFormat="false" ht="15" hidden="false" customHeight="false" outlineLevel="0" collapsed="false">
      <c r="A1066" s="48"/>
      <c r="B1066" s="46"/>
      <c r="C1066" s="50"/>
      <c r="D1066" s="50"/>
      <c r="E1066" s="50"/>
      <c r="F1066" s="50"/>
      <c r="G1066" s="49"/>
      <c r="H1066" s="50"/>
      <c r="I1066" s="50"/>
      <c r="J1066" s="50"/>
      <c r="K1066" s="50"/>
      <c r="L1066" s="50"/>
      <c r="M1066" s="46"/>
      <c r="N1066" s="47"/>
      <c r="O1066" s="62" t="str">
        <f aca="false">IF($B1066="","",TEXT($A1066,"YYYY-MM-DD")&amp;"|"&amp;$B1066)</f>
        <v/>
      </c>
      <c r="P1066" s="3"/>
      <c r="Q1066" s="3"/>
      <c r="R1066" s="3"/>
      <c r="S1066" s="3"/>
      <c r="T1066" s="3"/>
      <c r="U1066" s="3"/>
      <c r="V1066" s="3"/>
      <c r="W1066" s="3"/>
      <c r="X1066" s="3"/>
      <c r="Y1066" s="3"/>
      <c r="Z1066" s="3"/>
      <c r="AA1066" s="3"/>
      <c r="AB1066" s="3"/>
    </row>
    <row r="1067" customFormat="false" ht="15" hidden="false" customHeight="false" outlineLevel="0" collapsed="false">
      <c r="A1067" s="54"/>
      <c r="B1067" s="52"/>
      <c r="C1067" s="56"/>
      <c r="D1067" s="56"/>
      <c r="E1067" s="56"/>
      <c r="F1067" s="56"/>
      <c r="G1067" s="55"/>
      <c r="H1067" s="56"/>
      <c r="I1067" s="56"/>
      <c r="J1067" s="56"/>
      <c r="K1067" s="56"/>
      <c r="L1067" s="56"/>
      <c r="M1067" s="52"/>
      <c r="N1067" s="53"/>
      <c r="O1067" s="62" t="str">
        <f aca="false">IF($B1067="","",TEXT($A1067,"YYYY-MM-DD")&amp;"|"&amp;$B1067)</f>
        <v/>
      </c>
      <c r="P1067" s="3"/>
      <c r="Q1067" s="3"/>
      <c r="R1067" s="3"/>
      <c r="S1067" s="3"/>
      <c r="T1067" s="3"/>
      <c r="U1067" s="3"/>
      <c r="V1067" s="3"/>
      <c r="W1067" s="3"/>
      <c r="X1067" s="3"/>
      <c r="Y1067" s="3"/>
      <c r="Z1067" s="3"/>
      <c r="AA1067" s="3"/>
      <c r="AB1067" s="3"/>
    </row>
    <row r="1068" customFormat="false" ht="15" hidden="false" customHeight="false" outlineLevel="0" collapsed="false">
      <c r="A1068" s="48"/>
      <c r="B1068" s="46"/>
      <c r="C1068" s="50"/>
      <c r="D1068" s="50"/>
      <c r="E1068" s="50"/>
      <c r="F1068" s="50"/>
      <c r="G1068" s="49"/>
      <c r="H1068" s="50"/>
      <c r="I1068" s="50"/>
      <c r="J1068" s="50"/>
      <c r="K1068" s="50"/>
      <c r="L1068" s="50"/>
      <c r="M1068" s="46"/>
      <c r="N1068" s="47"/>
      <c r="O1068" s="62" t="str">
        <f aca="false">IF($B1068="","",TEXT($A1068,"YYYY-MM-DD")&amp;"|"&amp;$B1068)</f>
        <v/>
      </c>
      <c r="P1068" s="3"/>
      <c r="Q1068" s="3"/>
      <c r="R1068" s="3"/>
      <c r="S1068" s="3"/>
      <c r="T1068" s="3"/>
      <c r="U1068" s="3"/>
      <c r="V1068" s="3"/>
      <c r="W1068" s="3"/>
      <c r="X1068" s="3"/>
      <c r="Y1068" s="3"/>
      <c r="Z1068" s="3"/>
      <c r="AA1068" s="3"/>
      <c r="AB1068" s="3"/>
    </row>
    <row r="1069" customFormat="false" ht="15" hidden="false" customHeight="false" outlineLevel="0" collapsed="false">
      <c r="A1069" s="54"/>
      <c r="B1069" s="52"/>
      <c r="C1069" s="56"/>
      <c r="D1069" s="56"/>
      <c r="E1069" s="56"/>
      <c r="F1069" s="56"/>
      <c r="G1069" s="55"/>
      <c r="H1069" s="56"/>
      <c r="I1069" s="56"/>
      <c r="J1069" s="56"/>
      <c r="K1069" s="56"/>
      <c r="L1069" s="56"/>
      <c r="M1069" s="52"/>
      <c r="N1069" s="53"/>
      <c r="O1069" s="62" t="str">
        <f aca="false">IF($B1069="","",TEXT($A1069,"YYYY-MM-DD")&amp;"|"&amp;$B1069)</f>
        <v/>
      </c>
      <c r="P1069" s="3"/>
      <c r="Q1069" s="3"/>
      <c r="R1069" s="3"/>
      <c r="S1069" s="3"/>
      <c r="T1069" s="3"/>
      <c r="U1069" s="3"/>
      <c r="V1069" s="3"/>
      <c r="W1069" s="3"/>
      <c r="X1069" s="3"/>
      <c r="Y1069" s="3"/>
      <c r="Z1069" s="3"/>
      <c r="AA1069" s="3"/>
      <c r="AB1069" s="3"/>
    </row>
    <row r="1070" customFormat="false" ht="15" hidden="false" customHeight="false" outlineLevel="0" collapsed="false">
      <c r="A1070" s="48"/>
      <c r="B1070" s="46"/>
      <c r="C1070" s="50"/>
      <c r="D1070" s="50"/>
      <c r="E1070" s="50"/>
      <c r="F1070" s="50"/>
      <c r="G1070" s="49"/>
      <c r="H1070" s="50"/>
      <c r="I1070" s="50"/>
      <c r="J1070" s="50"/>
      <c r="K1070" s="50"/>
      <c r="L1070" s="50"/>
      <c r="M1070" s="46"/>
      <c r="N1070" s="47"/>
      <c r="O1070" s="62" t="str">
        <f aca="false">IF($B1070="","",TEXT($A1070,"YYYY-MM-DD")&amp;"|"&amp;$B1070)</f>
        <v/>
      </c>
      <c r="P1070" s="3"/>
      <c r="Q1070" s="3"/>
      <c r="R1070" s="3"/>
      <c r="S1070" s="3"/>
      <c r="T1070" s="3"/>
      <c r="U1070" s="3"/>
      <c r="V1070" s="3"/>
      <c r="W1070" s="3"/>
      <c r="X1070" s="3"/>
      <c r="Y1070" s="3"/>
      <c r="Z1070" s="3"/>
      <c r="AA1070" s="3"/>
      <c r="AB1070" s="3"/>
    </row>
    <row r="1071" customFormat="false" ht="15" hidden="false" customHeight="false" outlineLevel="0" collapsed="false">
      <c r="A1071" s="54"/>
      <c r="B1071" s="52"/>
      <c r="C1071" s="56"/>
      <c r="D1071" s="56"/>
      <c r="E1071" s="56"/>
      <c r="F1071" s="56"/>
      <c r="G1071" s="55"/>
      <c r="H1071" s="56"/>
      <c r="I1071" s="56"/>
      <c r="J1071" s="56"/>
      <c r="K1071" s="56"/>
      <c r="L1071" s="56"/>
      <c r="M1071" s="52"/>
      <c r="N1071" s="53"/>
      <c r="O1071" s="62" t="str">
        <f aca="false">IF($B1071="","",TEXT($A1071,"YYYY-MM-DD")&amp;"|"&amp;$B1071)</f>
        <v/>
      </c>
      <c r="P1071" s="3"/>
      <c r="Q1071" s="3"/>
      <c r="R1071" s="3"/>
      <c r="S1071" s="3"/>
      <c r="T1071" s="3"/>
      <c r="U1071" s="3"/>
      <c r="V1071" s="3"/>
      <c r="W1071" s="3"/>
      <c r="X1071" s="3"/>
      <c r="Y1071" s="3"/>
      <c r="Z1071" s="3"/>
      <c r="AA1071" s="3"/>
      <c r="AB1071" s="3"/>
    </row>
    <row r="1072" customFormat="false" ht="15" hidden="false" customHeight="false" outlineLevel="0" collapsed="false">
      <c r="A1072" s="48"/>
      <c r="B1072" s="46"/>
      <c r="C1072" s="50"/>
      <c r="D1072" s="50"/>
      <c r="E1072" s="50"/>
      <c r="F1072" s="50"/>
      <c r="G1072" s="49"/>
      <c r="H1072" s="50"/>
      <c r="I1072" s="50"/>
      <c r="J1072" s="50"/>
      <c r="K1072" s="50"/>
      <c r="L1072" s="50"/>
      <c r="M1072" s="46"/>
      <c r="N1072" s="47"/>
      <c r="O1072" s="62" t="str">
        <f aca="false">IF($B1072="","",TEXT($A1072,"YYYY-MM-DD")&amp;"|"&amp;$B1072)</f>
        <v/>
      </c>
      <c r="P1072" s="3"/>
      <c r="Q1072" s="3"/>
      <c r="R1072" s="3"/>
      <c r="S1072" s="3"/>
      <c r="T1072" s="3"/>
      <c r="U1072" s="3"/>
      <c r="V1072" s="3"/>
      <c r="W1072" s="3"/>
      <c r="X1072" s="3"/>
      <c r="Y1072" s="3"/>
      <c r="Z1072" s="3"/>
      <c r="AA1072" s="3"/>
      <c r="AB1072" s="3"/>
    </row>
    <row r="1073" customFormat="false" ht="15" hidden="false" customHeight="false" outlineLevel="0" collapsed="false">
      <c r="A1073" s="54"/>
      <c r="B1073" s="52"/>
      <c r="C1073" s="56"/>
      <c r="D1073" s="56"/>
      <c r="E1073" s="56"/>
      <c r="F1073" s="56"/>
      <c r="G1073" s="55"/>
      <c r="H1073" s="56"/>
      <c r="I1073" s="56"/>
      <c r="J1073" s="56"/>
      <c r="K1073" s="56"/>
      <c r="L1073" s="56"/>
      <c r="M1073" s="52"/>
      <c r="N1073" s="53"/>
      <c r="O1073" s="62" t="str">
        <f aca="false">IF($B1073="","",TEXT($A1073,"YYYY-MM-DD")&amp;"|"&amp;$B1073)</f>
        <v/>
      </c>
      <c r="P1073" s="3"/>
      <c r="Q1073" s="3"/>
      <c r="R1073" s="3"/>
      <c r="S1073" s="3"/>
      <c r="T1073" s="3"/>
      <c r="U1073" s="3"/>
      <c r="V1073" s="3"/>
      <c r="W1073" s="3"/>
      <c r="X1073" s="3"/>
      <c r="Y1073" s="3"/>
      <c r="Z1073" s="3"/>
      <c r="AA1073" s="3"/>
      <c r="AB1073" s="3"/>
    </row>
    <row r="1074" customFormat="false" ht="15" hidden="false" customHeight="false" outlineLevel="0" collapsed="false">
      <c r="A1074" s="48"/>
      <c r="B1074" s="46"/>
      <c r="C1074" s="50"/>
      <c r="D1074" s="50"/>
      <c r="E1074" s="50"/>
      <c r="F1074" s="50"/>
      <c r="G1074" s="49"/>
      <c r="H1074" s="50"/>
      <c r="I1074" s="50"/>
      <c r="J1074" s="50"/>
      <c r="K1074" s="50"/>
      <c r="L1074" s="50"/>
      <c r="M1074" s="46"/>
      <c r="N1074" s="47"/>
      <c r="O1074" s="62" t="str">
        <f aca="false">IF($B1074="","",TEXT($A1074,"YYYY-MM-DD")&amp;"|"&amp;$B1074)</f>
        <v/>
      </c>
      <c r="P1074" s="3"/>
      <c r="Q1074" s="3"/>
      <c r="R1074" s="3"/>
      <c r="S1074" s="3"/>
      <c r="T1074" s="3"/>
      <c r="U1074" s="3"/>
      <c r="V1074" s="3"/>
      <c r="W1074" s="3"/>
      <c r="X1074" s="3"/>
      <c r="Y1074" s="3"/>
      <c r="Z1074" s="3"/>
      <c r="AA1074" s="3"/>
      <c r="AB1074" s="3"/>
    </row>
    <row r="1075" customFormat="false" ht="15" hidden="false" customHeight="false" outlineLevel="0" collapsed="false">
      <c r="A1075" s="54"/>
      <c r="B1075" s="52"/>
      <c r="C1075" s="56"/>
      <c r="D1075" s="56"/>
      <c r="E1075" s="56"/>
      <c r="F1075" s="56"/>
      <c r="G1075" s="55"/>
      <c r="H1075" s="56"/>
      <c r="I1075" s="56"/>
      <c r="J1075" s="56"/>
      <c r="K1075" s="56"/>
      <c r="L1075" s="56"/>
      <c r="M1075" s="52"/>
      <c r="N1075" s="53"/>
      <c r="O1075" s="62" t="str">
        <f aca="false">IF($B1075="","",TEXT($A1075,"YYYY-MM-DD")&amp;"|"&amp;$B1075)</f>
        <v/>
      </c>
      <c r="P1075" s="3"/>
      <c r="Q1075" s="3"/>
      <c r="R1075" s="3"/>
      <c r="S1075" s="3"/>
      <c r="T1075" s="3"/>
      <c r="U1075" s="3"/>
      <c r="V1075" s="3"/>
      <c r="W1075" s="3"/>
      <c r="X1075" s="3"/>
      <c r="Y1075" s="3"/>
      <c r="Z1075" s="3"/>
      <c r="AA1075" s="3"/>
      <c r="AB1075" s="3"/>
    </row>
    <row r="1076" customFormat="false" ht="15" hidden="false" customHeight="false" outlineLevel="0" collapsed="false">
      <c r="A1076" s="48"/>
      <c r="B1076" s="46"/>
      <c r="C1076" s="50"/>
      <c r="D1076" s="50"/>
      <c r="E1076" s="50"/>
      <c r="F1076" s="50"/>
      <c r="G1076" s="49"/>
      <c r="H1076" s="50"/>
      <c r="I1076" s="50"/>
      <c r="J1076" s="50"/>
      <c r="K1076" s="50"/>
      <c r="L1076" s="50"/>
      <c r="M1076" s="46"/>
      <c r="N1076" s="47"/>
      <c r="O1076" s="62" t="str">
        <f aca="false">IF($B1076="","",TEXT($A1076,"YYYY-MM-DD")&amp;"|"&amp;$B1076)</f>
        <v/>
      </c>
      <c r="P1076" s="3"/>
      <c r="Q1076" s="3"/>
      <c r="R1076" s="3"/>
      <c r="S1076" s="3"/>
      <c r="T1076" s="3"/>
      <c r="U1076" s="3"/>
      <c r="V1076" s="3"/>
      <c r="W1076" s="3"/>
      <c r="X1076" s="3"/>
      <c r="Y1076" s="3"/>
      <c r="Z1076" s="3"/>
      <c r="AA1076" s="3"/>
      <c r="AB1076" s="3"/>
    </row>
    <row r="1077" customFormat="false" ht="15" hidden="false" customHeight="false" outlineLevel="0" collapsed="false">
      <c r="A1077" s="54"/>
      <c r="B1077" s="52"/>
      <c r="C1077" s="56"/>
      <c r="D1077" s="56"/>
      <c r="E1077" s="56"/>
      <c r="F1077" s="56"/>
      <c r="G1077" s="55"/>
      <c r="H1077" s="56"/>
      <c r="I1077" s="56"/>
      <c r="J1077" s="56"/>
      <c r="K1077" s="56"/>
      <c r="L1077" s="56"/>
      <c r="M1077" s="52"/>
      <c r="N1077" s="53"/>
      <c r="O1077" s="62" t="str">
        <f aca="false">IF($B1077="","",TEXT($A1077,"YYYY-MM-DD")&amp;"|"&amp;$B1077)</f>
        <v/>
      </c>
      <c r="P1077" s="3"/>
      <c r="Q1077" s="3"/>
      <c r="R1077" s="3"/>
      <c r="S1077" s="3"/>
      <c r="T1077" s="3"/>
      <c r="U1077" s="3"/>
      <c r="V1077" s="3"/>
      <c r="W1077" s="3"/>
      <c r="X1077" s="3"/>
      <c r="Y1077" s="3"/>
      <c r="Z1077" s="3"/>
      <c r="AA1077" s="3"/>
      <c r="AB1077" s="3"/>
    </row>
    <row r="1078" customFormat="false" ht="15" hidden="false" customHeight="false" outlineLevel="0" collapsed="false">
      <c r="A1078" s="48"/>
      <c r="B1078" s="46"/>
      <c r="C1078" s="50"/>
      <c r="D1078" s="50"/>
      <c r="E1078" s="50"/>
      <c r="F1078" s="50"/>
      <c r="G1078" s="49"/>
      <c r="H1078" s="50"/>
      <c r="I1078" s="50"/>
      <c r="J1078" s="50"/>
      <c r="K1078" s="50"/>
      <c r="L1078" s="50"/>
      <c r="M1078" s="46"/>
      <c r="N1078" s="47"/>
      <c r="O1078" s="62" t="str">
        <f aca="false">IF($B1078="","",TEXT($A1078,"YYYY-MM-DD")&amp;"|"&amp;$B1078)</f>
        <v/>
      </c>
      <c r="P1078" s="3"/>
      <c r="Q1078" s="3"/>
      <c r="R1078" s="3"/>
      <c r="S1078" s="3"/>
      <c r="T1078" s="3"/>
      <c r="U1078" s="3"/>
      <c r="V1078" s="3"/>
      <c r="W1078" s="3"/>
      <c r="X1078" s="3"/>
      <c r="Y1078" s="3"/>
      <c r="Z1078" s="3"/>
      <c r="AA1078" s="3"/>
      <c r="AB1078" s="3"/>
    </row>
    <row r="1079" customFormat="false" ht="15" hidden="false" customHeight="false" outlineLevel="0" collapsed="false">
      <c r="A1079" s="54"/>
      <c r="B1079" s="52"/>
      <c r="C1079" s="56"/>
      <c r="D1079" s="56"/>
      <c r="E1079" s="56"/>
      <c r="F1079" s="56"/>
      <c r="G1079" s="55"/>
      <c r="H1079" s="56"/>
      <c r="I1079" s="56"/>
      <c r="J1079" s="56"/>
      <c r="K1079" s="56"/>
      <c r="L1079" s="56"/>
      <c r="M1079" s="52"/>
      <c r="N1079" s="53"/>
      <c r="O1079" s="62" t="str">
        <f aca="false">IF($B1079="","",TEXT($A1079,"YYYY-MM-DD")&amp;"|"&amp;$B1079)</f>
        <v/>
      </c>
      <c r="P1079" s="3"/>
      <c r="Q1079" s="3"/>
      <c r="R1079" s="3"/>
      <c r="S1079" s="3"/>
      <c r="T1079" s="3"/>
      <c r="U1079" s="3"/>
      <c r="V1079" s="3"/>
      <c r="W1079" s="3"/>
      <c r="X1079" s="3"/>
      <c r="Y1079" s="3"/>
      <c r="Z1079" s="3"/>
      <c r="AA1079" s="3"/>
      <c r="AB1079" s="3"/>
    </row>
    <row r="1080" customFormat="false" ht="15" hidden="false" customHeight="false" outlineLevel="0" collapsed="false">
      <c r="A1080" s="48"/>
      <c r="B1080" s="46"/>
      <c r="C1080" s="50"/>
      <c r="D1080" s="50"/>
      <c r="E1080" s="50"/>
      <c r="F1080" s="50"/>
      <c r="G1080" s="49"/>
      <c r="H1080" s="50"/>
      <c r="I1080" s="50"/>
      <c r="J1080" s="50"/>
      <c r="K1080" s="50"/>
      <c r="L1080" s="50"/>
      <c r="M1080" s="46"/>
      <c r="N1080" s="47"/>
      <c r="O1080" s="62" t="str">
        <f aca="false">IF($B1080="","",TEXT($A1080,"YYYY-MM-DD")&amp;"|"&amp;$B1080)</f>
        <v/>
      </c>
      <c r="P1080" s="3"/>
      <c r="Q1080" s="3"/>
      <c r="R1080" s="3"/>
      <c r="S1080" s="3"/>
      <c r="T1080" s="3"/>
      <c r="U1080" s="3"/>
      <c r="V1080" s="3"/>
      <c r="W1080" s="3"/>
      <c r="X1080" s="3"/>
      <c r="Y1080" s="3"/>
      <c r="Z1080" s="3"/>
      <c r="AA1080" s="3"/>
      <c r="AB1080" s="3"/>
    </row>
    <row r="1081" customFormat="false" ht="15" hidden="false" customHeight="false" outlineLevel="0" collapsed="false">
      <c r="A1081" s="54"/>
      <c r="B1081" s="52"/>
      <c r="C1081" s="56"/>
      <c r="D1081" s="56"/>
      <c r="E1081" s="56"/>
      <c r="F1081" s="56"/>
      <c r="G1081" s="55"/>
      <c r="H1081" s="56"/>
      <c r="I1081" s="56"/>
      <c r="J1081" s="56"/>
      <c r="K1081" s="56"/>
      <c r="L1081" s="56"/>
      <c r="M1081" s="52"/>
      <c r="N1081" s="53"/>
      <c r="O1081" s="62" t="str">
        <f aca="false">IF($B1081="","",TEXT($A1081,"YYYY-MM-DD")&amp;"|"&amp;$B1081)</f>
        <v/>
      </c>
      <c r="P1081" s="3"/>
      <c r="Q1081" s="3"/>
      <c r="R1081" s="3"/>
      <c r="S1081" s="3"/>
      <c r="T1081" s="3"/>
      <c r="U1081" s="3"/>
      <c r="V1081" s="3"/>
      <c r="W1081" s="3"/>
      <c r="X1081" s="3"/>
      <c r="Y1081" s="3"/>
      <c r="Z1081" s="3"/>
      <c r="AA1081" s="3"/>
      <c r="AB1081" s="3"/>
    </row>
    <row r="1082" customFormat="false" ht="15" hidden="false" customHeight="false" outlineLevel="0" collapsed="false">
      <c r="A1082" s="48"/>
      <c r="B1082" s="46"/>
      <c r="C1082" s="50"/>
      <c r="D1082" s="50"/>
      <c r="E1082" s="50"/>
      <c r="F1082" s="50"/>
      <c r="G1082" s="49"/>
      <c r="H1082" s="50"/>
      <c r="I1082" s="50"/>
      <c r="J1082" s="50"/>
      <c r="K1082" s="50"/>
      <c r="L1082" s="50"/>
      <c r="M1082" s="46"/>
      <c r="N1082" s="47"/>
      <c r="O1082" s="62" t="str">
        <f aca="false">IF($B1082="","",TEXT($A1082,"YYYY-MM-DD")&amp;"|"&amp;$B1082)</f>
        <v/>
      </c>
      <c r="P1082" s="3"/>
      <c r="Q1082" s="3"/>
      <c r="R1082" s="3"/>
      <c r="S1082" s="3"/>
      <c r="T1082" s="3"/>
      <c r="U1082" s="3"/>
      <c r="V1082" s="3"/>
      <c r="W1082" s="3"/>
      <c r="X1082" s="3"/>
      <c r="Y1082" s="3"/>
      <c r="Z1082" s="3"/>
      <c r="AA1082" s="3"/>
      <c r="AB1082" s="3"/>
    </row>
    <row r="1083" customFormat="false" ht="15" hidden="false" customHeight="false" outlineLevel="0" collapsed="false">
      <c r="A1083" s="54"/>
      <c r="B1083" s="52"/>
      <c r="C1083" s="56"/>
      <c r="D1083" s="56"/>
      <c r="E1083" s="56"/>
      <c r="F1083" s="56"/>
      <c r="G1083" s="55"/>
      <c r="H1083" s="56"/>
      <c r="I1083" s="56"/>
      <c r="J1083" s="56"/>
      <c r="K1083" s="56"/>
      <c r="L1083" s="56"/>
      <c r="M1083" s="52"/>
      <c r="N1083" s="53"/>
      <c r="O1083" s="62" t="str">
        <f aca="false">IF($B1083="","",TEXT($A1083,"YYYY-MM-DD")&amp;"|"&amp;$B1083)</f>
        <v/>
      </c>
      <c r="P1083" s="3"/>
      <c r="Q1083" s="3"/>
      <c r="R1083" s="3"/>
      <c r="S1083" s="3"/>
      <c r="T1083" s="3"/>
      <c r="U1083" s="3"/>
      <c r="V1083" s="3"/>
      <c r="W1083" s="3"/>
      <c r="X1083" s="3"/>
      <c r="Y1083" s="3"/>
      <c r="Z1083" s="3"/>
      <c r="AA1083" s="3"/>
      <c r="AB1083" s="3"/>
    </row>
    <row r="1084" customFormat="false" ht="15" hidden="false" customHeight="false" outlineLevel="0" collapsed="false">
      <c r="A1084" s="48"/>
      <c r="B1084" s="46"/>
      <c r="C1084" s="50"/>
      <c r="D1084" s="50"/>
      <c r="E1084" s="50"/>
      <c r="F1084" s="50"/>
      <c r="G1084" s="49"/>
      <c r="H1084" s="50"/>
      <c r="I1084" s="50"/>
      <c r="J1084" s="50"/>
      <c r="K1084" s="50"/>
      <c r="L1084" s="50"/>
      <c r="M1084" s="46"/>
      <c r="N1084" s="47"/>
      <c r="O1084" s="62" t="str">
        <f aca="false">IF($B1084="","",TEXT($A1084,"YYYY-MM-DD")&amp;"|"&amp;$B1084)</f>
        <v/>
      </c>
      <c r="P1084" s="3"/>
      <c r="Q1084" s="3"/>
      <c r="R1084" s="3"/>
      <c r="S1084" s="3"/>
      <c r="T1084" s="3"/>
      <c r="U1084" s="3"/>
      <c r="V1084" s="3"/>
      <c r="W1084" s="3"/>
      <c r="X1084" s="3"/>
      <c r="Y1084" s="3"/>
      <c r="Z1084" s="3"/>
      <c r="AA1084" s="3"/>
      <c r="AB1084" s="3"/>
    </row>
    <row r="1085" customFormat="false" ht="15" hidden="false" customHeight="false" outlineLevel="0" collapsed="false">
      <c r="A1085" s="54"/>
      <c r="B1085" s="52"/>
      <c r="C1085" s="56"/>
      <c r="D1085" s="56"/>
      <c r="E1085" s="56"/>
      <c r="F1085" s="56"/>
      <c r="G1085" s="55"/>
      <c r="H1085" s="56"/>
      <c r="I1085" s="56"/>
      <c r="J1085" s="56"/>
      <c r="K1085" s="56"/>
      <c r="L1085" s="56"/>
      <c r="M1085" s="52"/>
      <c r="N1085" s="53"/>
      <c r="O1085" s="62" t="str">
        <f aca="false">IF($B1085="","",TEXT($A1085,"YYYY-MM-DD")&amp;"|"&amp;$B1085)</f>
        <v/>
      </c>
      <c r="P1085" s="3"/>
      <c r="Q1085" s="3"/>
      <c r="R1085" s="3"/>
      <c r="S1085" s="3"/>
      <c r="T1085" s="3"/>
      <c r="U1085" s="3"/>
      <c r="V1085" s="3"/>
      <c r="W1085" s="3"/>
      <c r="X1085" s="3"/>
      <c r="Y1085" s="3"/>
      <c r="Z1085" s="3"/>
      <c r="AA1085" s="3"/>
      <c r="AB1085" s="3"/>
    </row>
    <row r="1086" customFormat="false" ht="15" hidden="false" customHeight="false" outlineLevel="0" collapsed="false">
      <c r="A1086" s="48"/>
      <c r="B1086" s="46"/>
      <c r="C1086" s="50"/>
      <c r="D1086" s="50"/>
      <c r="E1086" s="50"/>
      <c r="F1086" s="50"/>
      <c r="G1086" s="49"/>
      <c r="H1086" s="50"/>
      <c r="I1086" s="50"/>
      <c r="J1086" s="50"/>
      <c r="K1086" s="50"/>
      <c r="L1086" s="50"/>
      <c r="M1086" s="46"/>
      <c r="N1086" s="47"/>
      <c r="O1086" s="62" t="str">
        <f aca="false">IF($B1086="","",TEXT($A1086,"YYYY-MM-DD")&amp;"|"&amp;$B1086)</f>
        <v/>
      </c>
      <c r="P1086" s="3"/>
      <c r="Q1086" s="3"/>
      <c r="R1086" s="3"/>
      <c r="S1086" s="3"/>
      <c r="T1086" s="3"/>
      <c r="U1086" s="3"/>
      <c r="V1086" s="3"/>
      <c r="W1086" s="3"/>
      <c r="X1086" s="3"/>
      <c r="Y1086" s="3"/>
      <c r="Z1086" s="3"/>
      <c r="AA1086" s="3"/>
      <c r="AB1086" s="3"/>
    </row>
    <row r="1087" customFormat="false" ht="15" hidden="false" customHeight="false" outlineLevel="0" collapsed="false">
      <c r="A1087" s="54"/>
      <c r="B1087" s="52"/>
      <c r="C1087" s="56"/>
      <c r="D1087" s="56"/>
      <c r="E1087" s="56"/>
      <c r="F1087" s="56"/>
      <c r="G1087" s="55"/>
      <c r="H1087" s="56"/>
      <c r="I1087" s="56"/>
      <c r="J1087" s="56"/>
      <c r="K1087" s="56"/>
      <c r="L1087" s="56"/>
      <c r="M1087" s="52"/>
      <c r="N1087" s="53"/>
      <c r="O1087" s="62" t="str">
        <f aca="false">IF($B1087="","",TEXT($A1087,"YYYY-MM-DD")&amp;"|"&amp;$B1087)</f>
        <v/>
      </c>
      <c r="P1087" s="3"/>
      <c r="Q1087" s="3"/>
      <c r="R1087" s="3"/>
      <c r="S1087" s="3"/>
      <c r="T1087" s="3"/>
      <c r="U1087" s="3"/>
      <c r="V1087" s="3"/>
      <c r="W1087" s="3"/>
      <c r="X1087" s="3"/>
      <c r="Y1087" s="3"/>
      <c r="Z1087" s="3"/>
      <c r="AA1087" s="3"/>
      <c r="AB1087" s="3"/>
    </row>
    <row r="1088" customFormat="false" ht="15" hidden="false" customHeight="false" outlineLevel="0" collapsed="false">
      <c r="A1088" s="48"/>
      <c r="B1088" s="46"/>
      <c r="C1088" s="50"/>
      <c r="D1088" s="50"/>
      <c r="E1088" s="50"/>
      <c r="F1088" s="50"/>
      <c r="G1088" s="49"/>
      <c r="H1088" s="50"/>
      <c r="I1088" s="50"/>
      <c r="J1088" s="50"/>
      <c r="K1088" s="50"/>
      <c r="L1088" s="50"/>
      <c r="M1088" s="46"/>
      <c r="N1088" s="47"/>
      <c r="O1088" s="62" t="str">
        <f aca="false">IF($B1088="","",TEXT($A1088,"YYYY-MM-DD")&amp;"|"&amp;$B1088)</f>
        <v/>
      </c>
      <c r="P1088" s="3"/>
      <c r="Q1088" s="3"/>
      <c r="R1088" s="3"/>
      <c r="S1088" s="3"/>
      <c r="T1088" s="3"/>
      <c r="U1088" s="3"/>
      <c r="V1088" s="3"/>
      <c r="W1088" s="3"/>
      <c r="X1088" s="3"/>
      <c r="Y1088" s="3"/>
      <c r="Z1088" s="3"/>
      <c r="AA1088" s="3"/>
      <c r="AB1088" s="3"/>
    </row>
    <row r="1089" customFormat="false" ht="15" hidden="false" customHeight="false" outlineLevel="0" collapsed="false">
      <c r="A1089" s="54"/>
      <c r="B1089" s="52"/>
      <c r="C1089" s="56"/>
      <c r="D1089" s="56"/>
      <c r="E1089" s="56"/>
      <c r="F1089" s="56"/>
      <c r="G1089" s="55"/>
      <c r="H1089" s="56"/>
      <c r="I1089" s="56"/>
      <c r="J1089" s="56"/>
      <c r="K1089" s="56"/>
      <c r="L1089" s="56"/>
      <c r="M1089" s="52"/>
      <c r="N1089" s="53"/>
      <c r="O1089" s="62" t="str">
        <f aca="false">IF($B1089="","",TEXT($A1089,"YYYY-MM-DD")&amp;"|"&amp;$B1089)</f>
        <v/>
      </c>
      <c r="P1089" s="3"/>
      <c r="Q1089" s="3"/>
      <c r="R1089" s="3"/>
      <c r="S1089" s="3"/>
      <c r="T1089" s="3"/>
      <c r="U1089" s="3"/>
      <c r="V1089" s="3"/>
      <c r="W1089" s="3"/>
      <c r="X1089" s="3"/>
      <c r="Y1089" s="3"/>
      <c r="Z1089" s="3"/>
      <c r="AA1089" s="3"/>
      <c r="AB1089" s="3"/>
    </row>
    <row r="1090" customFormat="false" ht="15" hidden="false" customHeight="false" outlineLevel="0" collapsed="false">
      <c r="A1090" s="48"/>
      <c r="B1090" s="46"/>
      <c r="C1090" s="50"/>
      <c r="D1090" s="50"/>
      <c r="E1090" s="50"/>
      <c r="F1090" s="50"/>
      <c r="G1090" s="49"/>
      <c r="H1090" s="50"/>
      <c r="I1090" s="50"/>
      <c r="J1090" s="50"/>
      <c r="K1090" s="50"/>
      <c r="L1090" s="50"/>
      <c r="M1090" s="46"/>
      <c r="N1090" s="47"/>
      <c r="O1090" s="62" t="str">
        <f aca="false">IF($B1090="","",TEXT($A1090,"YYYY-MM-DD")&amp;"|"&amp;$B1090)</f>
        <v/>
      </c>
      <c r="P1090" s="3"/>
      <c r="Q1090" s="3"/>
      <c r="R1090" s="3"/>
      <c r="S1090" s="3"/>
      <c r="T1090" s="3"/>
      <c r="U1090" s="3"/>
      <c r="V1090" s="3"/>
      <c r="W1090" s="3"/>
      <c r="X1090" s="3"/>
      <c r="Y1090" s="3"/>
      <c r="Z1090" s="3"/>
      <c r="AA1090" s="3"/>
      <c r="AB1090" s="3"/>
    </row>
    <row r="1091" customFormat="false" ht="15" hidden="false" customHeight="false" outlineLevel="0" collapsed="false">
      <c r="A1091" s="54"/>
      <c r="B1091" s="52"/>
      <c r="C1091" s="56"/>
      <c r="D1091" s="56"/>
      <c r="E1091" s="56"/>
      <c r="F1091" s="56"/>
      <c r="G1091" s="55"/>
      <c r="H1091" s="56"/>
      <c r="I1091" s="56"/>
      <c r="J1091" s="56"/>
      <c r="K1091" s="56"/>
      <c r="L1091" s="56"/>
      <c r="M1091" s="52"/>
      <c r="N1091" s="53"/>
      <c r="O1091" s="62" t="str">
        <f aca="false">IF($B1091="","",TEXT($A1091,"YYYY-MM-DD")&amp;"|"&amp;$B1091)</f>
        <v/>
      </c>
      <c r="P1091" s="3"/>
      <c r="Q1091" s="3"/>
      <c r="R1091" s="3"/>
      <c r="S1091" s="3"/>
      <c r="T1091" s="3"/>
      <c r="U1091" s="3"/>
      <c r="V1091" s="3"/>
      <c r="W1091" s="3"/>
      <c r="X1091" s="3"/>
      <c r="Y1091" s="3"/>
      <c r="Z1091" s="3"/>
      <c r="AA1091" s="3"/>
      <c r="AB1091" s="3"/>
    </row>
    <row r="1092" customFormat="false" ht="15" hidden="false" customHeight="false" outlineLevel="0" collapsed="false">
      <c r="A1092" s="48"/>
      <c r="B1092" s="46"/>
      <c r="C1092" s="50"/>
      <c r="D1092" s="50"/>
      <c r="E1092" s="50"/>
      <c r="F1092" s="50"/>
      <c r="G1092" s="49"/>
      <c r="H1092" s="50"/>
      <c r="I1092" s="50"/>
      <c r="J1092" s="50"/>
      <c r="K1092" s="50"/>
      <c r="L1092" s="50"/>
      <c r="M1092" s="46"/>
      <c r="N1092" s="47"/>
      <c r="O1092" s="62" t="str">
        <f aca="false">IF($B1092="","",TEXT($A1092,"YYYY-MM-DD")&amp;"|"&amp;$B1092)</f>
        <v/>
      </c>
      <c r="P1092" s="3"/>
      <c r="Q1092" s="3"/>
      <c r="R1092" s="3"/>
      <c r="S1092" s="3"/>
      <c r="T1092" s="3"/>
      <c r="U1092" s="3"/>
      <c r="V1092" s="3"/>
      <c r="W1092" s="3"/>
      <c r="X1092" s="3"/>
      <c r="Y1092" s="3"/>
      <c r="Z1092" s="3"/>
      <c r="AA1092" s="3"/>
      <c r="AB1092" s="3"/>
    </row>
    <row r="1093" customFormat="false" ht="15" hidden="false" customHeight="false" outlineLevel="0" collapsed="false">
      <c r="A1093" s="54"/>
      <c r="B1093" s="52"/>
      <c r="C1093" s="56"/>
      <c r="D1093" s="56"/>
      <c r="E1093" s="56"/>
      <c r="F1093" s="56"/>
      <c r="G1093" s="55"/>
      <c r="H1093" s="56"/>
      <c r="I1093" s="56"/>
      <c r="J1093" s="56"/>
      <c r="K1093" s="56"/>
      <c r="L1093" s="56"/>
      <c r="M1093" s="52"/>
      <c r="N1093" s="53"/>
      <c r="O1093" s="62" t="str">
        <f aca="false">IF($B1093="","",TEXT($A1093,"YYYY-MM-DD")&amp;"|"&amp;$B1093)</f>
        <v/>
      </c>
      <c r="P1093" s="3"/>
      <c r="Q1093" s="3"/>
      <c r="R1093" s="3"/>
      <c r="S1093" s="3"/>
      <c r="T1093" s="3"/>
      <c r="U1093" s="3"/>
      <c r="V1093" s="3"/>
      <c r="W1093" s="3"/>
      <c r="X1093" s="3"/>
      <c r="Y1093" s="3"/>
      <c r="Z1093" s="3"/>
      <c r="AA1093" s="3"/>
      <c r="AB1093" s="3"/>
    </row>
    <row r="1094" customFormat="false" ht="15" hidden="false" customHeight="false" outlineLevel="0" collapsed="false">
      <c r="A1094" s="48"/>
      <c r="B1094" s="46"/>
      <c r="C1094" s="50"/>
      <c r="D1094" s="50"/>
      <c r="E1094" s="50"/>
      <c r="F1094" s="50"/>
      <c r="G1094" s="49"/>
      <c r="H1094" s="50"/>
      <c r="I1094" s="50"/>
      <c r="J1094" s="50"/>
      <c r="K1094" s="50"/>
      <c r="L1094" s="50"/>
      <c r="M1094" s="46"/>
      <c r="N1094" s="47"/>
      <c r="O1094" s="62" t="str">
        <f aca="false">IF($B1094="","",TEXT($A1094,"YYYY-MM-DD")&amp;"|"&amp;$B1094)</f>
        <v/>
      </c>
      <c r="P1094" s="3"/>
      <c r="Q1094" s="3"/>
      <c r="R1094" s="3"/>
      <c r="S1094" s="3"/>
      <c r="T1094" s="3"/>
      <c r="U1094" s="3"/>
      <c r="V1094" s="3"/>
      <c r="W1094" s="3"/>
      <c r="X1094" s="3"/>
      <c r="Y1094" s="3"/>
      <c r="Z1094" s="3"/>
      <c r="AA1094" s="3"/>
      <c r="AB1094" s="3"/>
    </row>
    <row r="1095" customFormat="false" ht="15" hidden="false" customHeight="false" outlineLevel="0" collapsed="false">
      <c r="A1095" s="54"/>
      <c r="B1095" s="52"/>
      <c r="C1095" s="56"/>
      <c r="D1095" s="56"/>
      <c r="E1095" s="56"/>
      <c r="F1095" s="56"/>
      <c r="G1095" s="55"/>
      <c r="H1095" s="56"/>
      <c r="I1095" s="56"/>
      <c r="J1095" s="56"/>
      <c r="K1095" s="56"/>
      <c r="L1095" s="56"/>
      <c r="M1095" s="52"/>
      <c r="N1095" s="53"/>
      <c r="O1095" s="62" t="str">
        <f aca="false">IF($B1095="","",TEXT($A1095,"YYYY-MM-DD")&amp;"|"&amp;$B1095)</f>
        <v/>
      </c>
      <c r="P1095" s="3"/>
      <c r="Q1095" s="3"/>
      <c r="R1095" s="3"/>
      <c r="S1095" s="3"/>
      <c r="T1095" s="3"/>
      <c r="U1095" s="3"/>
      <c r="V1095" s="3"/>
      <c r="W1095" s="3"/>
      <c r="X1095" s="3"/>
      <c r="Y1095" s="3"/>
      <c r="Z1095" s="3"/>
      <c r="AA1095" s="3"/>
      <c r="AB1095" s="3"/>
    </row>
    <row r="1096" customFormat="false" ht="15" hidden="false" customHeight="false" outlineLevel="0" collapsed="false">
      <c r="A1096" s="48"/>
      <c r="B1096" s="46"/>
      <c r="C1096" s="50"/>
      <c r="D1096" s="50"/>
      <c r="E1096" s="50"/>
      <c r="F1096" s="50"/>
      <c r="G1096" s="49"/>
      <c r="H1096" s="50"/>
      <c r="I1096" s="50"/>
      <c r="J1096" s="50"/>
      <c r="K1096" s="50"/>
      <c r="L1096" s="50"/>
      <c r="M1096" s="46"/>
      <c r="N1096" s="47"/>
      <c r="O1096" s="62" t="str">
        <f aca="false">IF($B1096="","",TEXT($A1096,"YYYY-MM-DD")&amp;"|"&amp;$B1096)</f>
        <v/>
      </c>
      <c r="P1096" s="3"/>
      <c r="Q1096" s="3"/>
      <c r="R1096" s="3"/>
      <c r="S1096" s="3"/>
      <c r="T1096" s="3"/>
      <c r="U1096" s="3"/>
      <c r="V1096" s="3"/>
      <c r="W1096" s="3"/>
      <c r="X1096" s="3"/>
      <c r="Y1096" s="3"/>
      <c r="Z1096" s="3"/>
      <c r="AA1096" s="3"/>
      <c r="AB1096" s="3"/>
    </row>
    <row r="1097" customFormat="false" ht="15" hidden="false" customHeight="false" outlineLevel="0" collapsed="false">
      <c r="A1097" s="54"/>
      <c r="B1097" s="52"/>
      <c r="C1097" s="56"/>
      <c r="D1097" s="56"/>
      <c r="E1097" s="56"/>
      <c r="F1097" s="56"/>
      <c r="G1097" s="55"/>
      <c r="H1097" s="56"/>
      <c r="I1097" s="56"/>
      <c r="J1097" s="56"/>
      <c r="K1097" s="56"/>
      <c r="L1097" s="56"/>
      <c r="M1097" s="52"/>
      <c r="N1097" s="53"/>
      <c r="O1097" s="62" t="str">
        <f aca="false">IF($B1097="","",TEXT($A1097,"YYYY-MM-DD")&amp;"|"&amp;$B1097)</f>
        <v/>
      </c>
      <c r="P1097" s="3"/>
      <c r="Q1097" s="3"/>
      <c r="R1097" s="3"/>
      <c r="S1097" s="3"/>
      <c r="T1097" s="3"/>
      <c r="U1097" s="3"/>
      <c r="V1097" s="3"/>
      <c r="W1097" s="3"/>
      <c r="X1097" s="3"/>
      <c r="Y1097" s="3"/>
      <c r="Z1097" s="3"/>
      <c r="AA1097" s="3"/>
      <c r="AB1097" s="3"/>
    </row>
    <row r="1098" customFormat="false" ht="15" hidden="false" customHeight="false" outlineLevel="0" collapsed="false">
      <c r="A1098" s="48"/>
      <c r="B1098" s="46"/>
      <c r="C1098" s="50"/>
      <c r="D1098" s="50"/>
      <c r="E1098" s="50"/>
      <c r="F1098" s="50"/>
      <c r="G1098" s="49"/>
      <c r="H1098" s="50"/>
      <c r="I1098" s="50"/>
      <c r="J1098" s="50"/>
      <c r="K1098" s="50"/>
      <c r="L1098" s="50"/>
      <c r="M1098" s="46"/>
      <c r="N1098" s="47"/>
      <c r="O1098" s="62" t="str">
        <f aca="false">IF($B1098="","",TEXT($A1098,"YYYY-MM-DD")&amp;"|"&amp;$B1098)</f>
        <v/>
      </c>
      <c r="P1098" s="3"/>
      <c r="Q1098" s="3"/>
      <c r="R1098" s="3"/>
      <c r="S1098" s="3"/>
      <c r="T1098" s="3"/>
      <c r="U1098" s="3"/>
      <c r="V1098" s="3"/>
      <c r="W1098" s="3"/>
      <c r="X1098" s="3"/>
      <c r="Y1098" s="3"/>
      <c r="Z1098" s="3"/>
      <c r="AA1098" s="3"/>
      <c r="AB1098" s="3"/>
    </row>
    <row r="1099" customFormat="false" ht="15" hidden="false" customHeight="false" outlineLevel="0" collapsed="false">
      <c r="A1099" s="54"/>
      <c r="B1099" s="52"/>
      <c r="C1099" s="56"/>
      <c r="D1099" s="56"/>
      <c r="E1099" s="56"/>
      <c r="F1099" s="56"/>
      <c r="G1099" s="55"/>
      <c r="H1099" s="56"/>
      <c r="I1099" s="56"/>
      <c r="J1099" s="56"/>
      <c r="K1099" s="56"/>
      <c r="L1099" s="56"/>
      <c r="M1099" s="52"/>
      <c r="N1099" s="53"/>
      <c r="O1099" s="62" t="str">
        <f aca="false">IF($B1099="","",TEXT($A1099,"YYYY-MM-DD")&amp;"|"&amp;$B1099)</f>
        <v/>
      </c>
      <c r="P1099" s="3"/>
      <c r="Q1099" s="3"/>
      <c r="R1099" s="3"/>
      <c r="S1099" s="3"/>
      <c r="T1099" s="3"/>
      <c r="U1099" s="3"/>
      <c r="V1099" s="3"/>
      <c r="W1099" s="3"/>
      <c r="X1099" s="3"/>
      <c r="Y1099" s="3"/>
      <c r="Z1099" s="3"/>
      <c r="AA1099" s="3"/>
      <c r="AB1099" s="3"/>
    </row>
    <row r="1100" customFormat="false" ht="15" hidden="false" customHeight="false" outlineLevel="0" collapsed="false">
      <c r="A1100" s="48"/>
      <c r="B1100" s="46"/>
      <c r="C1100" s="50"/>
      <c r="D1100" s="50"/>
      <c r="E1100" s="50"/>
      <c r="F1100" s="50"/>
      <c r="G1100" s="49"/>
      <c r="H1100" s="50"/>
      <c r="I1100" s="50"/>
      <c r="J1100" s="50"/>
      <c r="K1100" s="50"/>
      <c r="L1100" s="50"/>
      <c r="M1100" s="46"/>
      <c r="N1100" s="47"/>
      <c r="O1100" s="62" t="str">
        <f aca="false">IF($B1100="","",TEXT($A1100,"YYYY-MM-DD")&amp;"|"&amp;$B1100)</f>
        <v/>
      </c>
      <c r="P1100" s="3"/>
      <c r="Q1100" s="3"/>
      <c r="R1100" s="3"/>
      <c r="S1100" s="3"/>
      <c r="T1100" s="3"/>
      <c r="U1100" s="3"/>
      <c r="V1100" s="3"/>
      <c r="W1100" s="3"/>
      <c r="X1100" s="3"/>
      <c r="Y1100" s="3"/>
      <c r="Z1100" s="3"/>
      <c r="AA1100" s="3"/>
      <c r="AB1100" s="3"/>
    </row>
    <row r="1101" customFormat="false" ht="15" hidden="false" customHeight="false" outlineLevel="0" collapsed="false">
      <c r="A1101" s="54"/>
      <c r="B1101" s="52"/>
      <c r="C1101" s="56"/>
      <c r="D1101" s="56"/>
      <c r="E1101" s="56"/>
      <c r="F1101" s="56"/>
      <c r="G1101" s="55"/>
      <c r="H1101" s="56"/>
      <c r="I1101" s="56"/>
      <c r="J1101" s="56"/>
      <c r="K1101" s="56"/>
      <c r="L1101" s="56"/>
      <c r="M1101" s="52"/>
      <c r="N1101" s="53"/>
      <c r="O1101" s="62" t="str">
        <f aca="false">IF($B1101="","",TEXT($A1101,"YYYY-MM-DD")&amp;"|"&amp;$B1101)</f>
        <v/>
      </c>
      <c r="P1101" s="3"/>
      <c r="Q1101" s="3"/>
      <c r="R1101" s="3"/>
      <c r="S1101" s="3"/>
      <c r="T1101" s="3"/>
      <c r="U1101" s="3"/>
      <c r="V1101" s="3"/>
      <c r="W1101" s="3"/>
      <c r="X1101" s="3"/>
      <c r="Y1101" s="3"/>
      <c r="Z1101" s="3"/>
      <c r="AA1101" s="3"/>
      <c r="AB1101" s="3"/>
    </row>
    <row r="1102" customFormat="false" ht="15" hidden="false" customHeight="false" outlineLevel="0" collapsed="false">
      <c r="A1102" s="48"/>
      <c r="B1102" s="46"/>
      <c r="C1102" s="50"/>
      <c r="D1102" s="50"/>
      <c r="E1102" s="50"/>
      <c r="F1102" s="50"/>
      <c r="G1102" s="49"/>
      <c r="H1102" s="50"/>
      <c r="I1102" s="50"/>
      <c r="J1102" s="50"/>
      <c r="K1102" s="50"/>
      <c r="L1102" s="50"/>
      <c r="M1102" s="46"/>
      <c r="N1102" s="47"/>
      <c r="O1102" s="62" t="str">
        <f aca="false">IF($B1102="","",TEXT($A1102,"YYYY-MM-DD")&amp;"|"&amp;$B1102)</f>
        <v/>
      </c>
      <c r="P1102" s="3"/>
      <c r="Q1102" s="3"/>
      <c r="R1102" s="3"/>
      <c r="S1102" s="3"/>
      <c r="T1102" s="3"/>
      <c r="U1102" s="3"/>
      <c r="V1102" s="3"/>
      <c r="W1102" s="3"/>
      <c r="X1102" s="3"/>
      <c r="Y1102" s="3"/>
      <c r="Z1102" s="3"/>
      <c r="AA1102" s="3"/>
      <c r="AB1102" s="3"/>
    </row>
    <row r="1103" customFormat="false" ht="15" hidden="false" customHeight="false" outlineLevel="0" collapsed="false">
      <c r="A1103" s="54"/>
      <c r="B1103" s="52"/>
      <c r="C1103" s="56"/>
      <c r="D1103" s="56"/>
      <c r="E1103" s="56"/>
      <c r="F1103" s="56"/>
      <c r="G1103" s="55"/>
      <c r="H1103" s="56"/>
      <c r="I1103" s="56"/>
      <c r="J1103" s="56"/>
      <c r="K1103" s="56"/>
      <c r="L1103" s="56"/>
      <c r="M1103" s="52"/>
      <c r="N1103" s="53"/>
      <c r="O1103" s="62" t="str">
        <f aca="false">IF($B1103="","",TEXT($A1103,"YYYY-MM-DD")&amp;"|"&amp;$B1103)</f>
        <v/>
      </c>
      <c r="P1103" s="3"/>
      <c r="Q1103" s="3"/>
      <c r="R1103" s="3"/>
      <c r="S1103" s="3"/>
      <c r="T1103" s="3"/>
      <c r="U1103" s="3"/>
      <c r="V1103" s="3"/>
      <c r="W1103" s="3"/>
      <c r="X1103" s="3"/>
      <c r="Y1103" s="3"/>
      <c r="Z1103" s="3"/>
      <c r="AA1103" s="3"/>
      <c r="AB1103" s="3"/>
    </row>
    <row r="1104" customFormat="false" ht="15" hidden="false" customHeight="false" outlineLevel="0" collapsed="false">
      <c r="A1104" s="48"/>
      <c r="B1104" s="46"/>
      <c r="C1104" s="50"/>
      <c r="D1104" s="50"/>
      <c r="E1104" s="50"/>
      <c r="F1104" s="50"/>
      <c r="G1104" s="49"/>
      <c r="H1104" s="50"/>
      <c r="I1104" s="50"/>
      <c r="J1104" s="50"/>
      <c r="K1104" s="50"/>
      <c r="L1104" s="50"/>
      <c r="M1104" s="46"/>
      <c r="N1104" s="47"/>
      <c r="O1104" s="62" t="str">
        <f aca="false">IF($B1104="","",TEXT($A1104,"YYYY-MM-DD")&amp;"|"&amp;$B1104)</f>
        <v/>
      </c>
      <c r="P1104" s="3"/>
      <c r="Q1104" s="3"/>
      <c r="R1104" s="3"/>
      <c r="S1104" s="3"/>
      <c r="T1104" s="3"/>
      <c r="U1104" s="3"/>
      <c r="V1104" s="3"/>
      <c r="W1104" s="3"/>
      <c r="X1104" s="3"/>
      <c r="Y1104" s="3"/>
      <c r="Z1104" s="3"/>
      <c r="AA1104" s="3"/>
      <c r="AB1104" s="3"/>
    </row>
    <row r="1105" customFormat="false" ht="15" hidden="false" customHeight="false" outlineLevel="0" collapsed="false">
      <c r="A1105" s="54"/>
      <c r="B1105" s="52"/>
      <c r="C1105" s="56"/>
      <c r="D1105" s="56"/>
      <c r="E1105" s="56"/>
      <c r="F1105" s="56"/>
      <c r="G1105" s="55"/>
      <c r="H1105" s="56"/>
      <c r="I1105" s="56"/>
      <c r="J1105" s="56"/>
      <c r="K1105" s="56"/>
      <c r="L1105" s="56"/>
      <c r="M1105" s="52"/>
      <c r="N1105" s="53"/>
      <c r="O1105" s="62" t="str">
        <f aca="false">IF($B1105="","",TEXT($A1105,"YYYY-MM-DD")&amp;"|"&amp;$B1105)</f>
        <v/>
      </c>
      <c r="P1105" s="3"/>
      <c r="Q1105" s="3"/>
      <c r="R1105" s="3"/>
      <c r="S1105" s="3"/>
      <c r="T1105" s="3"/>
      <c r="U1105" s="3"/>
      <c r="V1105" s="3"/>
      <c r="W1105" s="3"/>
      <c r="X1105" s="3"/>
      <c r="Y1105" s="3"/>
      <c r="Z1105" s="3"/>
      <c r="AA1105" s="3"/>
      <c r="AB1105" s="3"/>
    </row>
    <row r="1106" customFormat="false" ht="15" hidden="false" customHeight="false" outlineLevel="0" collapsed="false">
      <c r="A1106" s="48"/>
      <c r="B1106" s="46"/>
      <c r="C1106" s="50"/>
      <c r="D1106" s="50"/>
      <c r="E1106" s="50"/>
      <c r="F1106" s="50"/>
      <c r="G1106" s="49"/>
      <c r="H1106" s="50"/>
      <c r="I1106" s="50"/>
      <c r="J1106" s="50"/>
      <c r="K1106" s="50"/>
      <c r="L1106" s="50"/>
      <c r="M1106" s="46"/>
      <c r="N1106" s="47"/>
      <c r="O1106" s="62" t="str">
        <f aca="false">IF($B1106="","",TEXT($A1106,"YYYY-MM-DD")&amp;"|"&amp;$B1106)</f>
        <v/>
      </c>
      <c r="P1106" s="3"/>
      <c r="Q1106" s="3"/>
      <c r="R1106" s="3"/>
      <c r="S1106" s="3"/>
      <c r="T1106" s="3"/>
      <c r="U1106" s="3"/>
      <c r="V1106" s="3"/>
      <c r="W1106" s="3"/>
      <c r="X1106" s="3"/>
      <c r="Y1106" s="3"/>
      <c r="Z1106" s="3"/>
      <c r="AA1106" s="3"/>
      <c r="AB1106" s="3"/>
    </row>
    <row r="1107" customFormat="false" ht="15" hidden="false" customHeight="false" outlineLevel="0" collapsed="false">
      <c r="A1107" s="54"/>
      <c r="B1107" s="52"/>
      <c r="C1107" s="56"/>
      <c r="D1107" s="56"/>
      <c r="E1107" s="56"/>
      <c r="F1107" s="56"/>
      <c r="G1107" s="55"/>
      <c r="H1107" s="56"/>
      <c r="I1107" s="56"/>
      <c r="J1107" s="56"/>
      <c r="K1107" s="56"/>
      <c r="L1107" s="56"/>
      <c r="M1107" s="52"/>
      <c r="N1107" s="53"/>
      <c r="O1107" s="62" t="str">
        <f aca="false">IF($B1107="","",TEXT($A1107,"YYYY-MM-DD")&amp;"|"&amp;$B1107)</f>
        <v/>
      </c>
      <c r="P1107" s="3"/>
      <c r="Q1107" s="3"/>
      <c r="R1107" s="3"/>
      <c r="S1107" s="3"/>
      <c r="T1107" s="3"/>
      <c r="U1107" s="3"/>
      <c r="V1107" s="3"/>
      <c r="W1107" s="3"/>
      <c r="X1107" s="3"/>
      <c r="Y1107" s="3"/>
      <c r="Z1107" s="3"/>
      <c r="AA1107" s="3"/>
      <c r="AB1107" s="3"/>
    </row>
    <row r="1108" customFormat="false" ht="15" hidden="false" customHeight="false" outlineLevel="0" collapsed="false">
      <c r="A1108" s="48"/>
      <c r="B1108" s="46"/>
      <c r="C1108" s="50"/>
      <c r="D1108" s="50"/>
      <c r="E1108" s="50"/>
      <c r="F1108" s="50"/>
      <c r="G1108" s="49"/>
      <c r="H1108" s="50"/>
      <c r="I1108" s="50"/>
      <c r="J1108" s="50"/>
      <c r="K1108" s="50"/>
      <c r="L1108" s="50"/>
      <c r="M1108" s="46"/>
      <c r="N1108" s="47"/>
      <c r="O1108" s="62" t="str">
        <f aca="false">IF($B1108="","",TEXT($A1108,"YYYY-MM-DD")&amp;"|"&amp;$B1108)</f>
        <v/>
      </c>
      <c r="P1108" s="3"/>
      <c r="Q1108" s="3"/>
      <c r="R1108" s="3"/>
      <c r="S1108" s="3"/>
      <c r="T1108" s="3"/>
      <c r="U1108" s="3"/>
      <c r="V1108" s="3"/>
      <c r="W1108" s="3"/>
      <c r="X1108" s="3"/>
      <c r="Y1108" s="3"/>
      <c r="Z1108" s="3"/>
      <c r="AA1108" s="3"/>
      <c r="AB1108" s="3"/>
    </row>
    <row r="1109" customFormat="false" ht="15" hidden="false" customHeight="false" outlineLevel="0" collapsed="false">
      <c r="A1109" s="54"/>
      <c r="B1109" s="52"/>
      <c r="C1109" s="56"/>
      <c r="D1109" s="56"/>
      <c r="E1109" s="56"/>
      <c r="F1109" s="56"/>
      <c r="G1109" s="55"/>
      <c r="H1109" s="56"/>
      <c r="I1109" s="56"/>
      <c r="J1109" s="56"/>
      <c r="K1109" s="56"/>
      <c r="L1109" s="56"/>
      <c r="M1109" s="52"/>
      <c r="N1109" s="53"/>
      <c r="O1109" s="62" t="str">
        <f aca="false">IF($B1109="","",TEXT($A1109,"YYYY-MM-DD")&amp;"|"&amp;$B1109)</f>
        <v/>
      </c>
      <c r="P1109" s="3"/>
      <c r="Q1109" s="3"/>
      <c r="R1109" s="3"/>
      <c r="S1109" s="3"/>
      <c r="T1109" s="3"/>
      <c r="U1109" s="3"/>
      <c r="V1109" s="3"/>
      <c r="W1109" s="3"/>
      <c r="X1109" s="3"/>
      <c r="Y1109" s="3"/>
      <c r="Z1109" s="3"/>
      <c r="AA1109" s="3"/>
      <c r="AB1109" s="3"/>
    </row>
    <row r="1110" customFormat="false" ht="15" hidden="false" customHeight="false" outlineLevel="0" collapsed="false">
      <c r="A1110" s="48"/>
      <c r="B1110" s="46"/>
      <c r="C1110" s="50"/>
      <c r="D1110" s="50"/>
      <c r="E1110" s="50"/>
      <c r="F1110" s="50"/>
      <c r="G1110" s="49"/>
      <c r="H1110" s="50"/>
      <c r="I1110" s="50"/>
      <c r="J1110" s="50"/>
      <c r="K1110" s="50"/>
      <c r="L1110" s="50"/>
      <c r="M1110" s="46"/>
      <c r="N1110" s="47"/>
      <c r="O1110" s="62" t="str">
        <f aca="false">IF($B1110="","",TEXT($A1110,"YYYY-MM-DD")&amp;"|"&amp;$B1110)</f>
        <v/>
      </c>
      <c r="P1110" s="3"/>
      <c r="Q1110" s="3"/>
      <c r="R1110" s="3"/>
      <c r="S1110" s="3"/>
      <c r="T1110" s="3"/>
      <c r="U1110" s="3"/>
      <c r="V1110" s="3"/>
      <c r="W1110" s="3"/>
      <c r="X1110" s="3"/>
      <c r="Y1110" s="3"/>
      <c r="Z1110" s="3"/>
      <c r="AA1110" s="3"/>
      <c r="AB1110" s="3"/>
    </row>
    <row r="1111" customFormat="false" ht="15" hidden="false" customHeight="false" outlineLevel="0" collapsed="false">
      <c r="A1111" s="54"/>
      <c r="B1111" s="52"/>
      <c r="C1111" s="56"/>
      <c r="D1111" s="56"/>
      <c r="E1111" s="56"/>
      <c r="F1111" s="56"/>
      <c r="G1111" s="55"/>
      <c r="H1111" s="56"/>
      <c r="I1111" s="56"/>
      <c r="J1111" s="56"/>
      <c r="K1111" s="56"/>
      <c r="L1111" s="56"/>
      <c r="M1111" s="52"/>
      <c r="N1111" s="53"/>
      <c r="O1111" s="62" t="str">
        <f aca="false">IF($B1111="","",TEXT($A1111,"YYYY-MM-DD")&amp;"|"&amp;$B1111)</f>
        <v/>
      </c>
      <c r="P1111" s="3"/>
      <c r="Q1111" s="3"/>
      <c r="R1111" s="3"/>
      <c r="S1111" s="3"/>
      <c r="T1111" s="3"/>
      <c r="U1111" s="3"/>
      <c r="V1111" s="3"/>
      <c r="W1111" s="3"/>
      <c r="X1111" s="3"/>
      <c r="Y1111" s="3"/>
      <c r="Z1111" s="3"/>
      <c r="AA1111" s="3"/>
      <c r="AB1111" s="3"/>
    </row>
    <row r="1112" customFormat="false" ht="15" hidden="false" customHeight="false" outlineLevel="0" collapsed="false">
      <c r="A1112" s="48"/>
      <c r="B1112" s="46"/>
      <c r="C1112" s="50"/>
      <c r="D1112" s="50"/>
      <c r="E1112" s="50"/>
      <c r="F1112" s="50"/>
      <c r="G1112" s="49"/>
      <c r="H1112" s="50"/>
      <c r="I1112" s="50"/>
      <c r="J1112" s="50"/>
      <c r="K1112" s="50"/>
      <c r="L1112" s="50"/>
      <c r="M1112" s="46"/>
      <c r="N1112" s="47"/>
      <c r="O1112" s="62" t="str">
        <f aca="false">IF($B1112="","",TEXT($A1112,"YYYY-MM-DD")&amp;"|"&amp;$B1112)</f>
        <v/>
      </c>
      <c r="P1112" s="3"/>
      <c r="Q1112" s="3"/>
      <c r="R1112" s="3"/>
      <c r="S1112" s="3"/>
      <c r="T1112" s="3"/>
      <c r="U1112" s="3"/>
      <c r="V1112" s="3"/>
      <c r="W1112" s="3"/>
      <c r="X1112" s="3"/>
      <c r="Y1112" s="3"/>
      <c r="Z1112" s="3"/>
      <c r="AA1112" s="3"/>
      <c r="AB1112" s="3"/>
    </row>
    <row r="1113" customFormat="false" ht="15" hidden="false" customHeight="false" outlineLevel="0" collapsed="false">
      <c r="A1113" s="54"/>
      <c r="B1113" s="52"/>
      <c r="C1113" s="56"/>
      <c r="D1113" s="56"/>
      <c r="E1113" s="56"/>
      <c r="F1113" s="56"/>
      <c r="G1113" s="55"/>
      <c r="H1113" s="56"/>
      <c r="I1113" s="56"/>
      <c r="J1113" s="56"/>
      <c r="K1113" s="56"/>
      <c r="L1113" s="56"/>
      <c r="M1113" s="52"/>
      <c r="N1113" s="53"/>
      <c r="O1113" s="62" t="str">
        <f aca="false">IF($B1113="","",TEXT($A1113,"YYYY-MM-DD")&amp;"|"&amp;$B1113)</f>
        <v/>
      </c>
      <c r="P1113" s="3"/>
      <c r="Q1113" s="3"/>
      <c r="R1113" s="3"/>
      <c r="S1113" s="3"/>
      <c r="T1113" s="3"/>
      <c r="U1113" s="3"/>
      <c r="V1113" s="3"/>
      <c r="W1113" s="3"/>
      <c r="X1113" s="3"/>
      <c r="Y1113" s="3"/>
      <c r="Z1113" s="3"/>
      <c r="AA1113" s="3"/>
      <c r="AB1113" s="3"/>
    </row>
    <row r="1114" customFormat="false" ht="15" hidden="false" customHeight="false" outlineLevel="0" collapsed="false">
      <c r="A1114" s="48"/>
      <c r="B1114" s="46"/>
      <c r="C1114" s="50"/>
      <c r="D1114" s="50"/>
      <c r="E1114" s="50"/>
      <c r="F1114" s="50"/>
      <c r="G1114" s="49"/>
      <c r="H1114" s="50"/>
      <c r="I1114" s="50"/>
      <c r="J1114" s="50"/>
      <c r="K1114" s="50"/>
      <c r="L1114" s="50"/>
      <c r="M1114" s="46"/>
      <c r="N1114" s="47"/>
      <c r="O1114" s="62" t="str">
        <f aca="false">IF($B1114="","",TEXT($A1114,"YYYY-MM-DD")&amp;"|"&amp;$B1114)</f>
        <v/>
      </c>
      <c r="P1114" s="3"/>
      <c r="Q1114" s="3"/>
      <c r="R1114" s="3"/>
      <c r="S1114" s="3"/>
      <c r="T1114" s="3"/>
      <c r="U1114" s="3"/>
      <c r="V1114" s="3"/>
      <c r="W1114" s="3"/>
      <c r="X1114" s="3"/>
      <c r="Y1114" s="3"/>
      <c r="Z1114" s="3"/>
      <c r="AA1114" s="3"/>
      <c r="AB1114" s="3"/>
    </row>
    <row r="1115" customFormat="false" ht="15" hidden="false" customHeight="false" outlineLevel="0" collapsed="false">
      <c r="A1115" s="54"/>
      <c r="B1115" s="52"/>
      <c r="C1115" s="56"/>
      <c r="D1115" s="56"/>
      <c r="E1115" s="56"/>
      <c r="F1115" s="56"/>
      <c r="G1115" s="55"/>
      <c r="H1115" s="56"/>
      <c r="I1115" s="56"/>
      <c r="J1115" s="56"/>
      <c r="K1115" s="56"/>
      <c r="L1115" s="56"/>
      <c r="M1115" s="52"/>
      <c r="N1115" s="53"/>
      <c r="O1115" s="62" t="str">
        <f aca="false">IF($B1115="","",TEXT($A1115,"YYYY-MM-DD")&amp;"|"&amp;$B1115)</f>
        <v/>
      </c>
      <c r="P1115" s="3"/>
      <c r="Q1115" s="3"/>
      <c r="R1115" s="3"/>
      <c r="S1115" s="3"/>
      <c r="T1115" s="3"/>
      <c r="U1115" s="3"/>
      <c r="V1115" s="3"/>
      <c r="W1115" s="3"/>
      <c r="X1115" s="3"/>
      <c r="Y1115" s="3"/>
      <c r="Z1115" s="3"/>
      <c r="AA1115" s="3"/>
      <c r="AB1115" s="3"/>
    </row>
    <row r="1116" customFormat="false" ht="15" hidden="false" customHeight="false" outlineLevel="0" collapsed="false">
      <c r="A1116" s="48"/>
      <c r="B1116" s="46"/>
      <c r="C1116" s="50"/>
      <c r="D1116" s="50"/>
      <c r="E1116" s="50"/>
      <c r="F1116" s="50"/>
      <c r="G1116" s="49"/>
      <c r="H1116" s="50"/>
      <c r="I1116" s="50"/>
      <c r="J1116" s="50"/>
      <c r="K1116" s="50"/>
      <c r="L1116" s="50"/>
      <c r="M1116" s="46"/>
      <c r="N1116" s="47"/>
      <c r="O1116" s="62" t="str">
        <f aca="false">IF($B1116="","",TEXT($A1116,"YYYY-MM-DD")&amp;"|"&amp;$B1116)</f>
        <v/>
      </c>
      <c r="P1116" s="3"/>
      <c r="Q1116" s="3"/>
      <c r="R1116" s="3"/>
      <c r="S1116" s="3"/>
      <c r="T1116" s="3"/>
      <c r="U1116" s="3"/>
      <c r="V1116" s="3"/>
      <c r="W1116" s="3"/>
      <c r="X1116" s="3"/>
      <c r="Y1116" s="3"/>
      <c r="Z1116" s="3"/>
      <c r="AA1116" s="3"/>
      <c r="AB1116" s="3"/>
    </row>
    <row r="1117" customFormat="false" ht="15" hidden="false" customHeight="false" outlineLevel="0" collapsed="false">
      <c r="A1117" s="54"/>
      <c r="B1117" s="52"/>
      <c r="C1117" s="56"/>
      <c r="D1117" s="56"/>
      <c r="E1117" s="56"/>
      <c r="F1117" s="56"/>
      <c r="G1117" s="55"/>
      <c r="H1117" s="56"/>
      <c r="I1117" s="56"/>
      <c r="J1117" s="56"/>
      <c r="K1117" s="56"/>
      <c r="L1117" s="56"/>
      <c r="M1117" s="52"/>
      <c r="N1117" s="53"/>
      <c r="O1117" s="62" t="str">
        <f aca="false">IF($B1117="","",TEXT($A1117,"YYYY-MM-DD")&amp;"|"&amp;$B1117)</f>
        <v/>
      </c>
      <c r="P1117" s="3"/>
      <c r="Q1117" s="3"/>
      <c r="R1117" s="3"/>
      <c r="S1117" s="3"/>
      <c r="T1117" s="3"/>
      <c r="U1117" s="3"/>
      <c r="V1117" s="3"/>
      <c r="W1117" s="3"/>
      <c r="X1117" s="3"/>
      <c r="Y1117" s="3"/>
      <c r="Z1117" s="3"/>
      <c r="AA1117" s="3"/>
      <c r="AB1117" s="3"/>
    </row>
    <row r="1118" customFormat="false" ht="15" hidden="false" customHeight="false" outlineLevel="0" collapsed="false">
      <c r="A1118" s="48"/>
      <c r="B1118" s="46"/>
      <c r="C1118" s="50"/>
      <c r="D1118" s="50"/>
      <c r="E1118" s="50"/>
      <c r="F1118" s="50"/>
      <c r="G1118" s="49"/>
      <c r="H1118" s="50"/>
      <c r="I1118" s="50"/>
      <c r="J1118" s="50"/>
      <c r="K1118" s="50"/>
      <c r="L1118" s="50"/>
      <c r="M1118" s="46"/>
      <c r="N1118" s="47"/>
      <c r="O1118" s="62" t="str">
        <f aca="false">IF($B1118="","",TEXT($A1118,"YYYY-MM-DD")&amp;"|"&amp;$B1118)</f>
        <v/>
      </c>
      <c r="P1118" s="3"/>
      <c r="Q1118" s="3"/>
      <c r="R1118" s="3"/>
      <c r="S1118" s="3"/>
      <c r="T1118" s="3"/>
      <c r="U1118" s="3"/>
      <c r="V1118" s="3"/>
      <c r="W1118" s="3"/>
      <c r="X1118" s="3"/>
      <c r="Y1118" s="3"/>
      <c r="Z1118" s="3"/>
      <c r="AA1118" s="3"/>
      <c r="AB1118" s="3"/>
    </row>
    <row r="1119" customFormat="false" ht="15" hidden="false" customHeight="false" outlineLevel="0" collapsed="false">
      <c r="A1119" s="54"/>
      <c r="B1119" s="52"/>
      <c r="C1119" s="56"/>
      <c r="D1119" s="56"/>
      <c r="E1119" s="56"/>
      <c r="F1119" s="56"/>
      <c r="G1119" s="55"/>
      <c r="H1119" s="56"/>
      <c r="I1119" s="56"/>
      <c r="J1119" s="56"/>
      <c r="K1119" s="56"/>
      <c r="L1119" s="56"/>
      <c r="M1119" s="52"/>
      <c r="N1119" s="53"/>
      <c r="O1119" s="62" t="str">
        <f aca="false">IF($B1119="","",TEXT($A1119,"YYYY-MM-DD")&amp;"|"&amp;$B1119)</f>
        <v/>
      </c>
      <c r="P1119" s="3"/>
      <c r="Q1119" s="3"/>
      <c r="R1119" s="3"/>
      <c r="S1119" s="3"/>
      <c r="T1119" s="3"/>
      <c r="U1119" s="3"/>
      <c r="V1119" s="3"/>
      <c r="W1119" s="3"/>
      <c r="X1119" s="3"/>
      <c r="Y1119" s="3"/>
      <c r="Z1119" s="3"/>
      <c r="AA1119" s="3"/>
      <c r="AB1119" s="3"/>
    </row>
    <row r="1120" customFormat="false" ht="15" hidden="false" customHeight="false" outlineLevel="0" collapsed="false">
      <c r="A1120" s="48"/>
      <c r="B1120" s="46"/>
      <c r="C1120" s="50"/>
      <c r="D1120" s="50"/>
      <c r="E1120" s="50"/>
      <c r="F1120" s="50"/>
      <c r="G1120" s="49"/>
      <c r="H1120" s="50"/>
      <c r="I1120" s="50"/>
      <c r="J1120" s="50"/>
      <c r="K1120" s="50"/>
      <c r="L1120" s="50"/>
      <c r="M1120" s="46"/>
      <c r="N1120" s="47"/>
      <c r="O1120" s="62" t="str">
        <f aca="false">IF($B1120="","",TEXT($A1120,"YYYY-MM-DD")&amp;"|"&amp;$B1120)</f>
        <v/>
      </c>
      <c r="P1120" s="3"/>
      <c r="Q1120" s="3"/>
      <c r="R1120" s="3"/>
      <c r="S1120" s="3"/>
      <c r="T1120" s="3"/>
      <c r="U1120" s="3"/>
      <c r="V1120" s="3"/>
      <c r="W1120" s="3"/>
      <c r="X1120" s="3"/>
      <c r="Y1120" s="3"/>
      <c r="Z1120" s="3"/>
      <c r="AA1120" s="3"/>
      <c r="AB1120" s="3"/>
    </row>
    <row r="1121" customFormat="false" ht="15" hidden="false" customHeight="false" outlineLevel="0" collapsed="false">
      <c r="A1121" s="54"/>
      <c r="B1121" s="52"/>
      <c r="C1121" s="56"/>
      <c r="D1121" s="56"/>
      <c r="E1121" s="56"/>
      <c r="F1121" s="56"/>
      <c r="G1121" s="55"/>
      <c r="H1121" s="56"/>
      <c r="I1121" s="56"/>
      <c r="J1121" s="56"/>
      <c r="K1121" s="56"/>
      <c r="L1121" s="56"/>
      <c r="M1121" s="52"/>
      <c r="N1121" s="53"/>
      <c r="O1121" s="62" t="str">
        <f aca="false">IF($B1121="","",TEXT($A1121,"YYYY-MM-DD")&amp;"|"&amp;$B1121)</f>
        <v/>
      </c>
      <c r="P1121" s="3"/>
      <c r="Q1121" s="3"/>
      <c r="R1121" s="3"/>
      <c r="S1121" s="3"/>
      <c r="T1121" s="3"/>
      <c r="U1121" s="3"/>
      <c r="V1121" s="3"/>
      <c r="W1121" s="3"/>
      <c r="X1121" s="3"/>
      <c r="Y1121" s="3"/>
      <c r="Z1121" s="3"/>
      <c r="AA1121" s="3"/>
      <c r="AB1121" s="3"/>
    </row>
    <row r="1122" customFormat="false" ht="15" hidden="false" customHeight="false" outlineLevel="0" collapsed="false">
      <c r="A1122" s="48"/>
      <c r="B1122" s="46"/>
      <c r="C1122" s="50"/>
      <c r="D1122" s="50"/>
      <c r="E1122" s="50"/>
      <c r="F1122" s="50"/>
      <c r="G1122" s="49"/>
      <c r="H1122" s="50"/>
      <c r="I1122" s="50"/>
      <c r="J1122" s="50"/>
      <c r="K1122" s="50"/>
      <c r="L1122" s="50"/>
      <c r="M1122" s="46"/>
      <c r="N1122" s="47"/>
      <c r="O1122" s="62" t="str">
        <f aca="false">IF($B1122="","",TEXT($A1122,"YYYY-MM-DD")&amp;"|"&amp;$B1122)</f>
        <v/>
      </c>
      <c r="P1122" s="3"/>
      <c r="Q1122" s="3"/>
      <c r="R1122" s="3"/>
      <c r="S1122" s="3"/>
      <c r="T1122" s="3"/>
      <c r="U1122" s="3"/>
      <c r="V1122" s="3"/>
      <c r="W1122" s="3"/>
      <c r="X1122" s="3"/>
      <c r="Y1122" s="3"/>
      <c r="Z1122" s="3"/>
      <c r="AA1122" s="3"/>
      <c r="AB1122" s="3"/>
    </row>
    <row r="1123" customFormat="false" ht="15" hidden="false" customHeight="false" outlineLevel="0" collapsed="false">
      <c r="A1123" s="54"/>
      <c r="B1123" s="52"/>
      <c r="C1123" s="56"/>
      <c r="D1123" s="56"/>
      <c r="E1123" s="56"/>
      <c r="F1123" s="56"/>
      <c r="G1123" s="55"/>
      <c r="H1123" s="56"/>
      <c r="I1123" s="56"/>
      <c r="J1123" s="56"/>
      <c r="K1123" s="56"/>
      <c r="L1123" s="56"/>
      <c r="M1123" s="52"/>
      <c r="N1123" s="53"/>
      <c r="O1123" s="62" t="str">
        <f aca="false">IF($B1123="","",TEXT($A1123,"YYYY-MM-DD")&amp;"|"&amp;$B1123)</f>
        <v/>
      </c>
      <c r="P1123" s="3"/>
      <c r="Q1123" s="3"/>
      <c r="R1123" s="3"/>
      <c r="S1123" s="3"/>
      <c r="T1123" s="3"/>
      <c r="U1123" s="3"/>
      <c r="V1123" s="3"/>
      <c r="W1123" s="3"/>
      <c r="X1123" s="3"/>
      <c r="Y1123" s="3"/>
      <c r="Z1123" s="3"/>
      <c r="AA1123" s="3"/>
      <c r="AB1123" s="3"/>
    </row>
    <row r="1124" customFormat="false" ht="15" hidden="false" customHeight="false" outlineLevel="0" collapsed="false">
      <c r="A1124" s="48"/>
      <c r="B1124" s="46"/>
      <c r="C1124" s="50"/>
      <c r="D1124" s="50"/>
      <c r="E1124" s="50"/>
      <c r="F1124" s="50"/>
      <c r="G1124" s="49"/>
      <c r="H1124" s="50"/>
      <c r="I1124" s="50"/>
      <c r="J1124" s="50"/>
      <c r="K1124" s="50"/>
      <c r="L1124" s="50"/>
      <c r="M1124" s="46"/>
      <c r="N1124" s="47"/>
      <c r="O1124" s="62" t="str">
        <f aca="false">IF($B1124="","",TEXT($A1124,"YYYY-MM-DD")&amp;"|"&amp;$B1124)</f>
        <v/>
      </c>
      <c r="P1124" s="3"/>
      <c r="Q1124" s="3"/>
      <c r="R1124" s="3"/>
      <c r="S1124" s="3"/>
      <c r="T1124" s="3"/>
      <c r="U1124" s="3"/>
      <c r="V1124" s="3"/>
      <c r="W1124" s="3"/>
      <c r="X1124" s="3"/>
      <c r="Y1124" s="3"/>
      <c r="Z1124" s="3"/>
      <c r="AA1124" s="3"/>
      <c r="AB1124" s="3"/>
    </row>
    <row r="1125" customFormat="false" ht="15" hidden="false" customHeight="false" outlineLevel="0" collapsed="false">
      <c r="A1125" s="54"/>
      <c r="B1125" s="52"/>
      <c r="C1125" s="56"/>
      <c r="D1125" s="56"/>
      <c r="E1125" s="56"/>
      <c r="F1125" s="56"/>
      <c r="G1125" s="55"/>
      <c r="H1125" s="56"/>
      <c r="I1125" s="56"/>
      <c r="J1125" s="56"/>
      <c r="K1125" s="56"/>
      <c r="L1125" s="56"/>
      <c r="M1125" s="52"/>
      <c r="N1125" s="53"/>
      <c r="O1125" s="62" t="str">
        <f aca="false">IF($B1125="","",TEXT($A1125,"YYYY-MM-DD")&amp;"|"&amp;$B1125)</f>
        <v/>
      </c>
      <c r="P1125" s="3"/>
      <c r="Q1125" s="3"/>
      <c r="R1125" s="3"/>
      <c r="S1125" s="3"/>
      <c r="T1125" s="3"/>
      <c r="U1125" s="3"/>
      <c r="V1125" s="3"/>
      <c r="W1125" s="3"/>
      <c r="X1125" s="3"/>
      <c r="Y1125" s="3"/>
      <c r="Z1125" s="3"/>
      <c r="AA1125" s="3"/>
      <c r="AB1125" s="3"/>
    </row>
    <row r="1126" customFormat="false" ht="15" hidden="false" customHeight="false" outlineLevel="0" collapsed="false">
      <c r="A1126" s="48"/>
      <c r="B1126" s="46"/>
      <c r="C1126" s="50"/>
      <c r="D1126" s="50"/>
      <c r="E1126" s="50"/>
      <c r="F1126" s="50"/>
      <c r="G1126" s="49"/>
      <c r="H1126" s="50"/>
      <c r="I1126" s="50"/>
      <c r="J1126" s="50"/>
      <c r="K1126" s="50"/>
      <c r="L1126" s="50"/>
      <c r="M1126" s="46"/>
      <c r="N1126" s="47"/>
      <c r="O1126" s="62" t="str">
        <f aca="false">IF($B1126="","",TEXT($A1126,"YYYY-MM-DD")&amp;"|"&amp;$B1126)</f>
        <v/>
      </c>
      <c r="P1126" s="3"/>
      <c r="Q1126" s="3"/>
      <c r="R1126" s="3"/>
      <c r="S1126" s="3"/>
      <c r="T1126" s="3"/>
      <c r="U1126" s="3"/>
      <c r="V1126" s="3"/>
      <c r="W1126" s="3"/>
      <c r="X1126" s="3"/>
      <c r="Y1126" s="3"/>
      <c r="Z1126" s="3"/>
      <c r="AA1126" s="3"/>
      <c r="AB1126" s="3"/>
    </row>
    <row r="1127" customFormat="false" ht="15" hidden="false" customHeight="false" outlineLevel="0" collapsed="false">
      <c r="A1127" s="54"/>
      <c r="B1127" s="52"/>
      <c r="C1127" s="56"/>
      <c r="D1127" s="56"/>
      <c r="E1127" s="56"/>
      <c r="F1127" s="56"/>
      <c r="G1127" s="55"/>
      <c r="H1127" s="56"/>
      <c r="I1127" s="56"/>
      <c r="J1127" s="56"/>
      <c r="K1127" s="56"/>
      <c r="L1127" s="56"/>
      <c r="M1127" s="52"/>
      <c r="N1127" s="53"/>
      <c r="O1127" s="62" t="str">
        <f aca="false">IF($B1127="","",TEXT($A1127,"YYYY-MM-DD")&amp;"|"&amp;$B1127)</f>
        <v/>
      </c>
      <c r="P1127" s="3"/>
      <c r="Q1127" s="3"/>
      <c r="R1127" s="3"/>
      <c r="S1127" s="3"/>
      <c r="T1127" s="3"/>
      <c r="U1127" s="3"/>
      <c r="V1127" s="3"/>
      <c r="W1127" s="3"/>
      <c r="X1127" s="3"/>
      <c r="Y1127" s="3"/>
      <c r="Z1127" s="3"/>
      <c r="AA1127" s="3"/>
      <c r="AB1127" s="3"/>
    </row>
    <row r="1128" customFormat="false" ht="15" hidden="false" customHeight="false" outlineLevel="0" collapsed="false">
      <c r="A1128" s="48"/>
      <c r="B1128" s="46"/>
      <c r="C1128" s="50"/>
      <c r="D1128" s="50"/>
      <c r="E1128" s="50"/>
      <c r="F1128" s="50"/>
      <c r="G1128" s="49"/>
      <c r="H1128" s="50"/>
      <c r="I1128" s="50"/>
      <c r="J1128" s="50"/>
      <c r="K1128" s="50"/>
      <c r="L1128" s="50"/>
      <c r="M1128" s="46"/>
      <c r="N1128" s="47"/>
      <c r="O1128" s="62" t="str">
        <f aca="false">IF($B1128="","",TEXT($A1128,"YYYY-MM-DD")&amp;"|"&amp;$B1128)</f>
        <v/>
      </c>
      <c r="P1128" s="3"/>
      <c r="Q1128" s="3"/>
      <c r="R1128" s="3"/>
      <c r="S1128" s="3"/>
      <c r="T1128" s="3"/>
      <c r="U1128" s="3"/>
      <c r="V1128" s="3"/>
      <c r="W1128" s="3"/>
      <c r="X1128" s="3"/>
      <c r="Y1128" s="3"/>
      <c r="Z1128" s="3"/>
      <c r="AA1128" s="3"/>
      <c r="AB1128" s="3"/>
    </row>
    <row r="1129" customFormat="false" ht="15" hidden="false" customHeight="false" outlineLevel="0" collapsed="false">
      <c r="A1129" s="54"/>
      <c r="B1129" s="52"/>
      <c r="C1129" s="56"/>
      <c r="D1129" s="56"/>
      <c r="E1129" s="56"/>
      <c r="F1129" s="56"/>
      <c r="G1129" s="55"/>
      <c r="H1129" s="56"/>
      <c r="I1129" s="56"/>
      <c r="J1129" s="56"/>
      <c r="K1129" s="56"/>
      <c r="L1129" s="56"/>
      <c r="M1129" s="52"/>
      <c r="N1129" s="53"/>
      <c r="O1129" s="62" t="str">
        <f aca="false">IF($B1129="","",TEXT($A1129,"YYYY-MM-DD")&amp;"|"&amp;$B1129)</f>
        <v/>
      </c>
      <c r="P1129" s="3"/>
      <c r="Q1129" s="3"/>
      <c r="R1129" s="3"/>
      <c r="S1129" s="3"/>
      <c r="T1129" s="3"/>
      <c r="U1129" s="3"/>
      <c r="V1129" s="3"/>
      <c r="W1129" s="3"/>
      <c r="X1129" s="3"/>
      <c r="Y1129" s="3"/>
      <c r="Z1129" s="3"/>
      <c r="AA1129" s="3"/>
      <c r="AB1129" s="3"/>
    </row>
    <row r="1130" customFormat="false" ht="15" hidden="false" customHeight="false" outlineLevel="0" collapsed="false">
      <c r="A1130" s="48"/>
      <c r="B1130" s="46"/>
      <c r="C1130" s="50"/>
      <c r="D1130" s="50"/>
      <c r="E1130" s="50"/>
      <c r="F1130" s="50"/>
      <c r="G1130" s="49"/>
      <c r="H1130" s="50"/>
      <c r="I1130" s="50"/>
      <c r="J1130" s="50"/>
      <c r="K1130" s="50"/>
      <c r="L1130" s="50"/>
      <c r="M1130" s="46"/>
      <c r="N1130" s="47"/>
      <c r="O1130" s="62" t="str">
        <f aca="false">IF($B1130="","",TEXT($A1130,"YYYY-MM-DD")&amp;"|"&amp;$B1130)</f>
        <v/>
      </c>
      <c r="P1130" s="3"/>
      <c r="Q1130" s="3"/>
      <c r="R1130" s="3"/>
      <c r="S1130" s="3"/>
      <c r="T1130" s="3"/>
      <c r="U1130" s="3"/>
      <c r="V1130" s="3"/>
      <c r="W1130" s="3"/>
      <c r="X1130" s="3"/>
      <c r="Y1130" s="3"/>
      <c r="Z1130" s="3"/>
      <c r="AA1130" s="3"/>
      <c r="AB1130" s="3"/>
    </row>
    <row r="1131" customFormat="false" ht="15" hidden="false" customHeight="false" outlineLevel="0" collapsed="false">
      <c r="A1131" s="54"/>
      <c r="B1131" s="52"/>
      <c r="C1131" s="56"/>
      <c r="D1131" s="56"/>
      <c r="E1131" s="56"/>
      <c r="F1131" s="56"/>
      <c r="G1131" s="55"/>
      <c r="H1131" s="56"/>
      <c r="I1131" s="56"/>
      <c r="J1131" s="56"/>
      <c r="K1131" s="56"/>
      <c r="L1131" s="56"/>
      <c r="M1131" s="52"/>
      <c r="N1131" s="53"/>
      <c r="O1131" s="62" t="str">
        <f aca="false">IF($B1131="","",TEXT($A1131,"YYYY-MM-DD")&amp;"|"&amp;$B1131)</f>
        <v/>
      </c>
      <c r="P1131" s="3"/>
      <c r="Q1131" s="3"/>
      <c r="R1131" s="3"/>
      <c r="S1131" s="3"/>
      <c r="T1131" s="3"/>
      <c r="U1131" s="3"/>
      <c r="V1131" s="3"/>
      <c r="W1131" s="3"/>
      <c r="X1131" s="3"/>
      <c r="Y1131" s="3"/>
      <c r="Z1131" s="3"/>
      <c r="AA1131" s="3"/>
      <c r="AB1131" s="3"/>
    </row>
    <row r="1132" customFormat="false" ht="15" hidden="false" customHeight="false" outlineLevel="0" collapsed="false">
      <c r="A1132" s="48"/>
      <c r="B1132" s="46"/>
      <c r="C1132" s="50"/>
      <c r="D1132" s="50"/>
      <c r="E1132" s="50"/>
      <c r="F1132" s="50"/>
      <c r="G1132" s="49"/>
      <c r="H1132" s="50"/>
      <c r="I1132" s="50"/>
      <c r="J1132" s="50"/>
      <c r="K1132" s="50"/>
      <c r="L1132" s="50"/>
      <c r="M1132" s="46"/>
      <c r="N1132" s="47"/>
      <c r="O1132" s="62" t="str">
        <f aca="false">IF($B1132="","",TEXT($A1132,"YYYY-MM-DD")&amp;"|"&amp;$B1132)</f>
        <v/>
      </c>
      <c r="P1132" s="3"/>
      <c r="Q1132" s="3"/>
      <c r="R1132" s="3"/>
      <c r="S1132" s="3"/>
      <c r="T1132" s="3"/>
      <c r="U1132" s="3"/>
      <c r="V1132" s="3"/>
      <c r="W1132" s="3"/>
      <c r="X1132" s="3"/>
      <c r="Y1132" s="3"/>
      <c r="Z1132" s="3"/>
      <c r="AA1132" s="3"/>
      <c r="AB1132" s="3"/>
    </row>
    <row r="1133" customFormat="false" ht="15" hidden="false" customHeight="false" outlineLevel="0" collapsed="false">
      <c r="A1133" s="54"/>
      <c r="B1133" s="52"/>
      <c r="C1133" s="56"/>
      <c r="D1133" s="56"/>
      <c r="E1133" s="56"/>
      <c r="F1133" s="56"/>
      <c r="G1133" s="55"/>
      <c r="H1133" s="56"/>
      <c r="I1133" s="56"/>
      <c r="J1133" s="56"/>
      <c r="K1133" s="56"/>
      <c r="L1133" s="56"/>
      <c r="M1133" s="52"/>
      <c r="N1133" s="53"/>
      <c r="O1133" s="62" t="str">
        <f aca="false">IF($B1133="","",TEXT($A1133,"YYYY-MM-DD")&amp;"|"&amp;$B1133)</f>
        <v/>
      </c>
      <c r="P1133" s="3"/>
      <c r="Q1133" s="3"/>
      <c r="R1133" s="3"/>
      <c r="S1133" s="3"/>
      <c r="T1133" s="3"/>
      <c r="U1133" s="3"/>
      <c r="V1133" s="3"/>
      <c r="W1133" s="3"/>
      <c r="X1133" s="3"/>
      <c r="Y1133" s="3"/>
      <c r="Z1133" s="3"/>
      <c r="AA1133" s="3"/>
      <c r="AB1133" s="3"/>
    </row>
    <row r="1134" customFormat="false" ht="15" hidden="false" customHeight="false" outlineLevel="0" collapsed="false">
      <c r="A1134" s="48"/>
      <c r="B1134" s="46"/>
      <c r="C1134" s="50"/>
      <c r="D1134" s="50"/>
      <c r="E1134" s="50"/>
      <c r="F1134" s="50"/>
      <c r="G1134" s="49"/>
      <c r="H1134" s="50"/>
      <c r="I1134" s="50"/>
      <c r="J1134" s="50"/>
      <c r="K1134" s="50"/>
      <c r="L1134" s="50"/>
      <c r="M1134" s="46"/>
      <c r="N1134" s="47"/>
      <c r="O1134" s="62" t="str">
        <f aca="false">IF($B1134="","",TEXT($A1134,"YYYY-MM-DD")&amp;"|"&amp;$B1134)</f>
        <v/>
      </c>
      <c r="P1134" s="3"/>
      <c r="Q1134" s="3"/>
      <c r="R1134" s="3"/>
      <c r="S1134" s="3"/>
      <c r="T1134" s="3"/>
      <c r="U1134" s="3"/>
      <c r="V1134" s="3"/>
      <c r="W1134" s="3"/>
      <c r="X1134" s="3"/>
      <c r="Y1134" s="3"/>
      <c r="Z1134" s="3"/>
      <c r="AA1134" s="3"/>
      <c r="AB1134" s="3"/>
    </row>
    <row r="1135" customFormat="false" ht="15" hidden="false" customHeight="false" outlineLevel="0" collapsed="false">
      <c r="A1135" s="54"/>
      <c r="B1135" s="52"/>
      <c r="C1135" s="56"/>
      <c r="D1135" s="56"/>
      <c r="E1135" s="56"/>
      <c r="F1135" s="56"/>
      <c r="G1135" s="55"/>
      <c r="H1135" s="56"/>
      <c r="I1135" s="56"/>
      <c r="J1135" s="56"/>
      <c r="K1135" s="56"/>
      <c r="L1135" s="56"/>
      <c r="M1135" s="52"/>
      <c r="N1135" s="53"/>
      <c r="O1135" s="62" t="str">
        <f aca="false">IF($B1135="","",TEXT($A1135,"YYYY-MM-DD")&amp;"|"&amp;$B1135)</f>
        <v/>
      </c>
      <c r="P1135" s="3"/>
      <c r="Q1135" s="3"/>
      <c r="R1135" s="3"/>
      <c r="S1135" s="3"/>
      <c r="T1135" s="3"/>
      <c r="U1135" s="3"/>
      <c r="V1135" s="3"/>
      <c r="W1135" s="3"/>
      <c r="X1135" s="3"/>
      <c r="Y1135" s="3"/>
      <c r="Z1135" s="3"/>
      <c r="AA1135" s="3"/>
      <c r="AB1135" s="3"/>
    </row>
    <row r="1136" customFormat="false" ht="15" hidden="false" customHeight="false" outlineLevel="0" collapsed="false">
      <c r="A1136" s="48"/>
      <c r="B1136" s="46"/>
      <c r="C1136" s="50"/>
      <c r="D1136" s="50"/>
      <c r="E1136" s="50"/>
      <c r="F1136" s="50"/>
      <c r="G1136" s="49"/>
      <c r="H1136" s="50"/>
      <c r="I1136" s="50"/>
      <c r="J1136" s="50"/>
      <c r="K1136" s="50"/>
      <c r="L1136" s="50"/>
      <c r="M1136" s="46"/>
      <c r="N1136" s="47"/>
      <c r="O1136" s="62" t="str">
        <f aca="false">IF($B1136="","",TEXT($A1136,"YYYY-MM-DD")&amp;"|"&amp;$B1136)</f>
        <v/>
      </c>
      <c r="P1136" s="3"/>
      <c r="Q1136" s="3"/>
      <c r="R1136" s="3"/>
      <c r="S1136" s="3"/>
      <c r="T1136" s="3"/>
      <c r="U1136" s="3"/>
      <c r="V1136" s="3"/>
      <c r="W1136" s="3"/>
      <c r="X1136" s="3"/>
      <c r="Y1136" s="3"/>
      <c r="Z1136" s="3"/>
      <c r="AA1136" s="3"/>
      <c r="AB1136" s="3"/>
    </row>
    <row r="1137" customFormat="false" ht="15" hidden="false" customHeight="false" outlineLevel="0" collapsed="false">
      <c r="A1137" s="54"/>
      <c r="B1137" s="52"/>
      <c r="C1137" s="56"/>
      <c r="D1137" s="56"/>
      <c r="E1137" s="56"/>
      <c r="F1137" s="56"/>
      <c r="G1137" s="55"/>
      <c r="H1137" s="56"/>
      <c r="I1137" s="56"/>
      <c r="J1137" s="56"/>
      <c r="K1137" s="56"/>
      <c r="L1137" s="56"/>
      <c r="M1137" s="52"/>
      <c r="N1137" s="53"/>
      <c r="O1137" s="62" t="str">
        <f aca="false">IF($B1137="","",TEXT($A1137,"YYYY-MM-DD")&amp;"|"&amp;$B1137)</f>
        <v/>
      </c>
      <c r="P1137" s="3"/>
      <c r="Q1137" s="3"/>
      <c r="R1137" s="3"/>
      <c r="S1137" s="3"/>
      <c r="T1137" s="3"/>
      <c r="U1137" s="3"/>
      <c r="V1137" s="3"/>
      <c r="W1137" s="3"/>
      <c r="X1137" s="3"/>
      <c r="Y1137" s="3"/>
      <c r="Z1137" s="3"/>
      <c r="AA1137" s="3"/>
      <c r="AB1137" s="3"/>
    </row>
    <row r="1138" customFormat="false" ht="15" hidden="false" customHeight="false" outlineLevel="0" collapsed="false">
      <c r="A1138" s="48"/>
      <c r="B1138" s="46"/>
      <c r="C1138" s="50"/>
      <c r="D1138" s="50"/>
      <c r="E1138" s="50"/>
      <c r="F1138" s="50"/>
      <c r="G1138" s="49"/>
      <c r="H1138" s="50"/>
      <c r="I1138" s="50"/>
      <c r="J1138" s="50"/>
      <c r="K1138" s="50"/>
      <c r="L1138" s="50"/>
      <c r="M1138" s="46"/>
      <c r="N1138" s="47"/>
      <c r="O1138" s="62" t="str">
        <f aca="false">IF($B1138="","",TEXT($A1138,"YYYY-MM-DD")&amp;"|"&amp;$B1138)</f>
        <v/>
      </c>
      <c r="P1138" s="3"/>
      <c r="Q1138" s="3"/>
      <c r="R1138" s="3"/>
      <c r="S1138" s="3"/>
      <c r="T1138" s="3"/>
      <c r="U1138" s="3"/>
      <c r="V1138" s="3"/>
      <c r="W1138" s="3"/>
      <c r="X1138" s="3"/>
      <c r="Y1138" s="3"/>
      <c r="Z1138" s="3"/>
      <c r="AA1138" s="3"/>
      <c r="AB1138" s="3"/>
    </row>
    <row r="1139" customFormat="false" ht="15" hidden="false" customHeight="false" outlineLevel="0" collapsed="false">
      <c r="A1139" s="54"/>
      <c r="B1139" s="52"/>
      <c r="C1139" s="56"/>
      <c r="D1139" s="56"/>
      <c r="E1139" s="56"/>
      <c r="F1139" s="56"/>
      <c r="G1139" s="55"/>
      <c r="H1139" s="56"/>
      <c r="I1139" s="56"/>
      <c r="J1139" s="56"/>
      <c r="K1139" s="56"/>
      <c r="L1139" s="56"/>
      <c r="M1139" s="52"/>
      <c r="N1139" s="53"/>
      <c r="O1139" s="62" t="str">
        <f aca="false">IF($B1139="","",TEXT($A1139,"YYYY-MM-DD")&amp;"|"&amp;$B1139)</f>
        <v/>
      </c>
      <c r="P1139" s="3"/>
      <c r="Q1139" s="3"/>
      <c r="R1139" s="3"/>
      <c r="S1139" s="3"/>
      <c r="T1139" s="3"/>
      <c r="U1139" s="3"/>
      <c r="V1139" s="3"/>
      <c r="W1139" s="3"/>
      <c r="X1139" s="3"/>
      <c r="Y1139" s="3"/>
      <c r="Z1139" s="3"/>
      <c r="AA1139" s="3"/>
      <c r="AB1139" s="3"/>
    </row>
    <row r="1140" customFormat="false" ht="15" hidden="false" customHeight="false" outlineLevel="0" collapsed="false">
      <c r="A1140" s="48"/>
      <c r="B1140" s="46"/>
      <c r="C1140" s="50"/>
      <c r="D1140" s="50"/>
      <c r="E1140" s="50"/>
      <c r="F1140" s="50"/>
      <c r="G1140" s="49"/>
      <c r="H1140" s="50"/>
      <c r="I1140" s="50"/>
      <c r="J1140" s="50"/>
      <c r="K1140" s="50"/>
      <c r="L1140" s="50"/>
      <c r="M1140" s="46"/>
      <c r="N1140" s="47"/>
      <c r="O1140" s="62" t="str">
        <f aca="false">IF($B1140="","",TEXT($A1140,"YYYY-MM-DD")&amp;"|"&amp;$B1140)</f>
        <v/>
      </c>
      <c r="P1140" s="3"/>
      <c r="Q1140" s="3"/>
      <c r="R1140" s="3"/>
      <c r="S1140" s="3"/>
      <c r="T1140" s="3"/>
      <c r="U1140" s="3"/>
      <c r="V1140" s="3"/>
      <c r="W1140" s="3"/>
      <c r="X1140" s="3"/>
      <c r="Y1140" s="3"/>
      <c r="Z1140" s="3"/>
      <c r="AA1140" s="3"/>
      <c r="AB1140" s="3"/>
    </row>
    <row r="1141" customFormat="false" ht="15" hidden="false" customHeight="false" outlineLevel="0" collapsed="false">
      <c r="A1141" s="54"/>
      <c r="B1141" s="52"/>
      <c r="C1141" s="56"/>
      <c r="D1141" s="56"/>
      <c r="E1141" s="56"/>
      <c r="F1141" s="56"/>
      <c r="G1141" s="55"/>
      <c r="H1141" s="56"/>
      <c r="I1141" s="56"/>
      <c r="J1141" s="56"/>
      <c r="K1141" s="56"/>
      <c r="L1141" s="56"/>
      <c r="M1141" s="52"/>
      <c r="N1141" s="53"/>
      <c r="O1141" s="62" t="str">
        <f aca="false">IF($B1141="","",TEXT($A1141,"YYYY-MM-DD")&amp;"|"&amp;$B1141)</f>
        <v/>
      </c>
      <c r="P1141" s="3"/>
      <c r="Q1141" s="3"/>
      <c r="R1141" s="3"/>
      <c r="S1141" s="3"/>
      <c r="T1141" s="3"/>
      <c r="U1141" s="3"/>
      <c r="V1141" s="3"/>
      <c r="W1141" s="3"/>
      <c r="X1141" s="3"/>
      <c r="Y1141" s="3"/>
      <c r="Z1141" s="3"/>
      <c r="AA1141" s="3"/>
      <c r="AB1141" s="3"/>
    </row>
    <row r="1142" customFormat="false" ht="15" hidden="false" customHeight="false" outlineLevel="0" collapsed="false">
      <c r="A1142" s="48"/>
      <c r="B1142" s="46"/>
      <c r="C1142" s="50"/>
      <c r="D1142" s="50"/>
      <c r="E1142" s="50"/>
      <c r="F1142" s="50"/>
      <c r="G1142" s="49"/>
      <c r="H1142" s="50"/>
      <c r="I1142" s="50"/>
      <c r="J1142" s="50"/>
      <c r="K1142" s="50"/>
      <c r="L1142" s="50"/>
      <c r="M1142" s="46"/>
      <c r="N1142" s="47"/>
      <c r="O1142" s="62" t="str">
        <f aca="false">IF($B1142="","",TEXT($A1142,"YYYY-MM-DD")&amp;"|"&amp;$B1142)</f>
        <v/>
      </c>
      <c r="P1142" s="3"/>
      <c r="Q1142" s="3"/>
      <c r="R1142" s="3"/>
      <c r="S1142" s="3"/>
      <c r="T1142" s="3"/>
      <c r="U1142" s="3"/>
      <c r="V1142" s="3"/>
      <c r="W1142" s="3"/>
      <c r="X1142" s="3"/>
      <c r="Y1142" s="3"/>
      <c r="Z1142" s="3"/>
      <c r="AA1142" s="3"/>
      <c r="AB1142" s="3"/>
    </row>
    <row r="1143" customFormat="false" ht="15" hidden="false" customHeight="false" outlineLevel="0" collapsed="false">
      <c r="A1143" s="54"/>
      <c r="B1143" s="52"/>
      <c r="C1143" s="56"/>
      <c r="D1143" s="56"/>
      <c r="E1143" s="56"/>
      <c r="F1143" s="56"/>
      <c r="G1143" s="55"/>
      <c r="H1143" s="56"/>
      <c r="I1143" s="56"/>
      <c r="J1143" s="56"/>
      <c r="K1143" s="56"/>
      <c r="L1143" s="56"/>
      <c r="M1143" s="52"/>
      <c r="N1143" s="53"/>
      <c r="O1143" s="62" t="str">
        <f aca="false">IF($B1143="","",TEXT($A1143,"YYYY-MM-DD")&amp;"|"&amp;$B1143)</f>
        <v/>
      </c>
      <c r="P1143" s="3"/>
      <c r="Q1143" s="3"/>
      <c r="R1143" s="3"/>
      <c r="S1143" s="3"/>
      <c r="T1143" s="3"/>
      <c r="U1143" s="3"/>
      <c r="V1143" s="3"/>
      <c r="W1143" s="3"/>
      <c r="X1143" s="3"/>
      <c r="Y1143" s="3"/>
      <c r="Z1143" s="3"/>
      <c r="AA1143" s="3"/>
      <c r="AB1143" s="3"/>
    </row>
    <row r="1144" customFormat="false" ht="15" hidden="false" customHeight="false" outlineLevel="0" collapsed="false">
      <c r="A1144" s="48"/>
      <c r="B1144" s="46"/>
      <c r="C1144" s="50"/>
      <c r="D1144" s="50"/>
      <c r="E1144" s="50"/>
      <c r="F1144" s="50"/>
      <c r="G1144" s="49"/>
      <c r="H1144" s="50"/>
      <c r="I1144" s="50"/>
      <c r="J1144" s="50"/>
      <c r="K1144" s="50"/>
      <c r="L1144" s="50"/>
      <c r="M1144" s="46"/>
      <c r="N1144" s="47"/>
      <c r="O1144" s="62" t="str">
        <f aca="false">IF($B1144="","",TEXT($A1144,"YYYY-MM-DD")&amp;"|"&amp;$B1144)</f>
        <v/>
      </c>
      <c r="P1144" s="3"/>
      <c r="Q1144" s="3"/>
      <c r="R1144" s="3"/>
      <c r="S1144" s="3"/>
      <c r="T1144" s="3"/>
      <c r="U1144" s="3"/>
      <c r="V1144" s="3"/>
      <c r="W1144" s="3"/>
      <c r="X1144" s="3"/>
      <c r="Y1144" s="3"/>
      <c r="Z1144" s="3"/>
      <c r="AA1144" s="3"/>
      <c r="AB1144" s="3"/>
    </row>
    <row r="1145" customFormat="false" ht="15" hidden="false" customHeight="false" outlineLevel="0" collapsed="false">
      <c r="A1145" s="54"/>
      <c r="B1145" s="52"/>
      <c r="C1145" s="56"/>
      <c r="D1145" s="56"/>
      <c r="E1145" s="56"/>
      <c r="F1145" s="56"/>
      <c r="G1145" s="55"/>
      <c r="H1145" s="56"/>
      <c r="I1145" s="56"/>
      <c r="J1145" s="56"/>
      <c r="K1145" s="56"/>
      <c r="L1145" s="56"/>
      <c r="M1145" s="52"/>
      <c r="N1145" s="53"/>
      <c r="O1145" s="62" t="str">
        <f aca="false">IF($B1145="","",TEXT($A1145,"YYYY-MM-DD")&amp;"|"&amp;$B1145)</f>
        <v/>
      </c>
      <c r="P1145" s="3"/>
      <c r="Q1145" s="3"/>
      <c r="R1145" s="3"/>
      <c r="S1145" s="3"/>
      <c r="T1145" s="3"/>
      <c r="U1145" s="3"/>
      <c r="V1145" s="3"/>
      <c r="W1145" s="3"/>
      <c r="X1145" s="3"/>
      <c r="Y1145" s="3"/>
      <c r="Z1145" s="3"/>
      <c r="AA1145" s="3"/>
      <c r="AB1145" s="3"/>
    </row>
    <row r="1146" customFormat="false" ht="15" hidden="false" customHeight="false" outlineLevel="0" collapsed="false">
      <c r="A1146" s="48"/>
      <c r="B1146" s="46"/>
      <c r="C1146" s="50"/>
      <c r="D1146" s="50"/>
      <c r="E1146" s="50"/>
      <c r="F1146" s="50"/>
      <c r="G1146" s="49"/>
      <c r="H1146" s="50"/>
      <c r="I1146" s="50"/>
      <c r="J1146" s="50"/>
      <c r="K1146" s="50"/>
      <c r="L1146" s="50"/>
      <c r="M1146" s="46"/>
      <c r="N1146" s="47"/>
      <c r="O1146" s="62" t="str">
        <f aca="false">IF($B1146="","",TEXT($A1146,"YYYY-MM-DD")&amp;"|"&amp;$B1146)</f>
        <v/>
      </c>
      <c r="P1146" s="3"/>
      <c r="Q1146" s="3"/>
      <c r="R1146" s="3"/>
      <c r="S1146" s="3"/>
      <c r="T1146" s="3"/>
      <c r="U1146" s="3"/>
      <c r="V1146" s="3"/>
      <c r="W1146" s="3"/>
      <c r="X1146" s="3"/>
      <c r="Y1146" s="3"/>
      <c r="Z1146" s="3"/>
      <c r="AA1146" s="3"/>
      <c r="AB1146" s="3"/>
    </row>
    <row r="1147" customFormat="false" ht="15" hidden="false" customHeight="false" outlineLevel="0" collapsed="false">
      <c r="A1147" s="54"/>
      <c r="B1147" s="52"/>
      <c r="C1147" s="56"/>
      <c r="D1147" s="56"/>
      <c r="E1147" s="56"/>
      <c r="F1147" s="56"/>
      <c r="G1147" s="55"/>
      <c r="H1147" s="56"/>
      <c r="I1147" s="56"/>
      <c r="J1147" s="56"/>
      <c r="K1147" s="56"/>
      <c r="L1147" s="56"/>
      <c r="M1147" s="52"/>
      <c r="N1147" s="53"/>
      <c r="O1147" s="62" t="str">
        <f aca="false">IF($B1147="","",TEXT($A1147,"YYYY-MM-DD")&amp;"|"&amp;$B1147)</f>
        <v/>
      </c>
      <c r="P1147" s="3"/>
      <c r="Q1147" s="3"/>
      <c r="R1147" s="3"/>
      <c r="S1147" s="3"/>
      <c r="T1147" s="3"/>
      <c r="U1147" s="3"/>
      <c r="V1147" s="3"/>
      <c r="W1147" s="3"/>
      <c r="X1147" s="3"/>
      <c r="Y1147" s="3"/>
      <c r="Z1147" s="3"/>
      <c r="AA1147" s="3"/>
      <c r="AB1147" s="3"/>
    </row>
    <row r="1148" customFormat="false" ht="15" hidden="false" customHeight="false" outlineLevel="0" collapsed="false">
      <c r="A1148" s="48"/>
      <c r="B1148" s="46"/>
      <c r="C1148" s="50"/>
      <c r="D1148" s="50"/>
      <c r="E1148" s="50"/>
      <c r="F1148" s="50"/>
      <c r="G1148" s="49"/>
      <c r="H1148" s="50"/>
      <c r="I1148" s="50"/>
      <c r="J1148" s="50"/>
      <c r="K1148" s="50"/>
      <c r="L1148" s="50"/>
      <c r="M1148" s="46"/>
      <c r="N1148" s="47"/>
      <c r="O1148" s="62" t="str">
        <f aca="false">IF($B1148="","",TEXT($A1148,"YYYY-MM-DD")&amp;"|"&amp;$B1148)</f>
        <v/>
      </c>
      <c r="P1148" s="3"/>
      <c r="Q1148" s="3"/>
      <c r="R1148" s="3"/>
      <c r="S1148" s="3"/>
      <c r="T1148" s="3"/>
      <c r="U1148" s="3"/>
      <c r="V1148" s="3"/>
      <c r="W1148" s="3"/>
      <c r="X1148" s="3"/>
      <c r="Y1148" s="3"/>
      <c r="Z1148" s="3"/>
      <c r="AA1148" s="3"/>
      <c r="AB1148" s="3"/>
    </row>
    <row r="1149" customFormat="false" ht="15" hidden="false" customHeight="false" outlineLevel="0" collapsed="false">
      <c r="A1149" s="54"/>
      <c r="B1149" s="52"/>
      <c r="C1149" s="56"/>
      <c r="D1149" s="56"/>
      <c r="E1149" s="56"/>
      <c r="F1149" s="56"/>
      <c r="G1149" s="55"/>
      <c r="H1149" s="56"/>
      <c r="I1149" s="56"/>
      <c r="J1149" s="56"/>
      <c r="K1149" s="56"/>
      <c r="L1149" s="56"/>
      <c r="M1149" s="52"/>
      <c r="N1149" s="53"/>
      <c r="O1149" s="62" t="str">
        <f aca="false">IF($B1149="","",TEXT($A1149,"YYYY-MM-DD")&amp;"|"&amp;$B1149)</f>
        <v/>
      </c>
      <c r="P1149" s="3"/>
      <c r="Q1149" s="3"/>
      <c r="R1149" s="3"/>
      <c r="S1149" s="3"/>
      <c r="T1149" s="3"/>
      <c r="U1149" s="3"/>
      <c r="V1149" s="3"/>
      <c r="W1149" s="3"/>
      <c r="X1149" s="3"/>
      <c r="Y1149" s="3"/>
      <c r="Z1149" s="3"/>
      <c r="AA1149" s="3"/>
      <c r="AB1149" s="3"/>
    </row>
    <row r="1150" customFormat="false" ht="15" hidden="false" customHeight="false" outlineLevel="0" collapsed="false">
      <c r="A1150" s="48"/>
      <c r="B1150" s="46"/>
      <c r="C1150" s="50"/>
      <c r="D1150" s="50"/>
      <c r="E1150" s="50"/>
      <c r="F1150" s="50"/>
      <c r="G1150" s="49"/>
      <c r="H1150" s="50"/>
      <c r="I1150" s="50"/>
      <c r="J1150" s="50"/>
      <c r="K1150" s="50"/>
      <c r="L1150" s="50"/>
      <c r="M1150" s="46"/>
      <c r="N1150" s="47"/>
      <c r="O1150" s="62" t="str">
        <f aca="false">IF($B1150="","",TEXT($A1150,"YYYY-MM-DD")&amp;"|"&amp;$B1150)</f>
        <v/>
      </c>
      <c r="P1150" s="3"/>
      <c r="Q1150" s="3"/>
      <c r="R1150" s="3"/>
      <c r="S1150" s="3"/>
      <c r="T1150" s="3"/>
      <c r="U1150" s="3"/>
      <c r="V1150" s="3"/>
      <c r="W1150" s="3"/>
      <c r="X1150" s="3"/>
      <c r="Y1150" s="3"/>
      <c r="Z1150" s="3"/>
      <c r="AA1150" s="3"/>
      <c r="AB1150" s="3"/>
    </row>
    <row r="1151" customFormat="false" ht="15" hidden="false" customHeight="false" outlineLevel="0" collapsed="false">
      <c r="A1151" s="54"/>
      <c r="B1151" s="52"/>
      <c r="C1151" s="56"/>
      <c r="D1151" s="56"/>
      <c r="E1151" s="56"/>
      <c r="F1151" s="56"/>
      <c r="G1151" s="55"/>
      <c r="H1151" s="56"/>
      <c r="I1151" s="56"/>
      <c r="J1151" s="56"/>
      <c r="K1151" s="56"/>
      <c r="L1151" s="56"/>
      <c r="M1151" s="52"/>
      <c r="N1151" s="53"/>
      <c r="O1151" s="62" t="str">
        <f aca="false">IF($B1151="","",TEXT($A1151,"YYYY-MM-DD")&amp;"|"&amp;$B1151)</f>
        <v/>
      </c>
      <c r="P1151" s="3"/>
      <c r="Q1151" s="3"/>
      <c r="R1151" s="3"/>
      <c r="S1151" s="3"/>
      <c r="T1151" s="3"/>
      <c r="U1151" s="3"/>
      <c r="V1151" s="3"/>
      <c r="W1151" s="3"/>
      <c r="X1151" s="3"/>
      <c r="Y1151" s="3"/>
      <c r="Z1151" s="3"/>
      <c r="AA1151" s="3"/>
      <c r="AB1151" s="3"/>
    </row>
    <row r="1152" customFormat="false" ht="15" hidden="false" customHeight="false" outlineLevel="0" collapsed="false">
      <c r="A1152" s="48"/>
      <c r="B1152" s="46"/>
      <c r="C1152" s="50"/>
      <c r="D1152" s="50"/>
      <c r="E1152" s="50"/>
      <c r="F1152" s="50"/>
      <c r="G1152" s="49"/>
      <c r="H1152" s="50"/>
      <c r="I1152" s="50"/>
      <c r="J1152" s="50"/>
      <c r="K1152" s="50"/>
      <c r="L1152" s="50"/>
      <c r="M1152" s="46"/>
      <c r="N1152" s="47"/>
      <c r="O1152" s="62" t="str">
        <f aca="false">IF($B1152="","",TEXT($A1152,"YYYY-MM-DD")&amp;"|"&amp;$B1152)</f>
        <v/>
      </c>
      <c r="P1152" s="3"/>
      <c r="Q1152" s="3"/>
      <c r="R1152" s="3"/>
      <c r="S1152" s="3"/>
      <c r="T1152" s="3"/>
      <c r="U1152" s="3"/>
      <c r="V1152" s="3"/>
      <c r="W1152" s="3"/>
      <c r="X1152" s="3"/>
      <c r="Y1152" s="3"/>
      <c r="Z1152" s="3"/>
      <c r="AA1152" s="3"/>
      <c r="AB1152" s="3"/>
    </row>
    <row r="1153" customFormat="false" ht="15" hidden="false" customHeight="false" outlineLevel="0" collapsed="false">
      <c r="A1153" s="54"/>
      <c r="B1153" s="52"/>
      <c r="C1153" s="56"/>
      <c r="D1153" s="56"/>
      <c r="E1153" s="56"/>
      <c r="F1153" s="56"/>
      <c r="G1153" s="55"/>
      <c r="H1153" s="56"/>
      <c r="I1153" s="56"/>
      <c r="J1153" s="56"/>
      <c r="K1153" s="56"/>
      <c r="L1153" s="56"/>
      <c r="M1153" s="52"/>
      <c r="N1153" s="53"/>
      <c r="O1153" s="62" t="str">
        <f aca="false">IF($B1153="","",TEXT($A1153,"YYYY-MM-DD")&amp;"|"&amp;$B1153)</f>
        <v/>
      </c>
      <c r="P1153" s="3"/>
      <c r="Q1153" s="3"/>
      <c r="R1153" s="3"/>
      <c r="S1153" s="3"/>
      <c r="T1153" s="3"/>
      <c r="U1153" s="3"/>
      <c r="V1153" s="3"/>
      <c r="W1153" s="3"/>
      <c r="X1153" s="3"/>
      <c r="Y1153" s="3"/>
      <c r="Z1153" s="3"/>
      <c r="AA1153" s="3"/>
      <c r="AB1153" s="3"/>
    </row>
    <row r="1154" customFormat="false" ht="15" hidden="false" customHeight="false" outlineLevel="0" collapsed="false">
      <c r="A1154" s="48"/>
      <c r="B1154" s="46"/>
      <c r="C1154" s="50"/>
      <c r="D1154" s="50"/>
      <c r="E1154" s="50"/>
      <c r="F1154" s="50"/>
      <c r="G1154" s="49"/>
      <c r="H1154" s="50"/>
      <c r="I1154" s="50"/>
      <c r="J1154" s="50"/>
      <c r="K1154" s="50"/>
      <c r="L1154" s="50"/>
      <c r="M1154" s="46"/>
      <c r="N1154" s="47"/>
      <c r="O1154" s="62" t="str">
        <f aca="false">IF($B1154="","",TEXT($A1154,"YYYY-MM-DD")&amp;"|"&amp;$B1154)</f>
        <v/>
      </c>
      <c r="P1154" s="3"/>
      <c r="Q1154" s="3"/>
      <c r="R1154" s="3"/>
      <c r="S1154" s="3"/>
      <c r="T1154" s="3"/>
      <c r="U1154" s="3"/>
      <c r="V1154" s="3"/>
      <c r="W1154" s="3"/>
      <c r="X1154" s="3"/>
      <c r="Y1154" s="3"/>
      <c r="Z1154" s="3"/>
      <c r="AA1154" s="3"/>
      <c r="AB1154" s="3"/>
    </row>
    <row r="1155" customFormat="false" ht="15" hidden="false" customHeight="false" outlineLevel="0" collapsed="false">
      <c r="A1155" s="54"/>
      <c r="B1155" s="52"/>
      <c r="C1155" s="56"/>
      <c r="D1155" s="56"/>
      <c r="E1155" s="56"/>
      <c r="F1155" s="56"/>
      <c r="G1155" s="55"/>
      <c r="H1155" s="56"/>
      <c r="I1155" s="56"/>
      <c r="J1155" s="56"/>
      <c r="K1155" s="56"/>
      <c r="L1155" s="56"/>
      <c r="M1155" s="52"/>
      <c r="N1155" s="53"/>
      <c r="O1155" s="62" t="str">
        <f aca="false">IF($B1155="","",TEXT($A1155,"YYYY-MM-DD")&amp;"|"&amp;$B1155)</f>
        <v/>
      </c>
      <c r="P1155" s="3"/>
      <c r="Q1155" s="3"/>
      <c r="R1155" s="3"/>
      <c r="S1155" s="3"/>
      <c r="T1155" s="3"/>
      <c r="U1155" s="3"/>
      <c r="V1155" s="3"/>
      <c r="W1155" s="3"/>
      <c r="X1155" s="3"/>
      <c r="Y1155" s="3"/>
      <c r="Z1155" s="3"/>
      <c r="AA1155" s="3"/>
      <c r="AB1155" s="3"/>
    </row>
    <row r="1156" customFormat="false" ht="15" hidden="false" customHeight="false" outlineLevel="0" collapsed="false">
      <c r="A1156" s="48"/>
      <c r="B1156" s="46"/>
      <c r="C1156" s="50"/>
      <c r="D1156" s="50"/>
      <c r="E1156" s="50"/>
      <c r="F1156" s="50"/>
      <c r="G1156" s="49"/>
      <c r="H1156" s="50"/>
      <c r="I1156" s="50"/>
      <c r="J1156" s="50"/>
      <c r="K1156" s="50"/>
      <c r="L1156" s="50"/>
      <c r="M1156" s="46"/>
      <c r="N1156" s="47"/>
      <c r="O1156" s="62" t="str">
        <f aca="false">IF($B1156="","",TEXT($A1156,"YYYY-MM-DD")&amp;"|"&amp;$B1156)</f>
        <v/>
      </c>
      <c r="P1156" s="3"/>
      <c r="Q1156" s="3"/>
      <c r="R1156" s="3"/>
      <c r="S1156" s="3"/>
      <c r="T1156" s="3"/>
      <c r="U1156" s="3"/>
      <c r="V1156" s="3"/>
      <c r="W1156" s="3"/>
      <c r="X1156" s="3"/>
      <c r="Y1156" s="3"/>
      <c r="Z1156" s="3"/>
      <c r="AA1156" s="3"/>
      <c r="AB1156" s="3"/>
    </row>
    <row r="1157" customFormat="false" ht="15" hidden="false" customHeight="false" outlineLevel="0" collapsed="false">
      <c r="A1157" s="54"/>
      <c r="B1157" s="52"/>
      <c r="C1157" s="56"/>
      <c r="D1157" s="56"/>
      <c r="E1157" s="56"/>
      <c r="F1157" s="56"/>
      <c r="G1157" s="55"/>
      <c r="H1157" s="56"/>
      <c r="I1157" s="56"/>
      <c r="J1157" s="56"/>
      <c r="K1157" s="56"/>
      <c r="L1157" s="56"/>
      <c r="M1157" s="52"/>
      <c r="N1157" s="53"/>
      <c r="O1157" s="62" t="str">
        <f aca="false">IF($B1157="","",TEXT($A1157,"YYYY-MM-DD")&amp;"|"&amp;$B1157)</f>
        <v/>
      </c>
      <c r="P1157" s="3"/>
      <c r="Q1157" s="3"/>
      <c r="R1157" s="3"/>
      <c r="S1157" s="3"/>
      <c r="T1157" s="3"/>
      <c r="U1157" s="3"/>
      <c r="V1157" s="3"/>
      <c r="W1157" s="3"/>
      <c r="X1157" s="3"/>
      <c r="Y1157" s="3"/>
      <c r="Z1157" s="3"/>
      <c r="AA1157" s="3"/>
      <c r="AB1157" s="3"/>
    </row>
    <row r="1158" customFormat="false" ht="15" hidden="false" customHeight="false" outlineLevel="0" collapsed="false">
      <c r="A1158" s="48"/>
      <c r="B1158" s="46"/>
      <c r="C1158" s="50"/>
      <c r="D1158" s="50"/>
      <c r="E1158" s="50"/>
      <c r="F1158" s="50"/>
      <c r="G1158" s="49"/>
      <c r="H1158" s="50"/>
      <c r="I1158" s="50"/>
      <c r="J1158" s="50"/>
      <c r="K1158" s="50"/>
      <c r="L1158" s="50"/>
      <c r="M1158" s="46"/>
      <c r="N1158" s="47"/>
      <c r="O1158" s="62" t="str">
        <f aca="false">IF($B1158="","",TEXT($A1158,"YYYY-MM-DD")&amp;"|"&amp;$B1158)</f>
        <v/>
      </c>
      <c r="P1158" s="3"/>
      <c r="Q1158" s="3"/>
      <c r="R1158" s="3"/>
      <c r="S1158" s="3"/>
      <c r="T1158" s="3"/>
      <c r="U1158" s="3"/>
      <c r="V1158" s="3"/>
      <c r="W1158" s="3"/>
      <c r="X1158" s="3"/>
      <c r="Y1158" s="3"/>
      <c r="Z1158" s="3"/>
      <c r="AA1158" s="3"/>
      <c r="AB1158" s="3"/>
    </row>
    <row r="1159" customFormat="false" ht="15" hidden="false" customHeight="false" outlineLevel="0" collapsed="false">
      <c r="A1159" s="54"/>
      <c r="B1159" s="52"/>
      <c r="C1159" s="56"/>
      <c r="D1159" s="56"/>
      <c r="E1159" s="56"/>
      <c r="F1159" s="56"/>
      <c r="G1159" s="55"/>
      <c r="H1159" s="56"/>
      <c r="I1159" s="56"/>
      <c r="J1159" s="56"/>
      <c r="K1159" s="56"/>
      <c r="L1159" s="56"/>
      <c r="M1159" s="52"/>
      <c r="N1159" s="53"/>
      <c r="O1159" s="62" t="str">
        <f aca="false">IF($B1159="","",TEXT($A1159,"YYYY-MM-DD")&amp;"|"&amp;$B1159)</f>
        <v/>
      </c>
      <c r="P1159" s="3"/>
      <c r="Q1159" s="3"/>
      <c r="R1159" s="3"/>
      <c r="S1159" s="3"/>
      <c r="T1159" s="3"/>
      <c r="U1159" s="3"/>
      <c r="V1159" s="3"/>
      <c r="W1159" s="3"/>
      <c r="X1159" s="3"/>
      <c r="Y1159" s="3"/>
      <c r="Z1159" s="3"/>
      <c r="AA1159" s="3"/>
      <c r="AB1159" s="3"/>
    </row>
    <row r="1160" customFormat="false" ht="15" hidden="false" customHeight="false" outlineLevel="0" collapsed="false">
      <c r="A1160" s="48"/>
      <c r="B1160" s="46"/>
      <c r="C1160" s="50"/>
      <c r="D1160" s="50"/>
      <c r="E1160" s="50"/>
      <c r="F1160" s="50"/>
      <c r="G1160" s="49"/>
      <c r="H1160" s="50"/>
      <c r="I1160" s="50"/>
      <c r="J1160" s="50"/>
      <c r="K1160" s="50"/>
      <c r="L1160" s="50"/>
      <c r="M1160" s="46"/>
      <c r="N1160" s="47"/>
      <c r="O1160" s="62" t="str">
        <f aca="false">IF($B1160="","",TEXT($A1160,"YYYY-MM-DD")&amp;"|"&amp;$B1160)</f>
        <v/>
      </c>
      <c r="P1160" s="3"/>
      <c r="Q1160" s="3"/>
      <c r="R1160" s="3"/>
      <c r="S1160" s="3"/>
      <c r="T1160" s="3"/>
      <c r="U1160" s="3"/>
      <c r="V1160" s="3"/>
      <c r="W1160" s="3"/>
      <c r="X1160" s="3"/>
      <c r="Y1160" s="3"/>
      <c r="Z1160" s="3"/>
      <c r="AA1160" s="3"/>
      <c r="AB1160" s="3"/>
    </row>
    <row r="1161" customFormat="false" ht="15" hidden="false" customHeight="false" outlineLevel="0" collapsed="false">
      <c r="A1161" s="54"/>
      <c r="B1161" s="52"/>
      <c r="C1161" s="56"/>
      <c r="D1161" s="56"/>
      <c r="E1161" s="56"/>
      <c r="F1161" s="56"/>
      <c r="G1161" s="55"/>
      <c r="H1161" s="56"/>
      <c r="I1161" s="56"/>
      <c r="J1161" s="56"/>
      <c r="K1161" s="56"/>
      <c r="L1161" s="56"/>
      <c r="M1161" s="52"/>
      <c r="N1161" s="53"/>
      <c r="O1161" s="62" t="str">
        <f aca="false">IF($B1161="","",TEXT($A1161,"YYYY-MM-DD")&amp;"|"&amp;$B1161)</f>
        <v/>
      </c>
      <c r="P1161" s="3"/>
      <c r="Q1161" s="3"/>
      <c r="R1161" s="3"/>
      <c r="S1161" s="3"/>
      <c r="T1161" s="3"/>
      <c r="U1161" s="3"/>
      <c r="V1161" s="3"/>
      <c r="W1161" s="3"/>
      <c r="X1161" s="3"/>
      <c r="Y1161" s="3"/>
      <c r="Z1161" s="3"/>
      <c r="AA1161" s="3"/>
      <c r="AB1161" s="3"/>
    </row>
    <row r="1162" customFormat="false" ht="15" hidden="false" customHeight="false" outlineLevel="0" collapsed="false">
      <c r="A1162" s="48"/>
      <c r="B1162" s="46"/>
      <c r="C1162" s="50"/>
      <c r="D1162" s="50"/>
      <c r="E1162" s="50"/>
      <c r="F1162" s="50"/>
      <c r="G1162" s="49"/>
      <c r="H1162" s="50"/>
      <c r="I1162" s="50"/>
      <c r="J1162" s="50"/>
      <c r="K1162" s="50"/>
      <c r="L1162" s="50"/>
      <c r="M1162" s="46"/>
      <c r="N1162" s="47"/>
      <c r="O1162" s="62" t="str">
        <f aca="false">IF($B1162="","",TEXT($A1162,"YYYY-MM-DD")&amp;"|"&amp;$B1162)</f>
        <v/>
      </c>
      <c r="P1162" s="3"/>
      <c r="Q1162" s="3"/>
      <c r="R1162" s="3"/>
      <c r="S1162" s="3"/>
      <c r="T1162" s="3"/>
      <c r="U1162" s="3"/>
      <c r="V1162" s="3"/>
      <c r="W1162" s="3"/>
      <c r="X1162" s="3"/>
      <c r="Y1162" s="3"/>
      <c r="Z1162" s="3"/>
      <c r="AA1162" s="3"/>
      <c r="AB1162" s="3"/>
    </row>
    <row r="1163" customFormat="false" ht="15" hidden="false" customHeight="false" outlineLevel="0" collapsed="false">
      <c r="A1163" s="54"/>
      <c r="B1163" s="52"/>
      <c r="C1163" s="56"/>
      <c r="D1163" s="56"/>
      <c r="E1163" s="56"/>
      <c r="F1163" s="56"/>
      <c r="G1163" s="55"/>
      <c r="H1163" s="56"/>
      <c r="I1163" s="56"/>
      <c r="J1163" s="56"/>
      <c r="K1163" s="56"/>
      <c r="L1163" s="56"/>
      <c r="M1163" s="52"/>
      <c r="N1163" s="53"/>
      <c r="O1163" s="62" t="str">
        <f aca="false">IF($B1163="","",TEXT($A1163,"YYYY-MM-DD")&amp;"|"&amp;$B1163)</f>
        <v/>
      </c>
      <c r="P1163" s="3"/>
      <c r="Q1163" s="3"/>
      <c r="R1163" s="3"/>
      <c r="S1163" s="3"/>
      <c r="T1163" s="3"/>
      <c r="U1163" s="3"/>
      <c r="V1163" s="3"/>
      <c r="W1163" s="3"/>
      <c r="X1163" s="3"/>
      <c r="Y1163" s="3"/>
      <c r="Z1163" s="3"/>
      <c r="AA1163" s="3"/>
      <c r="AB1163" s="3"/>
    </row>
    <row r="1164" customFormat="false" ht="15" hidden="false" customHeight="false" outlineLevel="0" collapsed="false">
      <c r="A1164" s="48"/>
      <c r="B1164" s="46"/>
      <c r="C1164" s="50"/>
      <c r="D1164" s="50"/>
      <c r="E1164" s="50"/>
      <c r="F1164" s="50"/>
      <c r="G1164" s="49"/>
      <c r="H1164" s="50"/>
      <c r="I1164" s="50"/>
      <c r="J1164" s="50"/>
      <c r="K1164" s="50"/>
      <c r="L1164" s="50"/>
      <c r="M1164" s="46"/>
      <c r="N1164" s="47"/>
      <c r="O1164" s="62" t="str">
        <f aca="false">IF($B1164="","",TEXT($A1164,"YYYY-MM-DD")&amp;"|"&amp;$B1164)</f>
        <v/>
      </c>
      <c r="P1164" s="3"/>
      <c r="Q1164" s="3"/>
      <c r="R1164" s="3"/>
      <c r="S1164" s="3"/>
      <c r="T1164" s="3"/>
      <c r="U1164" s="3"/>
      <c r="V1164" s="3"/>
      <c r="W1164" s="3"/>
      <c r="X1164" s="3"/>
      <c r="Y1164" s="3"/>
      <c r="Z1164" s="3"/>
      <c r="AA1164" s="3"/>
      <c r="AB1164" s="3"/>
    </row>
    <row r="1165" customFormat="false" ht="15" hidden="false" customHeight="false" outlineLevel="0" collapsed="false">
      <c r="A1165" s="54"/>
      <c r="B1165" s="52"/>
      <c r="C1165" s="56"/>
      <c r="D1165" s="56"/>
      <c r="E1165" s="56"/>
      <c r="F1165" s="56"/>
      <c r="G1165" s="55"/>
      <c r="H1165" s="56"/>
      <c r="I1165" s="56"/>
      <c r="J1165" s="56"/>
      <c r="K1165" s="56"/>
      <c r="L1165" s="56"/>
      <c r="M1165" s="52"/>
      <c r="N1165" s="53"/>
      <c r="O1165" s="62" t="str">
        <f aca="false">IF($B1165="","",TEXT($A1165,"YYYY-MM-DD")&amp;"|"&amp;$B1165)</f>
        <v/>
      </c>
      <c r="P1165" s="3"/>
      <c r="Q1165" s="3"/>
      <c r="R1165" s="3"/>
      <c r="S1165" s="3"/>
      <c r="T1165" s="3"/>
      <c r="U1165" s="3"/>
      <c r="V1165" s="3"/>
      <c r="W1165" s="3"/>
      <c r="X1165" s="3"/>
      <c r="Y1165" s="3"/>
      <c r="Z1165" s="3"/>
      <c r="AA1165" s="3"/>
      <c r="AB1165" s="3"/>
    </row>
    <row r="1166" customFormat="false" ht="15" hidden="false" customHeight="false" outlineLevel="0" collapsed="false">
      <c r="A1166" s="48"/>
      <c r="B1166" s="46"/>
      <c r="C1166" s="50"/>
      <c r="D1166" s="50"/>
      <c r="E1166" s="50"/>
      <c r="F1166" s="50"/>
      <c r="G1166" s="49"/>
      <c r="H1166" s="50"/>
      <c r="I1166" s="50"/>
      <c r="J1166" s="50"/>
      <c r="K1166" s="50"/>
      <c r="L1166" s="50"/>
      <c r="M1166" s="46"/>
      <c r="N1166" s="47"/>
      <c r="O1166" s="62" t="str">
        <f aca="false">IF($B1166="","",TEXT($A1166,"YYYY-MM-DD")&amp;"|"&amp;$B1166)</f>
        <v/>
      </c>
      <c r="P1166" s="3"/>
      <c r="Q1166" s="3"/>
      <c r="R1166" s="3"/>
      <c r="S1166" s="3"/>
      <c r="T1166" s="3"/>
      <c r="U1166" s="3"/>
      <c r="V1166" s="3"/>
      <c r="W1166" s="3"/>
      <c r="X1166" s="3"/>
      <c r="Y1166" s="3"/>
      <c r="Z1166" s="3"/>
      <c r="AA1166" s="3"/>
      <c r="AB1166" s="3"/>
    </row>
    <row r="1167" customFormat="false" ht="15" hidden="false" customHeight="false" outlineLevel="0" collapsed="false">
      <c r="A1167" s="54"/>
      <c r="B1167" s="52"/>
      <c r="C1167" s="56"/>
      <c r="D1167" s="56"/>
      <c r="E1167" s="56"/>
      <c r="F1167" s="56"/>
      <c r="G1167" s="55"/>
      <c r="H1167" s="56"/>
      <c r="I1167" s="56"/>
      <c r="J1167" s="56"/>
      <c r="K1167" s="56"/>
      <c r="L1167" s="56"/>
      <c r="M1167" s="52"/>
      <c r="N1167" s="53"/>
      <c r="O1167" s="62" t="str">
        <f aca="false">IF($B1167="","",TEXT($A1167,"YYYY-MM-DD")&amp;"|"&amp;$B1167)</f>
        <v/>
      </c>
      <c r="P1167" s="3"/>
      <c r="Q1167" s="3"/>
      <c r="R1167" s="3"/>
      <c r="S1167" s="3"/>
      <c r="T1167" s="3"/>
      <c r="U1167" s="3"/>
      <c r="V1167" s="3"/>
      <c r="W1167" s="3"/>
      <c r="X1167" s="3"/>
      <c r="Y1167" s="3"/>
      <c r="Z1167" s="3"/>
      <c r="AA1167" s="3"/>
      <c r="AB1167" s="3"/>
    </row>
    <row r="1168" customFormat="false" ht="15" hidden="false" customHeight="false" outlineLevel="0" collapsed="false">
      <c r="A1168" s="48"/>
      <c r="B1168" s="46"/>
      <c r="C1168" s="50"/>
      <c r="D1168" s="50"/>
      <c r="E1168" s="50"/>
      <c r="F1168" s="50"/>
      <c r="G1168" s="49"/>
      <c r="H1168" s="50"/>
      <c r="I1168" s="50"/>
      <c r="J1168" s="50"/>
      <c r="K1168" s="50"/>
      <c r="L1168" s="50"/>
      <c r="M1168" s="46"/>
      <c r="N1168" s="47"/>
      <c r="O1168" s="62" t="str">
        <f aca="false">IF($B1168="","",TEXT($A1168,"YYYY-MM-DD")&amp;"|"&amp;$B1168)</f>
        <v/>
      </c>
      <c r="P1168" s="3"/>
      <c r="Q1168" s="3"/>
      <c r="R1168" s="3"/>
      <c r="S1168" s="3"/>
      <c r="T1168" s="3"/>
      <c r="U1168" s="3"/>
      <c r="V1168" s="3"/>
      <c r="W1168" s="3"/>
      <c r="X1168" s="3"/>
      <c r="Y1168" s="3"/>
      <c r="Z1168" s="3"/>
      <c r="AA1168" s="3"/>
      <c r="AB1168" s="3"/>
    </row>
    <row r="1169" customFormat="false" ht="15" hidden="false" customHeight="false" outlineLevel="0" collapsed="false">
      <c r="A1169" s="54"/>
      <c r="B1169" s="52"/>
      <c r="C1169" s="56"/>
      <c r="D1169" s="56"/>
      <c r="E1169" s="56"/>
      <c r="F1169" s="56"/>
      <c r="G1169" s="55"/>
      <c r="H1169" s="56"/>
      <c r="I1169" s="56"/>
      <c r="J1169" s="56"/>
      <c r="K1169" s="56"/>
      <c r="L1169" s="56"/>
      <c r="M1169" s="52"/>
      <c r="N1169" s="53"/>
      <c r="O1169" s="62" t="str">
        <f aca="false">IF($B1169="","",TEXT($A1169,"YYYY-MM-DD")&amp;"|"&amp;$B1169)</f>
        <v/>
      </c>
      <c r="P1169" s="3"/>
      <c r="Q1169" s="3"/>
      <c r="R1169" s="3"/>
      <c r="S1169" s="3"/>
      <c r="T1169" s="3"/>
      <c r="U1169" s="3"/>
      <c r="V1169" s="3"/>
      <c r="W1169" s="3"/>
      <c r="X1169" s="3"/>
      <c r="Y1169" s="3"/>
      <c r="Z1169" s="3"/>
      <c r="AA1169" s="3"/>
      <c r="AB1169" s="3"/>
    </row>
    <row r="1170" customFormat="false" ht="15" hidden="false" customHeight="false" outlineLevel="0" collapsed="false">
      <c r="A1170" s="48"/>
      <c r="B1170" s="46"/>
      <c r="C1170" s="50"/>
      <c r="D1170" s="50"/>
      <c r="E1170" s="50"/>
      <c r="F1170" s="50"/>
      <c r="G1170" s="49"/>
      <c r="H1170" s="50"/>
      <c r="I1170" s="50"/>
      <c r="J1170" s="50"/>
      <c r="K1170" s="50"/>
      <c r="L1170" s="50"/>
      <c r="M1170" s="46"/>
      <c r="N1170" s="47"/>
      <c r="O1170" s="62" t="str">
        <f aca="false">IF($B1170="","",TEXT($A1170,"YYYY-MM-DD")&amp;"|"&amp;$B1170)</f>
        <v/>
      </c>
      <c r="P1170" s="3"/>
      <c r="Q1170" s="3"/>
      <c r="R1170" s="3"/>
      <c r="S1170" s="3"/>
      <c r="T1170" s="3"/>
      <c r="U1170" s="3"/>
      <c r="V1170" s="3"/>
      <c r="W1170" s="3"/>
      <c r="X1170" s="3"/>
      <c r="Y1170" s="3"/>
      <c r="Z1170" s="3"/>
      <c r="AA1170" s="3"/>
      <c r="AB1170" s="3"/>
    </row>
    <row r="1171" customFormat="false" ht="15" hidden="false" customHeight="false" outlineLevel="0" collapsed="false">
      <c r="A1171" s="54"/>
      <c r="B1171" s="52"/>
      <c r="C1171" s="56"/>
      <c r="D1171" s="56"/>
      <c r="E1171" s="56"/>
      <c r="F1171" s="56"/>
      <c r="G1171" s="55"/>
      <c r="H1171" s="56"/>
      <c r="I1171" s="56"/>
      <c r="J1171" s="56"/>
      <c r="K1171" s="56"/>
      <c r="L1171" s="56"/>
      <c r="M1171" s="52"/>
      <c r="N1171" s="53"/>
      <c r="O1171" s="62" t="str">
        <f aca="false">IF($B1171="","",TEXT($A1171,"YYYY-MM-DD")&amp;"|"&amp;$B1171)</f>
        <v/>
      </c>
      <c r="P1171" s="3"/>
      <c r="Q1171" s="3"/>
      <c r="R1171" s="3"/>
      <c r="S1171" s="3"/>
      <c r="T1171" s="3"/>
      <c r="U1171" s="3"/>
      <c r="V1171" s="3"/>
      <c r="W1171" s="3"/>
      <c r="X1171" s="3"/>
      <c r="Y1171" s="3"/>
      <c r="Z1171" s="3"/>
      <c r="AA1171" s="3"/>
      <c r="AB1171" s="3"/>
    </row>
    <row r="1172" customFormat="false" ht="15" hidden="false" customHeight="false" outlineLevel="0" collapsed="false">
      <c r="A1172" s="48"/>
      <c r="B1172" s="46"/>
      <c r="C1172" s="50"/>
      <c r="D1172" s="50"/>
      <c r="E1172" s="50"/>
      <c r="F1172" s="50"/>
      <c r="G1172" s="49"/>
      <c r="H1172" s="50"/>
      <c r="I1172" s="50"/>
      <c r="J1172" s="50"/>
      <c r="K1172" s="50"/>
      <c r="L1172" s="50"/>
      <c r="M1172" s="46"/>
      <c r="N1172" s="47"/>
      <c r="O1172" s="62" t="str">
        <f aca="false">IF($B1172="","",TEXT($A1172,"YYYY-MM-DD")&amp;"|"&amp;$B1172)</f>
        <v/>
      </c>
      <c r="P1172" s="3"/>
      <c r="Q1172" s="3"/>
      <c r="R1172" s="3"/>
      <c r="S1172" s="3"/>
      <c r="T1172" s="3"/>
      <c r="U1172" s="3"/>
      <c r="V1172" s="3"/>
      <c r="W1172" s="3"/>
      <c r="X1172" s="3"/>
      <c r="Y1172" s="3"/>
      <c r="Z1172" s="3"/>
      <c r="AA1172" s="3"/>
      <c r="AB1172" s="3"/>
    </row>
    <row r="1173" customFormat="false" ht="15" hidden="false" customHeight="false" outlineLevel="0" collapsed="false">
      <c r="A1173" s="54"/>
      <c r="B1173" s="52"/>
      <c r="C1173" s="56"/>
      <c r="D1173" s="56"/>
      <c r="E1173" s="56"/>
      <c r="F1173" s="56"/>
      <c r="G1173" s="55"/>
      <c r="H1173" s="56"/>
      <c r="I1173" s="56"/>
      <c r="J1173" s="56"/>
      <c r="K1173" s="56"/>
      <c r="L1173" s="56"/>
      <c r="M1173" s="52"/>
      <c r="N1173" s="53"/>
      <c r="O1173" s="62" t="str">
        <f aca="false">IF($B1173="","",TEXT($A1173,"YYYY-MM-DD")&amp;"|"&amp;$B1173)</f>
        <v/>
      </c>
      <c r="P1173" s="3"/>
      <c r="Q1173" s="3"/>
      <c r="R1173" s="3"/>
      <c r="S1173" s="3"/>
      <c r="T1173" s="3"/>
      <c r="U1173" s="3"/>
      <c r="V1173" s="3"/>
      <c r="W1173" s="3"/>
      <c r="X1173" s="3"/>
      <c r="Y1173" s="3"/>
      <c r="Z1173" s="3"/>
      <c r="AA1173" s="3"/>
      <c r="AB1173" s="3"/>
    </row>
    <row r="1174" customFormat="false" ht="15" hidden="false" customHeight="false" outlineLevel="0" collapsed="false">
      <c r="A1174" s="48"/>
      <c r="B1174" s="46"/>
      <c r="C1174" s="50"/>
      <c r="D1174" s="50"/>
      <c r="E1174" s="50"/>
      <c r="F1174" s="50"/>
      <c r="G1174" s="49"/>
      <c r="H1174" s="50"/>
      <c r="I1174" s="50"/>
      <c r="J1174" s="50"/>
      <c r="K1174" s="50"/>
      <c r="L1174" s="50"/>
      <c r="M1174" s="46"/>
      <c r="N1174" s="47"/>
      <c r="O1174" s="62" t="str">
        <f aca="false">IF($B1174="","",TEXT($A1174,"YYYY-MM-DD")&amp;"|"&amp;$B1174)</f>
        <v/>
      </c>
      <c r="P1174" s="3"/>
      <c r="Q1174" s="3"/>
      <c r="R1174" s="3"/>
      <c r="S1174" s="3"/>
      <c r="T1174" s="3"/>
      <c r="U1174" s="3"/>
      <c r="V1174" s="3"/>
      <c r="W1174" s="3"/>
      <c r="X1174" s="3"/>
      <c r="Y1174" s="3"/>
      <c r="Z1174" s="3"/>
      <c r="AA1174" s="3"/>
      <c r="AB1174" s="3"/>
    </row>
    <row r="1175" customFormat="false" ht="15" hidden="false" customHeight="false" outlineLevel="0" collapsed="false">
      <c r="A1175" s="54"/>
      <c r="B1175" s="52"/>
      <c r="C1175" s="56"/>
      <c r="D1175" s="56"/>
      <c r="E1175" s="56"/>
      <c r="F1175" s="56"/>
      <c r="G1175" s="55"/>
      <c r="H1175" s="56"/>
      <c r="I1175" s="56"/>
      <c r="J1175" s="56"/>
      <c r="K1175" s="56"/>
      <c r="L1175" s="56"/>
      <c r="M1175" s="52"/>
      <c r="N1175" s="53"/>
      <c r="O1175" s="62" t="str">
        <f aca="false">IF($B1175="","",TEXT($A1175,"YYYY-MM-DD")&amp;"|"&amp;$B1175)</f>
        <v/>
      </c>
      <c r="P1175" s="3"/>
      <c r="Q1175" s="3"/>
      <c r="R1175" s="3"/>
      <c r="S1175" s="3"/>
      <c r="T1175" s="3"/>
      <c r="U1175" s="3"/>
      <c r="V1175" s="3"/>
      <c r="W1175" s="3"/>
      <c r="X1175" s="3"/>
      <c r="Y1175" s="3"/>
      <c r="Z1175" s="3"/>
      <c r="AA1175" s="3"/>
      <c r="AB1175" s="3"/>
    </row>
    <row r="1176" customFormat="false" ht="15" hidden="false" customHeight="false" outlineLevel="0" collapsed="false">
      <c r="A1176" s="48"/>
      <c r="B1176" s="46"/>
      <c r="C1176" s="50"/>
      <c r="D1176" s="50"/>
      <c r="E1176" s="50"/>
      <c r="F1176" s="50"/>
      <c r="G1176" s="49"/>
      <c r="H1176" s="50"/>
      <c r="I1176" s="50"/>
      <c r="J1176" s="50"/>
      <c r="K1176" s="50"/>
      <c r="L1176" s="50"/>
      <c r="M1176" s="46"/>
      <c r="N1176" s="47"/>
      <c r="O1176" s="62" t="str">
        <f aca="false">IF($B1176="","",TEXT($A1176,"YYYY-MM-DD")&amp;"|"&amp;$B1176)</f>
        <v/>
      </c>
      <c r="P1176" s="3"/>
      <c r="Q1176" s="3"/>
      <c r="R1176" s="3"/>
      <c r="S1176" s="3"/>
      <c r="T1176" s="3"/>
      <c r="U1176" s="3"/>
      <c r="V1176" s="3"/>
      <c r="W1176" s="3"/>
      <c r="X1176" s="3"/>
      <c r="Y1176" s="3"/>
      <c r="Z1176" s="3"/>
      <c r="AA1176" s="3"/>
      <c r="AB1176" s="3"/>
    </row>
    <row r="1177" customFormat="false" ht="15" hidden="false" customHeight="false" outlineLevel="0" collapsed="false">
      <c r="A1177" s="54"/>
      <c r="B1177" s="52"/>
      <c r="C1177" s="56"/>
      <c r="D1177" s="56"/>
      <c r="E1177" s="56"/>
      <c r="F1177" s="56"/>
      <c r="G1177" s="55"/>
      <c r="H1177" s="56"/>
      <c r="I1177" s="56"/>
      <c r="J1177" s="56"/>
      <c r="K1177" s="56"/>
      <c r="L1177" s="56"/>
      <c r="M1177" s="52"/>
      <c r="N1177" s="53"/>
      <c r="O1177" s="62" t="str">
        <f aca="false">IF($B1177="","",TEXT($A1177,"YYYY-MM-DD")&amp;"|"&amp;$B1177)</f>
        <v/>
      </c>
      <c r="P1177" s="3"/>
      <c r="Q1177" s="3"/>
      <c r="R1177" s="3"/>
      <c r="S1177" s="3"/>
      <c r="T1177" s="3"/>
      <c r="U1177" s="3"/>
      <c r="V1177" s="3"/>
      <c r="W1177" s="3"/>
      <c r="X1177" s="3"/>
      <c r="Y1177" s="3"/>
      <c r="Z1177" s="3"/>
      <c r="AA1177" s="3"/>
      <c r="AB1177" s="3"/>
    </row>
    <row r="1178" customFormat="false" ht="15" hidden="false" customHeight="false" outlineLevel="0" collapsed="false">
      <c r="A1178" s="48"/>
      <c r="B1178" s="46"/>
      <c r="C1178" s="50"/>
      <c r="D1178" s="50"/>
      <c r="E1178" s="50"/>
      <c r="F1178" s="50"/>
      <c r="G1178" s="49"/>
      <c r="H1178" s="50"/>
      <c r="I1178" s="50"/>
      <c r="J1178" s="50"/>
      <c r="K1178" s="50"/>
      <c r="L1178" s="50"/>
      <c r="M1178" s="46"/>
      <c r="N1178" s="47"/>
      <c r="O1178" s="62" t="str">
        <f aca="false">IF($B1178="","",TEXT($A1178,"YYYY-MM-DD")&amp;"|"&amp;$B1178)</f>
        <v/>
      </c>
      <c r="P1178" s="3"/>
      <c r="Q1178" s="3"/>
      <c r="R1178" s="3"/>
      <c r="S1178" s="3"/>
      <c r="T1178" s="3"/>
      <c r="U1178" s="3"/>
      <c r="V1178" s="3"/>
      <c r="W1178" s="3"/>
      <c r="X1178" s="3"/>
      <c r="Y1178" s="3"/>
      <c r="Z1178" s="3"/>
      <c r="AA1178" s="3"/>
      <c r="AB1178" s="3"/>
    </row>
    <row r="1179" customFormat="false" ht="15" hidden="false" customHeight="false" outlineLevel="0" collapsed="false">
      <c r="A1179" s="54"/>
      <c r="B1179" s="52"/>
      <c r="C1179" s="56"/>
      <c r="D1179" s="56"/>
      <c r="E1179" s="56"/>
      <c r="F1179" s="56"/>
      <c r="G1179" s="55"/>
      <c r="H1179" s="56"/>
      <c r="I1179" s="56"/>
      <c r="J1179" s="56"/>
      <c r="K1179" s="56"/>
      <c r="L1179" s="56"/>
      <c r="M1179" s="52"/>
      <c r="N1179" s="53"/>
      <c r="O1179" s="62" t="str">
        <f aca="false">IF($B1179="","",TEXT($A1179,"YYYY-MM-DD")&amp;"|"&amp;$B1179)</f>
        <v/>
      </c>
      <c r="P1179" s="3"/>
      <c r="Q1179" s="3"/>
      <c r="R1179" s="3"/>
      <c r="S1179" s="3"/>
      <c r="T1179" s="3"/>
      <c r="U1179" s="3"/>
      <c r="V1179" s="3"/>
      <c r="W1179" s="3"/>
      <c r="X1179" s="3"/>
      <c r="Y1179" s="3"/>
      <c r="Z1179" s="3"/>
      <c r="AA1179" s="3"/>
      <c r="AB1179" s="3"/>
    </row>
    <row r="1180" customFormat="false" ht="15" hidden="false" customHeight="false" outlineLevel="0" collapsed="false">
      <c r="A1180" s="48"/>
      <c r="B1180" s="46"/>
      <c r="C1180" s="50"/>
      <c r="D1180" s="50"/>
      <c r="E1180" s="50"/>
      <c r="F1180" s="50"/>
      <c r="G1180" s="49"/>
      <c r="H1180" s="50"/>
      <c r="I1180" s="50"/>
      <c r="J1180" s="50"/>
      <c r="K1180" s="50"/>
      <c r="L1180" s="50"/>
      <c r="M1180" s="46"/>
      <c r="N1180" s="47"/>
      <c r="O1180" s="62" t="str">
        <f aca="false">IF($B1180="","",TEXT($A1180,"YYYY-MM-DD")&amp;"|"&amp;$B1180)</f>
        <v/>
      </c>
      <c r="P1180" s="3"/>
      <c r="Q1180" s="3"/>
      <c r="R1180" s="3"/>
      <c r="S1180" s="3"/>
      <c r="T1180" s="3"/>
      <c r="U1180" s="3"/>
      <c r="V1180" s="3"/>
      <c r="W1180" s="3"/>
      <c r="X1180" s="3"/>
      <c r="Y1180" s="3"/>
      <c r="Z1180" s="3"/>
      <c r="AA1180" s="3"/>
      <c r="AB1180" s="3"/>
    </row>
    <row r="1181" customFormat="false" ht="15" hidden="false" customHeight="false" outlineLevel="0" collapsed="false">
      <c r="A1181" s="54"/>
      <c r="B1181" s="52"/>
      <c r="C1181" s="56"/>
      <c r="D1181" s="56"/>
      <c r="E1181" s="56"/>
      <c r="F1181" s="56"/>
      <c r="G1181" s="55"/>
      <c r="H1181" s="56"/>
      <c r="I1181" s="56"/>
      <c r="J1181" s="56"/>
      <c r="K1181" s="56"/>
      <c r="L1181" s="56"/>
      <c r="M1181" s="52"/>
      <c r="N1181" s="53"/>
      <c r="O1181" s="62" t="str">
        <f aca="false">IF($B1181="","",TEXT($A1181,"YYYY-MM-DD")&amp;"|"&amp;$B1181)</f>
        <v/>
      </c>
      <c r="P1181" s="3"/>
      <c r="Q1181" s="3"/>
      <c r="R1181" s="3"/>
      <c r="S1181" s="3"/>
      <c r="T1181" s="3"/>
      <c r="U1181" s="3"/>
      <c r="V1181" s="3"/>
      <c r="W1181" s="3"/>
      <c r="X1181" s="3"/>
      <c r="Y1181" s="3"/>
      <c r="Z1181" s="3"/>
      <c r="AA1181" s="3"/>
      <c r="AB1181" s="3"/>
    </row>
    <row r="1182" customFormat="false" ht="15" hidden="false" customHeight="false" outlineLevel="0" collapsed="false">
      <c r="A1182" s="48"/>
      <c r="B1182" s="46"/>
      <c r="C1182" s="50"/>
      <c r="D1182" s="50"/>
      <c r="E1182" s="50"/>
      <c r="F1182" s="50"/>
      <c r="G1182" s="49"/>
      <c r="H1182" s="50"/>
      <c r="I1182" s="50"/>
      <c r="J1182" s="50"/>
      <c r="K1182" s="50"/>
      <c r="L1182" s="50"/>
      <c r="M1182" s="46"/>
      <c r="N1182" s="47"/>
      <c r="O1182" s="62" t="str">
        <f aca="false">IF($B1182="","",TEXT($A1182,"YYYY-MM-DD")&amp;"|"&amp;$B1182)</f>
        <v/>
      </c>
      <c r="P1182" s="3"/>
      <c r="Q1182" s="3"/>
      <c r="R1182" s="3"/>
      <c r="S1182" s="3"/>
      <c r="T1182" s="3"/>
      <c r="U1182" s="3"/>
      <c r="V1182" s="3"/>
      <c r="W1182" s="3"/>
      <c r="X1182" s="3"/>
      <c r="Y1182" s="3"/>
      <c r="Z1182" s="3"/>
      <c r="AA1182" s="3"/>
      <c r="AB1182" s="3"/>
    </row>
    <row r="1183" customFormat="false" ht="15" hidden="false" customHeight="false" outlineLevel="0" collapsed="false">
      <c r="A1183" s="54"/>
      <c r="B1183" s="52"/>
      <c r="C1183" s="56"/>
      <c r="D1183" s="56"/>
      <c r="E1183" s="56"/>
      <c r="F1183" s="56"/>
      <c r="G1183" s="55"/>
      <c r="H1183" s="56"/>
      <c r="I1183" s="56"/>
      <c r="J1183" s="56"/>
      <c r="K1183" s="56"/>
      <c r="L1183" s="56"/>
      <c r="M1183" s="52"/>
      <c r="N1183" s="53"/>
      <c r="O1183" s="62" t="str">
        <f aca="false">IF($B1183="","",TEXT($A1183,"YYYY-MM-DD")&amp;"|"&amp;$B1183)</f>
        <v/>
      </c>
      <c r="P1183" s="3"/>
      <c r="Q1183" s="3"/>
      <c r="R1183" s="3"/>
      <c r="S1183" s="3"/>
      <c r="T1183" s="3"/>
      <c r="U1183" s="3"/>
      <c r="V1183" s="3"/>
      <c r="W1183" s="3"/>
      <c r="X1183" s="3"/>
      <c r="Y1183" s="3"/>
      <c r="Z1183" s="3"/>
      <c r="AA1183" s="3"/>
      <c r="AB1183" s="3"/>
    </row>
    <row r="1184" customFormat="false" ht="15" hidden="false" customHeight="false" outlineLevel="0" collapsed="false">
      <c r="A1184" s="48"/>
      <c r="B1184" s="46"/>
      <c r="C1184" s="50"/>
      <c r="D1184" s="50"/>
      <c r="E1184" s="50"/>
      <c r="F1184" s="50"/>
      <c r="G1184" s="49"/>
      <c r="H1184" s="50"/>
      <c r="I1184" s="50"/>
      <c r="J1184" s="50"/>
      <c r="K1184" s="50"/>
      <c r="L1184" s="50"/>
      <c r="M1184" s="46"/>
      <c r="N1184" s="47"/>
      <c r="O1184" s="62" t="str">
        <f aca="false">IF($B1184="","",TEXT($A1184,"YYYY-MM-DD")&amp;"|"&amp;$B1184)</f>
        <v/>
      </c>
      <c r="P1184" s="3"/>
      <c r="Q1184" s="3"/>
      <c r="R1184" s="3"/>
      <c r="S1184" s="3"/>
      <c r="T1184" s="3"/>
      <c r="U1184" s="3"/>
      <c r="V1184" s="3"/>
      <c r="W1184" s="3"/>
      <c r="X1184" s="3"/>
      <c r="Y1184" s="3"/>
      <c r="Z1184" s="3"/>
      <c r="AA1184" s="3"/>
      <c r="AB1184" s="3"/>
    </row>
    <row r="1185" customFormat="false" ht="15" hidden="false" customHeight="false" outlineLevel="0" collapsed="false">
      <c r="A1185" s="54"/>
      <c r="B1185" s="52"/>
      <c r="C1185" s="56"/>
      <c r="D1185" s="56"/>
      <c r="E1185" s="56"/>
      <c r="F1185" s="56"/>
      <c r="G1185" s="55"/>
      <c r="H1185" s="56"/>
      <c r="I1185" s="56"/>
      <c r="J1185" s="56"/>
      <c r="K1185" s="56"/>
      <c r="L1185" s="56"/>
      <c r="M1185" s="52"/>
      <c r="N1185" s="53"/>
      <c r="O1185" s="62" t="str">
        <f aca="false">IF($B1185="","",TEXT($A1185,"YYYY-MM-DD")&amp;"|"&amp;$B1185)</f>
        <v/>
      </c>
      <c r="P1185" s="3"/>
      <c r="Q1185" s="3"/>
      <c r="R1185" s="3"/>
      <c r="S1185" s="3"/>
      <c r="T1185" s="3"/>
      <c r="U1185" s="3"/>
      <c r="V1185" s="3"/>
      <c r="W1185" s="3"/>
      <c r="X1185" s="3"/>
      <c r="Y1185" s="3"/>
      <c r="Z1185" s="3"/>
      <c r="AA1185" s="3"/>
      <c r="AB1185" s="3"/>
    </row>
    <row r="1186" customFormat="false" ht="15" hidden="false" customHeight="false" outlineLevel="0" collapsed="false">
      <c r="A1186" s="48"/>
      <c r="B1186" s="46"/>
      <c r="C1186" s="50"/>
      <c r="D1186" s="50"/>
      <c r="E1186" s="50"/>
      <c r="F1186" s="50"/>
      <c r="G1186" s="49"/>
      <c r="H1186" s="50"/>
      <c r="I1186" s="50"/>
      <c r="J1186" s="50"/>
      <c r="K1186" s="50"/>
      <c r="L1186" s="50"/>
      <c r="M1186" s="46"/>
      <c r="N1186" s="47"/>
      <c r="O1186" s="62" t="str">
        <f aca="false">IF($B1186="","",TEXT($A1186,"YYYY-MM-DD")&amp;"|"&amp;$B1186)</f>
        <v/>
      </c>
      <c r="P1186" s="3"/>
      <c r="Q1186" s="3"/>
      <c r="R1186" s="3"/>
      <c r="S1186" s="3"/>
      <c r="T1186" s="3"/>
      <c r="U1186" s="3"/>
      <c r="V1186" s="3"/>
      <c r="W1186" s="3"/>
      <c r="X1186" s="3"/>
      <c r="Y1186" s="3"/>
      <c r="Z1186" s="3"/>
      <c r="AA1186" s="3"/>
      <c r="AB1186" s="3"/>
    </row>
    <row r="1187" customFormat="false" ht="15" hidden="false" customHeight="false" outlineLevel="0" collapsed="false">
      <c r="A1187" s="54"/>
      <c r="B1187" s="52"/>
      <c r="C1187" s="56"/>
      <c r="D1187" s="56"/>
      <c r="E1187" s="56"/>
      <c r="F1187" s="56"/>
      <c r="G1187" s="55"/>
      <c r="H1187" s="56"/>
      <c r="I1187" s="56"/>
      <c r="J1187" s="56"/>
      <c r="K1187" s="56"/>
      <c r="L1187" s="56"/>
      <c r="M1187" s="52"/>
      <c r="N1187" s="53"/>
      <c r="O1187" s="62" t="str">
        <f aca="false">IF($B1187="","",TEXT($A1187,"YYYY-MM-DD")&amp;"|"&amp;$B1187)</f>
        <v/>
      </c>
      <c r="P1187" s="3"/>
      <c r="Q1187" s="3"/>
      <c r="R1187" s="3"/>
      <c r="S1187" s="3"/>
      <c r="T1187" s="3"/>
      <c r="U1187" s="3"/>
      <c r="V1187" s="3"/>
      <c r="W1187" s="3"/>
      <c r="X1187" s="3"/>
      <c r="Y1187" s="3"/>
      <c r="Z1187" s="3"/>
      <c r="AA1187" s="3"/>
      <c r="AB1187" s="3"/>
    </row>
    <row r="1188" customFormat="false" ht="15" hidden="false" customHeight="false" outlineLevel="0" collapsed="false">
      <c r="A1188" s="48"/>
      <c r="B1188" s="46"/>
      <c r="C1188" s="50"/>
      <c r="D1188" s="50"/>
      <c r="E1188" s="50"/>
      <c r="F1188" s="50"/>
      <c r="G1188" s="49"/>
      <c r="H1188" s="50"/>
      <c r="I1188" s="50"/>
      <c r="J1188" s="50"/>
      <c r="K1188" s="50"/>
      <c r="L1188" s="50"/>
      <c r="M1188" s="46"/>
      <c r="N1188" s="47"/>
      <c r="O1188" s="62" t="str">
        <f aca="false">IF($B1188="","",TEXT($A1188,"YYYY-MM-DD")&amp;"|"&amp;$B1188)</f>
        <v/>
      </c>
      <c r="P1188" s="3"/>
      <c r="Q1188" s="3"/>
      <c r="R1188" s="3"/>
      <c r="S1188" s="3"/>
      <c r="T1188" s="3"/>
      <c r="U1188" s="3"/>
      <c r="V1188" s="3"/>
      <c r="W1188" s="3"/>
      <c r="X1188" s="3"/>
      <c r="Y1188" s="3"/>
      <c r="Z1188" s="3"/>
      <c r="AA1188" s="3"/>
      <c r="AB1188" s="3"/>
    </row>
    <row r="1189" customFormat="false" ht="15" hidden="false" customHeight="false" outlineLevel="0" collapsed="false">
      <c r="A1189" s="54"/>
      <c r="B1189" s="52"/>
      <c r="C1189" s="56"/>
      <c r="D1189" s="56"/>
      <c r="E1189" s="56"/>
      <c r="F1189" s="56"/>
      <c r="G1189" s="55"/>
      <c r="H1189" s="56"/>
      <c r="I1189" s="56"/>
      <c r="J1189" s="56"/>
      <c r="K1189" s="56"/>
      <c r="L1189" s="56"/>
      <c r="M1189" s="52"/>
      <c r="N1189" s="53"/>
      <c r="O1189" s="62" t="str">
        <f aca="false">IF($B1189="","",TEXT($A1189,"YYYY-MM-DD")&amp;"|"&amp;$B1189)</f>
        <v/>
      </c>
      <c r="P1189" s="3"/>
      <c r="Q1189" s="3"/>
      <c r="R1189" s="3"/>
      <c r="S1189" s="3"/>
      <c r="T1189" s="3"/>
      <c r="U1189" s="3"/>
      <c r="V1189" s="3"/>
      <c r="W1189" s="3"/>
      <c r="X1189" s="3"/>
      <c r="Y1189" s="3"/>
      <c r="Z1189" s="3"/>
      <c r="AA1189" s="3"/>
      <c r="AB1189" s="3"/>
    </row>
    <row r="1190" customFormat="false" ht="15" hidden="false" customHeight="false" outlineLevel="0" collapsed="false">
      <c r="A1190" s="48"/>
      <c r="B1190" s="46"/>
      <c r="C1190" s="50"/>
      <c r="D1190" s="50"/>
      <c r="E1190" s="50"/>
      <c r="F1190" s="50"/>
      <c r="G1190" s="49"/>
      <c r="H1190" s="50"/>
      <c r="I1190" s="50"/>
      <c r="J1190" s="50"/>
      <c r="K1190" s="50"/>
      <c r="L1190" s="50"/>
      <c r="M1190" s="46"/>
      <c r="N1190" s="47"/>
      <c r="O1190" s="62" t="str">
        <f aca="false">IF($B1190="","",TEXT($A1190,"YYYY-MM-DD")&amp;"|"&amp;$B1190)</f>
        <v/>
      </c>
      <c r="P1190" s="3"/>
      <c r="Q1190" s="3"/>
      <c r="R1190" s="3"/>
      <c r="S1190" s="3"/>
      <c r="T1190" s="3"/>
      <c r="U1190" s="3"/>
      <c r="V1190" s="3"/>
      <c r="W1190" s="3"/>
      <c r="X1190" s="3"/>
      <c r="Y1190" s="3"/>
      <c r="Z1190" s="3"/>
      <c r="AA1190" s="3"/>
      <c r="AB1190" s="3"/>
    </row>
    <row r="1191" customFormat="false" ht="15" hidden="false" customHeight="false" outlineLevel="0" collapsed="false">
      <c r="A1191" s="54"/>
      <c r="B1191" s="52"/>
      <c r="C1191" s="56"/>
      <c r="D1191" s="56"/>
      <c r="E1191" s="56"/>
      <c r="F1191" s="56"/>
      <c r="G1191" s="55"/>
      <c r="H1191" s="56"/>
      <c r="I1191" s="56"/>
      <c r="J1191" s="56"/>
      <c r="K1191" s="56"/>
      <c r="L1191" s="56"/>
      <c r="M1191" s="52"/>
      <c r="N1191" s="53"/>
      <c r="O1191" s="62" t="str">
        <f aca="false">IF($B1191="","",TEXT($A1191,"YYYY-MM-DD")&amp;"|"&amp;$B1191)</f>
        <v/>
      </c>
      <c r="P1191" s="3"/>
      <c r="Q1191" s="3"/>
      <c r="R1191" s="3"/>
      <c r="S1191" s="3"/>
      <c r="T1191" s="3"/>
      <c r="U1191" s="3"/>
      <c r="V1191" s="3"/>
      <c r="W1191" s="3"/>
      <c r="X1191" s="3"/>
      <c r="Y1191" s="3"/>
      <c r="Z1191" s="3"/>
      <c r="AA1191" s="3"/>
      <c r="AB1191" s="3"/>
    </row>
    <row r="1192" customFormat="false" ht="15" hidden="false" customHeight="false" outlineLevel="0" collapsed="false">
      <c r="A1192" s="48"/>
      <c r="B1192" s="46"/>
      <c r="C1192" s="50"/>
      <c r="D1192" s="50"/>
      <c r="E1192" s="50"/>
      <c r="F1192" s="50"/>
      <c r="G1192" s="49"/>
      <c r="H1192" s="50"/>
      <c r="I1192" s="50"/>
      <c r="J1192" s="50"/>
      <c r="K1192" s="50"/>
      <c r="L1192" s="50"/>
      <c r="M1192" s="46"/>
      <c r="N1192" s="47"/>
      <c r="O1192" s="62" t="str">
        <f aca="false">IF($B1192="","",TEXT($A1192,"YYYY-MM-DD")&amp;"|"&amp;$B1192)</f>
        <v/>
      </c>
      <c r="P1192" s="3"/>
      <c r="Q1192" s="3"/>
      <c r="R1192" s="3"/>
      <c r="S1192" s="3"/>
      <c r="T1192" s="3"/>
      <c r="U1192" s="3"/>
      <c r="V1192" s="3"/>
      <c r="W1192" s="3"/>
      <c r="X1192" s="3"/>
      <c r="Y1192" s="3"/>
      <c r="Z1192" s="3"/>
      <c r="AA1192" s="3"/>
      <c r="AB1192" s="3"/>
    </row>
    <row r="1193" customFormat="false" ht="15" hidden="false" customHeight="false" outlineLevel="0" collapsed="false">
      <c r="A1193" s="54"/>
      <c r="B1193" s="52"/>
      <c r="C1193" s="56"/>
      <c r="D1193" s="56"/>
      <c r="E1193" s="56"/>
      <c r="F1193" s="56"/>
      <c r="G1193" s="55"/>
      <c r="H1193" s="56"/>
      <c r="I1193" s="56"/>
      <c r="J1193" s="56"/>
      <c r="K1193" s="56"/>
      <c r="L1193" s="56"/>
      <c r="M1193" s="52"/>
      <c r="N1193" s="53"/>
      <c r="O1193" s="62" t="str">
        <f aca="false">IF($B1193="","",TEXT($A1193,"YYYY-MM-DD")&amp;"|"&amp;$B1193)</f>
        <v/>
      </c>
      <c r="P1193" s="3"/>
      <c r="Q1193" s="3"/>
      <c r="R1193" s="3"/>
      <c r="S1193" s="3"/>
      <c r="T1193" s="3"/>
      <c r="U1193" s="3"/>
      <c r="V1193" s="3"/>
      <c r="W1193" s="3"/>
      <c r="X1193" s="3"/>
      <c r="Y1193" s="3"/>
      <c r="Z1193" s="3"/>
      <c r="AA1193" s="3"/>
      <c r="AB1193" s="3"/>
    </row>
    <row r="1194" customFormat="false" ht="15" hidden="false" customHeight="false" outlineLevel="0" collapsed="false">
      <c r="A1194" s="48"/>
      <c r="B1194" s="46"/>
      <c r="C1194" s="50"/>
      <c r="D1194" s="50"/>
      <c r="E1194" s="50"/>
      <c r="F1194" s="50"/>
      <c r="G1194" s="49"/>
      <c r="H1194" s="50"/>
      <c r="I1194" s="50"/>
      <c r="J1194" s="50"/>
      <c r="K1194" s="50"/>
      <c r="L1194" s="50"/>
      <c r="M1194" s="46"/>
      <c r="N1194" s="47"/>
      <c r="O1194" s="62" t="str">
        <f aca="false">IF($B1194="","",TEXT($A1194,"YYYY-MM-DD")&amp;"|"&amp;$B1194)</f>
        <v/>
      </c>
      <c r="P1194" s="3"/>
      <c r="Q1194" s="3"/>
      <c r="R1194" s="3"/>
      <c r="S1194" s="3"/>
      <c r="T1194" s="3"/>
      <c r="U1194" s="3"/>
      <c r="V1194" s="3"/>
      <c r="W1194" s="3"/>
      <c r="X1194" s="3"/>
      <c r="Y1194" s="3"/>
      <c r="Z1194" s="3"/>
      <c r="AA1194" s="3"/>
      <c r="AB1194" s="3"/>
    </row>
    <row r="1195" customFormat="false" ht="15" hidden="false" customHeight="false" outlineLevel="0" collapsed="false">
      <c r="A1195" s="54"/>
      <c r="B1195" s="52"/>
      <c r="C1195" s="56"/>
      <c r="D1195" s="56"/>
      <c r="E1195" s="56"/>
      <c r="F1195" s="56"/>
      <c r="G1195" s="55"/>
      <c r="H1195" s="56"/>
      <c r="I1195" s="56"/>
      <c r="J1195" s="56"/>
      <c r="K1195" s="56"/>
      <c r="L1195" s="56"/>
      <c r="M1195" s="52"/>
      <c r="N1195" s="53"/>
      <c r="O1195" s="62" t="str">
        <f aca="false">IF($B1195="","",TEXT($A1195,"YYYY-MM-DD")&amp;"|"&amp;$B1195)</f>
        <v/>
      </c>
      <c r="P1195" s="3"/>
      <c r="Q1195" s="3"/>
      <c r="R1195" s="3"/>
      <c r="S1195" s="3"/>
      <c r="T1195" s="3"/>
      <c r="U1195" s="3"/>
      <c r="V1195" s="3"/>
      <c r="W1195" s="3"/>
      <c r="X1195" s="3"/>
      <c r="Y1195" s="3"/>
      <c r="Z1195" s="3"/>
      <c r="AA1195" s="3"/>
      <c r="AB1195" s="3"/>
    </row>
    <row r="1196" customFormat="false" ht="15" hidden="false" customHeight="false" outlineLevel="0" collapsed="false">
      <c r="A1196" s="48"/>
      <c r="B1196" s="46"/>
      <c r="C1196" s="50"/>
      <c r="D1196" s="50"/>
      <c r="E1196" s="50"/>
      <c r="F1196" s="50"/>
      <c r="G1196" s="49"/>
      <c r="H1196" s="50"/>
      <c r="I1196" s="50"/>
      <c r="J1196" s="50"/>
      <c r="K1196" s="50"/>
      <c r="L1196" s="50"/>
      <c r="M1196" s="46"/>
      <c r="N1196" s="47"/>
      <c r="O1196" s="62" t="str">
        <f aca="false">IF($B1196="","",TEXT($A1196,"YYYY-MM-DD")&amp;"|"&amp;$B1196)</f>
        <v/>
      </c>
      <c r="P1196" s="3"/>
      <c r="Q1196" s="3"/>
      <c r="R1196" s="3"/>
      <c r="S1196" s="3"/>
      <c r="T1196" s="3"/>
      <c r="U1196" s="3"/>
      <c r="V1196" s="3"/>
      <c r="W1196" s="3"/>
      <c r="X1196" s="3"/>
      <c r="Y1196" s="3"/>
      <c r="Z1196" s="3"/>
      <c r="AA1196" s="3"/>
      <c r="AB1196" s="3"/>
    </row>
    <row r="1197" customFormat="false" ht="15" hidden="false" customHeight="false" outlineLevel="0" collapsed="false">
      <c r="A1197" s="54"/>
      <c r="B1197" s="52"/>
      <c r="C1197" s="56"/>
      <c r="D1197" s="56"/>
      <c r="E1197" s="56"/>
      <c r="F1197" s="56"/>
      <c r="G1197" s="55"/>
      <c r="H1197" s="56"/>
      <c r="I1197" s="56"/>
      <c r="J1197" s="56"/>
      <c r="K1197" s="56"/>
      <c r="L1197" s="56"/>
      <c r="M1197" s="52"/>
      <c r="N1197" s="53"/>
      <c r="O1197" s="62" t="str">
        <f aca="false">IF($B1197="","",TEXT($A1197,"YYYY-MM-DD")&amp;"|"&amp;$B1197)</f>
        <v/>
      </c>
      <c r="P1197" s="3"/>
      <c r="Q1197" s="3"/>
      <c r="R1197" s="3"/>
      <c r="S1197" s="3"/>
      <c r="T1197" s="3"/>
      <c r="U1197" s="3"/>
      <c r="V1197" s="3"/>
      <c r="W1197" s="3"/>
      <c r="X1197" s="3"/>
      <c r="Y1197" s="3"/>
      <c r="Z1197" s="3"/>
      <c r="AA1197" s="3"/>
      <c r="AB1197" s="3"/>
    </row>
    <row r="1198" customFormat="false" ht="15" hidden="false" customHeight="false" outlineLevel="0" collapsed="false">
      <c r="A1198" s="48"/>
      <c r="B1198" s="46"/>
      <c r="C1198" s="50"/>
      <c r="D1198" s="50"/>
      <c r="E1198" s="50"/>
      <c r="F1198" s="50"/>
      <c r="G1198" s="49"/>
      <c r="H1198" s="50"/>
      <c r="I1198" s="50"/>
      <c r="J1198" s="50"/>
      <c r="K1198" s="50"/>
      <c r="L1198" s="50"/>
      <c r="M1198" s="46"/>
      <c r="N1198" s="47"/>
      <c r="O1198" s="62" t="str">
        <f aca="false">IF($B1198="","",TEXT($A1198,"YYYY-MM-DD")&amp;"|"&amp;$B1198)</f>
        <v/>
      </c>
      <c r="P1198" s="3"/>
      <c r="Q1198" s="3"/>
      <c r="R1198" s="3"/>
      <c r="S1198" s="3"/>
      <c r="T1198" s="3"/>
      <c r="U1198" s="3"/>
      <c r="V1198" s="3"/>
      <c r="W1198" s="3"/>
      <c r="X1198" s="3"/>
      <c r="Y1198" s="3"/>
      <c r="Z1198" s="3"/>
      <c r="AA1198" s="3"/>
      <c r="AB1198" s="3"/>
    </row>
    <row r="1199" customFormat="false" ht="15" hidden="false" customHeight="false" outlineLevel="0" collapsed="false">
      <c r="A1199" s="54"/>
      <c r="B1199" s="52"/>
      <c r="C1199" s="56"/>
      <c r="D1199" s="56"/>
      <c r="E1199" s="56"/>
      <c r="F1199" s="56"/>
      <c r="G1199" s="55"/>
      <c r="H1199" s="56"/>
      <c r="I1199" s="56"/>
      <c r="J1199" s="56"/>
      <c r="K1199" s="56"/>
      <c r="L1199" s="56"/>
      <c r="M1199" s="52"/>
      <c r="N1199" s="53"/>
      <c r="O1199" s="62" t="str">
        <f aca="false">IF($B1199="","",TEXT($A1199,"YYYY-MM-DD")&amp;"|"&amp;$B1199)</f>
        <v/>
      </c>
      <c r="P1199" s="3"/>
      <c r="Q1199" s="3"/>
      <c r="R1199" s="3"/>
      <c r="S1199" s="3"/>
      <c r="T1199" s="3"/>
      <c r="U1199" s="3"/>
      <c r="V1199" s="3"/>
      <c r="W1199" s="3"/>
      <c r="X1199" s="3"/>
      <c r="Y1199" s="3"/>
      <c r="Z1199" s="3"/>
      <c r="AA1199" s="3"/>
      <c r="AB1199" s="3"/>
    </row>
    <row r="1200" customFormat="false" ht="15" hidden="false" customHeight="false" outlineLevel="0" collapsed="false">
      <c r="A1200" s="48"/>
      <c r="B1200" s="46"/>
      <c r="C1200" s="50"/>
      <c r="D1200" s="50"/>
      <c r="E1200" s="50"/>
      <c r="F1200" s="50"/>
      <c r="G1200" s="49"/>
      <c r="H1200" s="50"/>
      <c r="I1200" s="50"/>
      <c r="J1200" s="50"/>
      <c r="K1200" s="50"/>
      <c r="L1200" s="50"/>
      <c r="M1200" s="46"/>
      <c r="N1200" s="47"/>
      <c r="O1200" s="62" t="str">
        <f aca="false">IF($B1200="","",TEXT($A1200,"YYYY-MM-DD")&amp;"|"&amp;$B1200)</f>
        <v/>
      </c>
      <c r="P1200" s="3"/>
      <c r="Q1200" s="3"/>
      <c r="R1200" s="3"/>
      <c r="S1200" s="3"/>
      <c r="T1200" s="3"/>
      <c r="U1200" s="3"/>
      <c r="V1200" s="3"/>
      <c r="W1200" s="3"/>
      <c r="X1200" s="3"/>
      <c r="Y1200" s="3"/>
      <c r="Z1200" s="3"/>
      <c r="AA1200" s="3"/>
      <c r="AB1200" s="3"/>
    </row>
    <row r="1201" customFormat="false" ht="15" hidden="false" customHeight="false" outlineLevel="0" collapsed="false">
      <c r="A1201" s="54"/>
      <c r="B1201" s="52"/>
      <c r="C1201" s="56"/>
      <c r="D1201" s="56"/>
      <c r="E1201" s="56"/>
      <c r="F1201" s="56"/>
      <c r="G1201" s="55"/>
      <c r="H1201" s="56"/>
      <c r="I1201" s="56"/>
      <c r="J1201" s="56"/>
      <c r="K1201" s="56"/>
      <c r="L1201" s="56"/>
      <c r="M1201" s="52"/>
      <c r="N1201" s="53"/>
      <c r="O1201" s="62" t="str">
        <f aca="false">IF($B1201="","",TEXT($A1201,"YYYY-MM-DD")&amp;"|"&amp;$B1201)</f>
        <v/>
      </c>
      <c r="P1201" s="3"/>
      <c r="Q1201" s="3"/>
      <c r="R1201" s="3"/>
      <c r="S1201" s="3"/>
      <c r="T1201" s="3"/>
      <c r="U1201" s="3"/>
      <c r="V1201" s="3"/>
      <c r="W1201" s="3"/>
      <c r="X1201" s="3"/>
      <c r="Y1201" s="3"/>
      <c r="Z1201" s="3"/>
      <c r="AA1201" s="3"/>
      <c r="AB1201" s="3"/>
    </row>
    <row r="1202" customFormat="false" ht="15" hidden="false" customHeight="false" outlineLevel="0" collapsed="false">
      <c r="A1202" s="48"/>
      <c r="B1202" s="46"/>
      <c r="C1202" s="50"/>
      <c r="D1202" s="50"/>
      <c r="E1202" s="50"/>
      <c r="F1202" s="50"/>
      <c r="G1202" s="49"/>
      <c r="H1202" s="50"/>
      <c r="I1202" s="50"/>
      <c r="J1202" s="50"/>
      <c r="K1202" s="50"/>
      <c r="L1202" s="50"/>
      <c r="M1202" s="46"/>
      <c r="N1202" s="47"/>
      <c r="O1202" s="62" t="str">
        <f aca="false">IF($B1202="","",TEXT($A1202,"YYYY-MM-DD")&amp;"|"&amp;$B1202)</f>
        <v/>
      </c>
      <c r="P1202" s="3"/>
      <c r="Q1202" s="3"/>
      <c r="R1202" s="3"/>
      <c r="S1202" s="3"/>
      <c r="T1202" s="3"/>
      <c r="U1202" s="3"/>
      <c r="V1202" s="3"/>
      <c r="W1202" s="3"/>
      <c r="X1202" s="3"/>
      <c r="Y1202" s="3"/>
      <c r="Z1202" s="3"/>
      <c r="AA1202" s="3"/>
      <c r="AB1202" s="3"/>
    </row>
    <row r="1203" customFormat="false" ht="15" hidden="false" customHeight="false" outlineLevel="0" collapsed="false">
      <c r="A1203" s="54"/>
      <c r="B1203" s="52"/>
      <c r="C1203" s="56"/>
      <c r="D1203" s="56"/>
      <c r="E1203" s="56"/>
      <c r="F1203" s="56"/>
      <c r="G1203" s="55"/>
      <c r="H1203" s="56"/>
      <c r="I1203" s="56"/>
      <c r="J1203" s="56"/>
      <c r="K1203" s="56"/>
      <c r="L1203" s="56"/>
      <c r="M1203" s="52"/>
      <c r="N1203" s="53"/>
      <c r="O1203" s="62" t="str">
        <f aca="false">IF($B1203="","",TEXT($A1203,"YYYY-MM-DD")&amp;"|"&amp;$B1203)</f>
        <v/>
      </c>
      <c r="P1203" s="3"/>
      <c r="Q1203" s="3"/>
      <c r="R1203" s="3"/>
      <c r="S1203" s="3"/>
      <c r="T1203" s="3"/>
      <c r="U1203" s="3"/>
      <c r="V1203" s="3"/>
      <c r="W1203" s="3"/>
      <c r="X1203" s="3"/>
      <c r="Y1203" s="3"/>
      <c r="Z1203" s="3"/>
      <c r="AA1203" s="3"/>
      <c r="AB1203" s="3"/>
    </row>
    <row r="1204" customFormat="false" ht="15" hidden="false" customHeight="false" outlineLevel="0" collapsed="false">
      <c r="A1204" s="48"/>
      <c r="B1204" s="46"/>
      <c r="C1204" s="50"/>
      <c r="D1204" s="50"/>
      <c r="E1204" s="50"/>
      <c r="F1204" s="50"/>
      <c r="G1204" s="49"/>
      <c r="H1204" s="50"/>
      <c r="I1204" s="50"/>
      <c r="J1204" s="50"/>
      <c r="K1204" s="50"/>
      <c r="L1204" s="50"/>
      <c r="M1204" s="46"/>
      <c r="N1204" s="47"/>
      <c r="O1204" s="62" t="str">
        <f aca="false">IF($B1204="","",TEXT($A1204,"YYYY-MM-DD")&amp;"|"&amp;$B1204)</f>
        <v/>
      </c>
      <c r="P1204" s="3"/>
      <c r="Q1204" s="3"/>
      <c r="R1204" s="3"/>
      <c r="S1204" s="3"/>
      <c r="T1204" s="3"/>
      <c r="U1204" s="3"/>
      <c r="V1204" s="3"/>
      <c r="W1204" s="3"/>
      <c r="X1204" s="3"/>
      <c r="Y1204" s="3"/>
      <c r="Z1204" s="3"/>
      <c r="AA1204" s="3"/>
      <c r="AB1204" s="3"/>
    </row>
    <row r="1205" customFormat="false" ht="15" hidden="false" customHeight="false" outlineLevel="0" collapsed="false">
      <c r="A1205" s="54"/>
      <c r="B1205" s="52"/>
      <c r="C1205" s="56"/>
      <c r="D1205" s="56"/>
      <c r="E1205" s="56"/>
      <c r="F1205" s="56"/>
      <c r="G1205" s="55"/>
      <c r="H1205" s="56"/>
      <c r="I1205" s="56"/>
      <c r="J1205" s="56"/>
      <c r="K1205" s="56"/>
      <c r="L1205" s="56"/>
      <c r="M1205" s="52"/>
      <c r="N1205" s="53"/>
      <c r="O1205" s="62" t="str">
        <f aca="false">IF($B1205="","",TEXT($A1205,"YYYY-MM-DD")&amp;"|"&amp;$B1205)</f>
        <v/>
      </c>
      <c r="P1205" s="3"/>
      <c r="Q1205" s="3"/>
      <c r="R1205" s="3"/>
      <c r="S1205" s="3"/>
      <c r="T1205" s="3"/>
      <c r="U1205" s="3"/>
      <c r="V1205" s="3"/>
      <c r="W1205" s="3"/>
      <c r="X1205" s="3"/>
      <c r="Y1205" s="3"/>
      <c r="Z1205" s="3"/>
      <c r="AA1205" s="3"/>
      <c r="AB1205" s="3"/>
    </row>
    <row r="1206" customFormat="false" ht="15" hidden="false" customHeight="false" outlineLevel="0" collapsed="false">
      <c r="A1206" s="48"/>
      <c r="B1206" s="46"/>
      <c r="C1206" s="50"/>
      <c r="D1206" s="50"/>
      <c r="E1206" s="50"/>
      <c r="F1206" s="50"/>
      <c r="G1206" s="49"/>
      <c r="H1206" s="50"/>
      <c r="I1206" s="50"/>
      <c r="J1206" s="50"/>
      <c r="K1206" s="50"/>
      <c r="L1206" s="50"/>
      <c r="M1206" s="46"/>
      <c r="N1206" s="47"/>
      <c r="O1206" s="62" t="str">
        <f aca="false">IF($B1206="","",TEXT($A1206,"YYYY-MM-DD")&amp;"|"&amp;$B1206)</f>
        <v/>
      </c>
      <c r="P1206" s="3"/>
      <c r="Q1206" s="3"/>
      <c r="R1206" s="3"/>
      <c r="S1206" s="3"/>
      <c r="T1206" s="3"/>
      <c r="U1206" s="3"/>
      <c r="V1206" s="3"/>
      <c r="W1206" s="3"/>
      <c r="X1206" s="3"/>
      <c r="Y1206" s="3"/>
      <c r="Z1206" s="3"/>
      <c r="AA1206" s="3"/>
      <c r="AB1206" s="3"/>
    </row>
    <row r="1207" customFormat="false" ht="15" hidden="false" customHeight="false" outlineLevel="0" collapsed="false">
      <c r="A1207" s="54"/>
      <c r="B1207" s="52"/>
      <c r="C1207" s="56"/>
      <c r="D1207" s="56"/>
      <c r="E1207" s="56"/>
      <c r="F1207" s="56"/>
      <c r="G1207" s="55"/>
      <c r="H1207" s="56"/>
      <c r="I1207" s="56"/>
      <c r="J1207" s="56"/>
      <c r="K1207" s="56"/>
      <c r="L1207" s="56"/>
      <c r="M1207" s="52"/>
      <c r="N1207" s="53"/>
      <c r="O1207" s="62" t="str">
        <f aca="false">IF($B1207="","",TEXT($A1207,"YYYY-MM-DD")&amp;"|"&amp;$B1207)</f>
        <v/>
      </c>
      <c r="P1207" s="3"/>
      <c r="Q1207" s="3"/>
      <c r="R1207" s="3"/>
      <c r="S1207" s="3"/>
      <c r="T1207" s="3"/>
      <c r="U1207" s="3"/>
      <c r="V1207" s="3"/>
      <c r="W1207" s="3"/>
      <c r="X1207" s="3"/>
      <c r="Y1207" s="3"/>
      <c r="Z1207" s="3"/>
      <c r="AA1207" s="3"/>
      <c r="AB1207" s="3"/>
    </row>
    <row r="1208" customFormat="false" ht="15" hidden="false" customHeight="false" outlineLevel="0" collapsed="false">
      <c r="A1208" s="48"/>
      <c r="B1208" s="46"/>
      <c r="C1208" s="50"/>
      <c r="D1208" s="50"/>
      <c r="E1208" s="50"/>
      <c r="F1208" s="50"/>
      <c r="G1208" s="49"/>
      <c r="H1208" s="50"/>
      <c r="I1208" s="50"/>
      <c r="J1208" s="50"/>
      <c r="K1208" s="50"/>
      <c r="L1208" s="50"/>
      <c r="M1208" s="46"/>
      <c r="N1208" s="47"/>
      <c r="O1208" s="62" t="str">
        <f aca="false">IF($B1208="","",TEXT($A1208,"YYYY-MM-DD")&amp;"|"&amp;$B1208)</f>
        <v/>
      </c>
      <c r="P1208" s="3"/>
      <c r="Q1208" s="3"/>
      <c r="R1208" s="3"/>
      <c r="S1208" s="3"/>
      <c r="T1208" s="3"/>
      <c r="U1208" s="3"/>
      <c r="V1208" s="3"/>
      <c r="W1208" s="3"/>
      <c r="X1208" s="3"/>
      <c r="Y1208" s="3"/>
      <c r="Z1208" s="3"/>
      <c r="AA1208" s="3"/>
      <c r="AB1208" s="3"/>
    </row>
    <row r="1209" customFormat="false" ht="15" hidden="false" customHeight="false" outlineLevel="0" collapsed="false">
      <c r="A1209" s="54"/>
      <c r="B1209" s="52"/>
      <c r="C1209" s="56"/>
      <c r="D1209" s="56"/>
      <c r="E1209" s="56"/>
      <c r="F1209" s="56"/>
      <c r="G1209" s="55"/>
      <c r="H1209" s="56"/>
      <c r="I1209" s="56"/>
      <c r="J1209" s="56"/>
      <c r="K1209" s="56"/>
      <c r="L1209" s="56"/>
      <c r="M1209" s="52"/>
      <c r="N1209" s="53"/>
      <c r="O1209" s="62" t="str">
        <f aca="false">IF($B1209="","",TEXT($A1209,"YYYY-MM-DD")&amp;"|"&amp;$B1209)</f>
        <v/>
      </c>
      <c r="P1209" s="3"/>
      <c r="Q1209" s="3"/>
      <c r="R1209" s="3"/>
      <c r="S1209" s="3"/>
      <c r="T1209" s="3"/>
      <c r="U1209" s="3"/>
      <c r="V1209" s="3"/>
      <c r="W1209" s="3"/>
      <c r="X1209" s="3"/>
      <c r="Y1209" s="3"/>
      <c r="Z1209" s="3"/>
      <c r="AA1209" s="3"/>
      <c r="AB1209" s="3"/>
    </row>
    <row r="1210" customFormat="false" ht="15" hidden="false" customHeight="false" outlineLevel="0" collapsed="false">
      <c r="A1210" s="48"/>
      <c r="B1210" s="46"/>
      <c r="C1210" s="50"/>
      <c r="D1210" s="50"/>
      <c r="E1210" s="50"/>
      <c r="F1210" s="50"/>
      <c r="G1210" s="49"/>
      <c r="H1210" s="50"/>
      <c r="I1210" s="50"/>
      <c r="J1210" s="50"/>
      <c r="K1210" s="50"/>
      <c r="L1210" s="50"/>
      <c r="M1210" s="46"/>
      <c r="N1210" s="47"/>
      <c r="O1210" s="62" t="str">
        <f aca="false">IF($B1210="","",TEXT($A1210,"YYYY-MM-DD")&amp;"|"&amp;$B1210)</f>
        <v/>
      </c>
      <c r="P1210" s="3"/>
      <c r="Q1210" s="3"/>
      <c r="R1210" s="3"/>
      <c r="S1210" s="3"/>
      <c r="T1210" s="3"/>
      <c r="U1210" s="3"/>
      <c r="V1210" s="3"/>
      <c r="W1210" s="3"/>
      <c r="X1210" s="3"/>
      <c r="Y1210" s="3"/>
      <c r="Z1210" s="3"/>
      <c r="AA1210" s="3"/>
      <c r="AB1210" s="3"/>
    </row>
    <row r="1211" customFormat="false" ht="15" hidden="false" customHeight="false" outlineLevel="0" collapsed="false">
      <c r="A1211" s="54"/>
      <c r="B1211" s="52"/>
      <c r="C1211" s="56"/>
      <c r="D1211" s="56"/>
      <c r="E1211" s="56"/>
      <c r="F1211" s="56"/>
      <c r="G1211" s="55"/>
      <c r="H1211" s="56"/>
      <c r="I1211" s="56"/>
      <c r="J1211" s="56"/>
      <c r="K1211" s="56"/>
      <c r="L1211" s="56"/>
      <c r="M1211" s="52"/>
      <c r="N1211" s="53"/>
      <c r="O1211" s="62" t="str">
        <f aca="false">IF($B1211="","",TEXT($A1211,"YYYY-MM-DD")&amp;"|"&amp;$B1211)</f>
        <v/>
      </c>
      <c r="P1211" s="3"/>
      <c r="Q1211" s="3"/>
      <c r="R1211" s="3"/>
      <c r="S1211" s="3"/>
      <c r="T1211" s="3"/>
      <c r="U1211" s="3"/>
      <c r="V1211" s="3"/>
      <c r="W1211" s="3"/>
      <c r="X1211" s="3"/>
      <c r="Y1211" s="3"/>
      <c r="Z1211" s="3"/>
      <c r="AA1211" s="3"/>
      <c r="AB1211" s="3"/>
    </row>
    <row r="1212" customFormat="false" ht="15" hidden="false" customHeight="false" outlineLevel="0" collapsed="false">
      <c r="A1212" s="48"/>
      <c r="B1212" s="46"/>
      <c r="C1212" s="50"/>
      <c r="D1212" s="50"/>
      <c r="E1212" s="50"/>
      <c r="F1212" s="50"/>
      <c r="G1212" s="49"/>
      <c r="H1212" s="50"/>
      <c r="I1212" s="50"/>
      <c r="J1212" s="50"/>
      <c r="K1212" s="50"/>
      <c r="L1212" s="50"/>
      <c r="M1212" s="46"/>
      <c r="N1212" s="47"/>
      <c r="O1212" s="62" t="str">
        <f aca="false">IF($B1212="","",TEXT($A1212,"YYYY-MM-DD")&amp;"|"&amp;$B1212)</f>
        <v/>
      </c>
      <c r="P1212" s="3"/>
      <c r="Q1212" s="3"/>
      <c r="R1212" s="3"/>
      <c r="S1212" s="3"/>
      <c r="T1212" s="3"/>
      <c r="U1212" s="3"/>
      <c r="V1212" s="3"/>
      <c r="W1212" s="3"/>
      <c r="X1212" s="3"/>
      <c r="Y1212" s="3"/>
      <c r="Z1212" s="3"/>
      <c r="AA1212" s="3"/>
      <c r="AB1212" s="3"/>
    </row>
    <row r="1213" customFormat="false" ht="15" hidden="false" customHeight="false" outlineLevel="0" collapsed="false">
      <c r="A1213" s="54"/>
      <c r="B1213" s="52"/>
      <c r="C1213" s="56"/>
      <c r="D1213" s="56"/>
      <c r="E1213" s="56"/>
      <c r="F1213" s="56"/>
      <c r="G1213" s="55"/>
      <c r="H1213" s="56"/>
      <c r="I1213" s="56"/>
      <c r="J1213" s="56"/>
      <c r="K1213" s="56"/>
      <c r="L1213" s="56"/>
      <c r="M1213" s="52"/>
      <c r="N1213" s="53"/>
      <c r="O1213" s="62" t="str">
        <f aca="false">IF($B1213="","",TEXT($A1213,"YYYY-MM-DD")&amp;"|"&amp;$B1213)</f>
        <v/>
      </c>
      <c r="P1213" s="3"/>
      <c r="Q1213" s="3"/>
      <c r="R1213" s="3"/>
      <c r="S1213" s="3"/>
      <c r="T1213" s="3"/>
      <c r="U1213" s="3"/>
      <c r="V1213" s="3"/>
      <c r="W1213" s="3"/>
      <c r="X1213" s="3"/>
      <c r="Y1213" s="3"/>
      <c r="Z1213" s="3"/>
      <c r="AA1213" s="3"/>
      <c r="AB1213" s="3"/>
    </row>
    <row r="1214" customFormat="false" ht="15" hidden="false" customHeight="false" outlineLevel="0" collapsed="false">
      <c r="A1214" s="48"/>
      <c r="B1214" s="46"/>
      <c r="C1214" s="50"/>
      <c r="D1214" s="50"/>
      <c r="E1214" s="50"/>
      <c r="F1214" s="50"/>
      <c r="G1214" s="49"/>
      <c r="H1214" s="50"/>
      <c r="I1214" s="50"/>
      <c r="J1214" s="50"/>
      <c r="K1214" s="50"/>
      <c r="L1214" s="50"/>
      <c r="M1214" s="46"/>
      <c r="N1214" s="47"/>
      <c r="O1214" s="62" t="str">
        <f aca="false">IF($B1214="","",TEXT($A1214,"YYYY-MM-DD")&amp;"|"&amp;$B1214)</f>
        <v/>
      </c>
      <c r="P1214" s="3"/>
      <c r="Q1214" s="3"/>
      <c r="R1214" s="3"/>
      <c r="S1214" s="3"/>
      <c r="T1214" s="3"/>
      <c r="U1214" s="3"/>
      <c r="V1214" s="3"/>
      <c r="W1214" s="3"/>
      <c r="X1214" s="3"/>
      <c r="Y1214" s="3"/>
      <c r="Z1214" s="3"/>
      <c r="AA1214" s="3"/>
      <c r="AB1214" s="3"/>
    </row>
    <row r="1215" customFormat="false" ht="15" hidden="false" customHeight="false" outlineLevel="0" collapsed="false">
      <c r="A1215" s="54"/>
      <c r="B1215" s="52"/>
      <c r="C1215" s="56"/>
      <c r="D1215" s="56"/>
      <c r="E1215" s="56"/>
      <c r="F1215" s="56"/>
      <c r="G1215" s="55"/>
      <c r="H1215" s="56"/>
      <c r="I1215" s="56"/>
      <c r="J1215" s="56"/>
      <c r="K1215" s="56"/>
      <c r="L1215" s="56"/>
      <c r="M1215" s="52"/>
      <c r="N1215" s="53"/>
      <c r="O1215" s="62" t="str">
        <f aca="false">IF($B1215="","",TEXT($A1215,"YYYY-MM-DD")&amp;"|"&amp;$B1215)</f>
        <v/>
      </c>
      <c r="P1215" s="3"/>
      <c r="Q1215" s="3"/>
      <c r="R1215" s="3"/>
      <c r="S1215" s="3"/>
      <c r="T1215" s="3"/>
      <c r="U1215" s="3"/>
      <c r="V1215" s="3"/>
      <c r="W1215" s="3"/>
      <c r="X1215" s="3"/>
      <c r="Y1215" s="3"/>
      <c r="Z1215" s="3"/>
      <c r="AA1215" s="3"/>
      <c r="AB1215" s="3"/>
    </row>
    <row r="1216" customFormat="false" ht="15" hidden="false" customHeight="false" outlineLevel="0" collapsed="false">
      <c r="A1216" s="48"/>
      <c r="B1216" s="46"/>
      <c r="C1216" s="50"/>
      <c r="D1216" s="50"/>
      <c r="E1216" s="50"/>
      <c r="F1216" s="50"/>
      <c r="G1216" s="49"/>
      <c r="H1216" s="50"/>
      <c r="I1216" s="50"/>
      <c r="J1216" s="50"/>
      <c r="K1216" s="50"/>
      <c r="L1216" s="50"/>
      <c r="M1216" s="46"/>
      <c r="N1216" s="47"/>
      <c r="O1216" s="62" t="str">
        <f aca="false">IF($B1216="","",TEXT($A1216,"YYYY-MM-DD")&amp;"|"&amp;$B1216)</f>
        <v/>
      </c>
      <c r="P1216" s="3"/>
      <c r="Q1216" s="3"/>
      <c r="R1216" s="3"/>
      <c r="S1216" s="3"/>
      <c r="T1216" s="3"/>
      <c r="U1216" s="3"/>
      <c r="V1216" s="3"/>
      <c r="W1216" s="3"/>
      <c r="X1216" s="3"/>
      <c r="Y1216" s="3"/>
      <c r="Z1216" s="3"/>
      <c r="AA1216" s="3"/>
      <c r="AB1216" s="3"/>
    </row>
    <row r="1217" customFormat="false" ht="15" hidden="false" customHeight="false" outlineLevel="0" collapsed="false">
      <c r="A1217" s="54"/>
      <c r="B1217" s="52"/>
      <c r="C1217" s="56"/>
      <c r="D1217" s="56"/>
      <c r="E1217" s="56"/>
      <c r="F1217" s="56"/>
      <c r="G1217" s="55"/>
      <c r="H1217" s="56"/>
      <c r="I1217" s="56"/>
      <c r="J1217" s="56"/>
      <c r="K1217" s="56"/>
      <c r="L1217" s="56"/>
      <c r="M1217" s="52"/>
      <c r="N1217" s="53"/>
      <c r="O1217" s="62" t="str">
        <f aca="false">IF($B1217="","",TEXT($A1217,"YYYY-MM-DD")&amp;"|"&amp;$B1217)</f>
        <v/>
      </c>
      <c r="P1217" s="3"/>
      <c r="Q1217" s="3"/>
      <c r="R1217" s="3"/>
      <c r="S1217" s="3"/>
      <c r="T1217" s="3"/>
      <c r="U1217" s="3"/>
      <c r="V1217" s="3"/>
      <c r="W1217" s="3"/>
      <c r="X1217" s="3"/>
      <c r="Y1217" s="3"/>
      <c r="Z1217" s="3"/>
      <c r="AA1217" s="3"/>
      <c r="AB1217" s="3"/>
    </row>
    <row r="1218" customFormat="false" ht="15" hidden="false" customHeight="false" outlineLevel="0" collapsed="false">
      <c r="A1218" s="48"/>
      <c r="B1218" s="46"/>
      <c r="C1218" s="50"/>
      <c r="D1218" s="50"/>
      <c r="E1218" s="50"/>
      <c r="F1218" s="50"/>
      <c r="G1218" s="49"/>
      <c r="H1218" s="50"/>
      <c r="I1218" s="50"/>
      <c r="J1218" s="50"/>
      <c r="K1218" s="50"/>
      <c r="L1218" s="50"/>
      <c r="M1218" s="46"/>
      <c r="N1218" s="47"/>
      <c r="O1218" s="62" t="str">
        <f aca="false">IF($B1218="","",TEXT($A1218,"YYYY-MM-DD")&amp;"|"&amp;$B1218)</f>
        <v/>
      </c>
      <c r="P1218" s="3"/>
      <c r="Q1218" s="3"/>
      <c r="R1218" s="3"/>
      <c r="S1218" s="3"/>
      <c r="T1218" s="3"/>
      <c r="U1218" s="3"/>
      <c r="V1218" s="3"/>
      <c r="W1218" s="3"/>
      <c r="X1218" s="3"/>
      <c r="Y1218" s="3"/>
      <c r="Z1218" s="3"/>
      <c r="AA1218" s="3"/>
      <c r="AB1218" s="3"/>
    </row>
    <row r="1219" customFormat="false" ht="15" hidden="false" customHeight="false" outlineLevel="0" collapsed="false">
      <c r="A1219" s="54"/>
      <c r="B1219" s="52"/>
      <c r="C1219" s="56"/>
      <c r="D1219" s="56"/>
      <c r="E1219" s="56"/>
      <c r="F1219" s="56"/>
      <c r="G1219" s="55"/>
      <c r="H1219" s="56"/>
      <c r="I1219" s="56"/>
      <c r="J1219" s="56"/>
      <c r="K1219" s="56"/>
      <c r="L1219" s="56"/>
      <c r="M1219" s="52"/>
      <c r="N1219" s="53"/>
      <c r="O1219" s="62" t="str">
        <f aca="false">IF($B1219="","",TEXT($A1219,"YYYY-MM-DD")&amp;"|"&amp;$B1219)</f>
        <v/>
      </c>
      <c r="P1219" s="3"/>
      <c r="Q1219" s="3"/>
      <c r="R1219" s="3"/>
      <c r="S1219" s="3"/>
      <c r="T1219" s="3"/>
      <c r="U1219" s="3"/>
      <c r="V1219" s="3"/>
      <c r="W1219" s="3"/>
      <c r="X1219" s="3"/>
      <c r="Y1219" s="3"/>
      <c r="Z1219" s="3"/>
      <c r="AA1219" s="3"/>
      <c r="AB1219" s="3"/>
    </row>
    <row r="1220" customFormat="false" ht="15" hidden="false" customHeight="false" outlineLevel="0" collapsed="false">
      <c r="A1220" s="48"/>
      <c r="B1220" s="46"/>
      <c r="C1220" s="50"/>
      <c r="D1220" s="50"/>
      <c r="E1220" s="50"/>
      <c r="F1220" s="50"/>
      <c r="G1220" s="49"/>
      <c r="H1220" s="50"/>
      <c r="I1220" s="50"/>
      <c r="J1220" s="50"/>
      <c r="K1220" s="50"/>
      <c r="L1220" s="50"/>
      <c r="M1220" s="46"/>
      <c r="N1220" s="47"/>
      <c r="O1220" s="62" t="str">
        <f aca="false">IF($B1220="","",TEXT($A1220,"YYYY-MM-DD")&amp;"|"&amp;$B1220)</f>
        <v/>
      </c>
      <c r="P1220" s="3"/>
      <c r="Q1220" s="3"/>
      <c r="R1220" s="3"/>
      <c r="S1220" s="3"/>
      <c r="T1220" s="3"/>
      <c r="U1220" s="3"/>
      <c r="V1220" s="3"/>
      <c r="W1220" s="3"/>
      <c r="X1220" s="3"/>
      <c r="Y1220" s="3"/>
      <c r="Z1220" s="3"/>
      <c r="AA1220" s="3"/>
      <c r="AB1220" s="3"/>
    </row>
    <row r="1221" customFormat="false" ht="15" hidden="false" customHeight="false" outlineLevel="0" collapsed="false">
      <c r="A1221" s="54"/>
      <c r="B1221" s="52"/>
      <c r="C1221" s="56"/>
      <c r="D1221" s="56"/>
      <c r="E1221" s="56"/>
      <c r="F1221" s="56"/>
      <c r="G1221" s="55"/>
      <c r="H1221" s="56"/>
      <c r="I1221" s="56"/>
      <c r="J1221" s="56"/>
      <c r="K1221" s="56"/>
      <c r="L1221" s="56"/>
      <c r="M1221" s="52"/>
      <c r="N1221" s="53"/>
      <c r="O1221" s="62" t="str">
        <f aca="false">IF($B1221="","",TEXT($A1221,"YYYY-MM-DD")&amp;"|"&amp;$B1221)</f>
        <v/>
      </c>
      <c r="P1221" s="3"/>
      <c r="Q1221" s="3"/>
      <c r="R1221" s="3"/>
      <c r="S1221" s="3"/>
      <c r="T1221" s="3"/>
      <c r="U1221" s="3"/>
      <c r="V1221" s="3"/>
      <c r="W1221" s="3"/>
      <c r="X1221" s="3"/>
      <c r="Y1221" s="3"/>
      <c r="Z1221" s="3"/>
      <c r="AA1221" s="3"/>
      <c r="AB1221" s="3"/>
    </row>
    <row r="1222" customFormat="false" ht="15" hidden="false" customHeight="false" outlineLevel="0" collapsed="false">
      <c r="A1222" s="48"/>
      <c r="B1222" s="46"/>
      <c r="C1222" s="50"/>
      <c r="D1222" s="50"/>
      <c r="E1222" s="50"/>
      <c r="F1222" s="50"/>
      <c r="G1222" s="49"/>
      <c r="H1222" s="50"/>
      <c r="I1222" s="50"/>
      <c r="J1222" s="50"/>
      <c r="K1222" s="50"/>
      <c r="L1222" s="50"/>
      <c r="M1222" s="46"/>
      <c r="N1222" s="47"/>
      <c r="O1222" s="62" t="str">
        <f aca="false">IF($B1222="","",TEXT($A1222,"YYYY-MM-DD")&amp;"|"&amp;$B1222)</f>
        <v/>
      </c>
      <c r="P1222" s="3"/>
      <c r="Q1222" s="3"/>
      <c r="R1222" s="3"/>
      <c r="S1222" s="3"/>
      <c r="T1222" s="3"/>
      <c r="U1222" s="3"/>
      <c r="V1222" s="3"/>
      <c r="W1222" s="3"/>
      <c r="X1222" s="3"/>
      <c r="Y1222" s="3"/>
      <c r="Z1222" s="3"/>
      <c r="AA1222" s="3"/>
      <c r="AB1222" s="3"/>
    </row>
    <row r="1223" customFormat="false" ht="15" hidden="false" customHeight="false" outlineLevel="0" collapsed="false">
      <c r="A1223" s="54"/>
      <c r="B1223" s="52"/>
      <c r="C1223" s="56"/>
      <c r="D1223" s="56"/>
      <c r="E1223" s="56"/>
      <c r="F1223" s="56"/>
      <c r="G1223" s="55"/>
      <c r="H1223" s="56"/>
      <c r="I1223" s="56"/>
      <c r="J1223" s="56"/>
      <c r="K1223" s="56"/>
      <c r="L1223" s="56"/>
      <c r="M1223" s="52"/>
      <c r="N1223" s="53"/>
      <c r="O1223" s="62" t="str">
        <f aca="false">IF($B1223="","",TEXT($A1223,"YYYY-MM-DD")&amp;"|"&amp;$B1223)</f>
        <v/>
      </c>
      <c r="P1223" s="3"/>
      <c r="Q1223" s="3"/>
      <c r="R1223" s="3"/>
      <c r="S1223" s="3"/>
      <c r="T1223" s="3"/>
      <c r="U1223" s="3"/>
      <c r="V1223" s="3"/>
      <c r="W1223" s="3"/>
      <c r="X1223" s="3"/>
      <c r="Y1223" s="3"/>
      <c r="Z1223" s="3"/>
      <c r="AA1223" s="3"/>
      <c r="AB1223" s="3"/>
    </row>
    <row r="1224" customFormat="false" ht="15" hidden="false" customHeight="false" outlineLevel="0" collapsed="false">
      <c r="A1224" s="48"/>
      <c r="B1224" s="46"/>
      <c r="C1224" s="50"/>
      <c r="D1224" s="50"/>
      <c r="E1224" s="50"/>
      <c r="F1224" s="50"/>
      <c r="G1224" s="49"/>
      <c r="H1224" s="50"/>
      <c r="I1224" s="50"/>
      <c r="J1224" s="50"/>
      <c r="K1224" s="50"/>
      <c r="L1224" s="50"/>
      <c r="M1224" s="46"/>
      <c r="N1224" s="47"/>
      <c r="O1224" s="62" t="str">
        <f aca="false">IF($B1224="","",TEXT($A1224,"YYYY-MM-DD")&amp;"|"&amp;$B1224)</f>
        <v/>
      </c>
      <c r="P1224" s="3"/>
      <c r="Q1224" s="3"/>
      <c r="R1224" s="3"/>
      <c r="S1224" s="3"/>
      <c r="T1224" s="3"/>
      <c r="U1224" s="3"/>
      <c r="V1224" s="3"/>
      <c r="W1224" s="3"/>
      <c r="X1224" s="3"/>
      <c r="Y1224" s="3"/>
      <c r="Z1224" s="3"/>
      <c r="AA1224" s="3"/>
      <c r="AB1224" s="3"/>
    </row>
    <row r="1225" customFormat="false" ht="15" hidden="false" customHeight="false" outlineLevel="0" collapsed="false">
      <c r="A1225" s="54"/>
      <c r="B1225" s="52"/>
      <c r="C1225" s="56"/>
      <c r="D1225" s="56"/>
      <c r="E1225" s="56"/>
      <c r="F1225" s="56"/>
      <c r="G1225" s="55"/>
      <c r="H1225" s="56"/>
      <c r="I1225" s="56"/>
      <c r="J1225" s="56"/>
      <c r="K1225" s="56"/>
      <c r="L1225" s="56"/>
      <c r="M1225" s="52"/>
      <c r="N1225" s="53"/>
      <c r="O1225" s="62" t="str">
        <f aca="false">IF($B1225="","",TEXT($A1225,"YYYY-MM-DD")&amp;"|"&amp;$B1225)</f>
        <v/>
      </c>
      <c r="P1225" s="3"/>
      <c r="Q1225" s="3"/>
      <c r="R1225" s="3"/>
      <c r="S1225" s="3"/>
      <c r="T1225" s="3"/>
      <c r="U1225" s="3"/>
      <c r="V1225" s="3"/>
      <c r="W1225" s="3"/>
      <c r="X1225" s="3"/>
      <c r="Y1225" s="3"/>
      <c r="Z1225" s="3"/>
      <c r="AA1225" s="3"/>
      <c r="AB1225" s="3"/>
    </row>
    <row r="1226" customFormat="false" ht="15" hidden="false" customHeight="false" outlineLevel="0" collapsed="false">
      <c r="A1226" s="48"/>
      <c r="B1226" s="46"/>
      <c r="C1226" s="50"/>
      <c r="D1226" s="50"/>
      <c r="E1226" s="50"/>
      <c r="F1226" s="50"/>
      <c r="G1226" s="49"/>
      <c r="H1226" s="50"/>
      <c r="I1226" s="50"/>
      <c r="J1226" s="50"/>
      <c r="K1226" s="50"/>
      <c r="L1226" s="50"/>
      <c r="M1226" s="46"/>
      <c r="N1226" s="47"/>
      <c r="O1226" s="62" t="str">
        <f aca="false">IF($B1226="","",TEXT($A1226,"YYYY-MM-DD")&amp;"|"&amp;$B1226)</f>
        <v/>
      </c>
      <c r="P1226" s="3"/>
      <c r="Q1226" s="3"/>
      <c r="R1226" s="3"/>
      <c r="S1226" s="3"/>
      <c r="T1226" s="3"/>
      <c r="U1226" s="3"/>
      <c r="V1226" s="3"/>
      <c r="W1226" s="3"/>
      <c r="X1226" s="3"/>
      <c r="Y1226" s="3"/>
      <c r="Z1226" s="3"/>
      <c r="AA1226" s="3"/>
      <c r="AB1226" s="3"/>
    </row>
    <row r="1227" customFormat="false" ht="15" hidden="false" customHeight="false" outlineLevel="0" collapsed="false">
      <c r="A1227" s="54"/>
      <c r="B1227" s="52"/>
      <c r="C1227" s="56"/>
      <c r="D1227" s="56"/>
      <c r="E1227" s="56"/>
      <c r="F1227" s="56"/>
      <c r="G1227" s="55"/>
      <c r="H1227" s="56"/>
      <c r="I1227" s="56"/>
      <c r="J1227" s="56"/>
      <c r="K1227" s="56"/>
      <c r="L1227" s="56"/>
      <c r="M1227" s="52"/>
      <c r="N1227" s="53"/>
      <c r="O1227" s="62" t="str">
        <f aca="false">IF($B1227="","",TEXT($A1227,"YYYY-MM-DD")&amp;"|"&amp;$B1227)</f>
        <v/>
      </c>
      <c r="P1227" s="3"/>
      <c r="Q1227" s="3"/>
      <c r="R1227" s="3"/>
      <c r="S1227" s="3"/>
      <c r="T1227" s="3"/>
      <c r="U1227" s="3"/>
      <c r="V1227" s="3"/>
      <c r="W1227" s="3"/>
      <c r="X1227" s="3"/>
      <c r="Y1227" s="3"/>
      <c r="Z1227" s="3"/>
      <c r="AA1227" s="3"/>
      <c r="AB1227" s="3"/>
    </row>
    <row r="1228" customFormat="false" ht="15" hidden="false" customHeight="false" outlineLevel="0" collapsed="false">
      <c r="A1228" s="48"/>
      <c r="B1228" s="46"/>
      <c r="C1228" s="50"/>
      <c r="D1228" s="50"/>
      <c r="E1228" s="50"/>
      <c r="F1228" s="50"/>
      <c r="G1228" s="49"/>
      <c r="H1228" s="50"/>
      <c r="I1228" s="50"/>
      <c r="J1228" s="50"/>
      <c r="K1228" s="50"/>
      <c r="L1228" s="50"/>
      <c r="M1228" s="46"/>
      <c r="N1228" s="47"/>
      <c r="O1228" s="62" t="str">
        <f aca="false">IF($B1228="","",TEXT($A1228,"YYYY-MM-DD")&amp;"|"&amp;$B1228)</f>
        <v/>
      </c>
      <c r="P1228" s="3"/>
      <c r="Q1228" s="3"/>
      <c r="R1228" s="3"/>
      <c r="S1228" s="3"/>
      <c r="T1228" s="3"/>
      <c r="U1228" s="3"/>
      <c r="V1228" s="3"/>
      <c r="W1228" s="3"/>
      <c r="X1228" s="3"/>
      <c r="Y1228" s="3"/>
      <c r="Z1228" s="3"/>
      <c r="AA1228" s="3"/>
      <c r="AB1228" s="3"/>
    </row>
    <row r="1229" customFormat="false" ht="15" hidden="false" customHeight="false" outlineLevel="0" collapsed="false">
      <c r="A1229" s="54"/>
      <c r="B1229" s="52"/>
      <c r="C1229" s="56"/>
      <c r="D1229" s="56"/>
      <c r="E1229" s="56"/>
      <c r="F1229" s="56"/>
      <c r="G1229" s="55"/>
      <c r="H1229" s="56"/>
      <c r="I1229" s="56"/>
      <c r="J1229" s="56"/>
      <c r="K1229" s="56"/>
      <c r="L1229" s="56"/>
      <c r="M1229" s="52"/>
      <c r="N1229" s="53"/>
      <c r="O1229" s="62" t="str">
        <f aca="false">IF($B1229="","",TEXT($A1229,"YYYY-MM-DD")&amp;"|"&amp;$B1229)</f>
        <v/>
      </c>
      <c r="P1229" s="3"/>
      <c r="Q1229" s="3"/>
      <c r="R1229" s="3"/>
      <c r="S1229" s="3"/>
      <c r="T1229" s="3"/>
      <c r="U1229" s="3"/>
      <c r="V1229" s="3"/>
      <c r="W1229" s="3"/>
      <c r="X1229" s="3"/>
      <c r="Y1229" s="3"/>
      <c r="Z1229" s="3"/>
      <c r="AA1229" s="3"/>
      <c r="AB1229" s="3"/>
    </row>
    <row r="1230" customFormat="false" ht="15" hidden="false" customHeight="false" outlineLevel="0" collapsed="false">
      <c r="A1230" s="48"/>
      <c r="B1230" s="46"/>
      <c r="C1230" s="50"/>
      <c r="D1230" s="50"/>
      <c r="E1230" s="50"/>
      <c r="F1230" s="50"/>
      <c r="G1230" s="49"/>
      <c r="H1230" s="50"/>
      <c r="I1230" s="50"/>
      <c r="J1230" s="50"/>
      <c r="K1230" s="50"/>
      <c r="L1230" s="50"/>
      <c r="M1230" s="46"/>
      <c r="N1230" s="47"/>
      <c r="O1230" s="62" t="str">
        <f aca="false">IF($B1230="","",TEXT($A1230,"YYYY-MM-DD")&amp;"|"&amp;$B1230)</f>
        <v/>
      </c>
      <c r="P1230" s="3"/>
      <c r="Q1230" s="3"/>
      <c r="R1230" s="3"/>
      <c r="S1230" s="3"/>
      <c r="T1230" s="3"/>
      <c r="U1230" s="3"/>
      <c r="V1230" s="3"/>
      <c r="W1230" s="3"/>
      <c r="X1230" s="3"/>
      <c r="Y1230" s="3"/>
      <c r="Z1230" s="3"/>
      <c r="AA1230" s="3"/>
      <c r="AB1230" s="3"/>
    </row>
    <row r="1231" customFormat="false" ht="15" hidden="false" customHeight="false" outlineLevel="0" collapsed="false">
      <c r="A1231" s="54"/>
      <c r="B1231" s="52"/>
      <c r="C1231" s="56"/>
      <c r="D1231" s="56"/>
      <c r="E1231" s="56"/>
      <c r="F1231" s="56"/>
      <c r="G1231" s="55"/>
      <c r="H1231" s="56"/>
      <c r="I1231" s="56"/>
      <c r="J1231" s="56"/>
      <c r="K1231" s="56"/>
      <c r="L1231" s="56"/>
      <c r="M1231" s="52"/>
      <c r="N1231" s="53"/>
      <c r="O1231" s="62" t="str">
        <f aca="false">IF($B1231="","",TEXT($A1231,"YYYY-MM-DD")&amp;"|"&amp;$B1231)</f>
        <v/>
      </c>
      <c r="P1231" s="3"/>
      <c r="Q1231" s="3"/>
      <c r="R1231" s="3"/>
      <c r="S1231" s="3"/>
      <c r="T1231" s="3"/>
      <c r="U1231" s="3"/>
      <c r="V1231" s="3"/>
      <c r="W1231" s="3"/>
      <c r="X1231" s="3"/>
      <c r="Y1231" s="3"/>
      <c r="Z1231" s="3"/>
      <c r="AA1231" s="3"/>
      <c r="AB1231" s="3"/>
    </row>
    <row r="1232" customFormat="false" ht="15" hidden="false" customHeight="false" outlineLevel="0" collapsed="false">
      <c r="A1232" s="48"/>
      <c r="B1232" s="46"/>
      <c r="C1232" s="50"/>
      <c r="D1232" s="50"/>
      <c r="E1232" s="50"/>
      <c r="F1232" s="50"/>
      <c r="G1232" s="49"/>
      <c r="H1232" s="50"/>
      <c r="I1232" s="50"/>
      <c r="J1232" s="50"/>
      <c r="K1232" s="50"/>
      <c r="L1232" s="50"/>
      <c r="M1232" s="46"/>
      <c r="N1232" s="47"/>
      <c r="O1232" s="62" t="str">
        <f aca="false">IF($B1232="","",TEXT($A1232,"YYYY-MM-DD")&amp;"|"&amp;$B1232)</f>
        <v/>
      </c>
      <c r="P1232" s="3"/>
      <c r="Q1232" s="3"/>
      <c r="R1232" s="3"/>
      <c r="S1232" s="3"/>
      <c r="T1232" s="3"/>
      <c r="U1232" s="3"/>
      <c r="V1232" s="3"/>
      <c r="W1232" s="3"/>
      <c r="X1232" s="3"/>
      <c r="Y1232" s="3"/>
      <c r="Z1232" s="3"/>
      <c r="AA1232" s="3"/>
      <c r="AB1232" s="3"/>
    </row>
    <row r="1233" customFormat="false" ht="15" hidden="false" customHeight="false" outlineLevel="0" collapsed="false">
      <c r="A1233" s="54"/>
      <c r="B1233" s="52"/>
      <c r="C1233" s="56"/>
      <c r="D1233" s="56"/>
      <c r="E1233" s="56"/>
      <c r="F1233" s="56"/>
      <c r="G1233" s="55"/>
      <c r="H1233" s="56"/>
      <c r="I1233" s="56"/>
      <c r="J1233" s="56"/>
      <c r="K1233" s="56"/>
      <c r="L1233" s="56"/>
      <c r="M1233" s="52"/>
      <c r="N1233" s="53"/>
      <c r="O1233" s="62" t="str">
        <f aca="false">IF($B1233="","",TEXT($A1233,"YYYY-MM-DD")&amp;"|"&amp;$B1233)</f>
        <v/>
      </c>
      <c r="P1233" s="3"/>
      <c r="Q1233" s="3"/>
      <c r="R1233" s="3"/>
      <c r="S1233" s="3"/>
      <c r="T1233" s="3"/>
      <c r="U1233" s="3"/>
      <c r="V1233" s="3"/>
      <c r="W1233" s="3"/>
      <c r="X1233" s="3"/>
      <c r="Y1233" s="3"/>
      <c r="Z1233" s="3"/>
      <c r="AA1233" s="3"/>
      <c r="AB1233" s="3"/>
    </row>
    <row r="1234" customFormat="false" ht="15" hidden="false" customHeight="false" outlineLevel="0" collapsed="false">
      <c r="A1234" s="48"/>
      <c r="B1234" s="46"/>
      <c r="C1234" s="50"/>
      <c r="D1234" s="50"/>
      <c r="E1234" s="50"/>
      <c r="F1234" s="50"/>
      <c r="G1234" s="49"/>
      <c r="H1234" s="50"/>
      <c r="I1234" s="50"/>
      <c r="J1234" s="50"/>
      <c r="K1234" s="50"/>
      <c r="L1234" s="50"/>
      <c r="M1234" s="46"/>
      <c r="N1234" s="47"/>
      <c r="O1234" s="62" t="str">
        <f aca="false">IF($B1234="","",TEXT($A1234,"YYYY-MM-DD")&amp;"|"&amp;$B1234)</f>
        <v/>
      </c>
      <c r="P1234" s="3"/>
      <c r="Q1234" s="3"/>
      <c r="R1234" s="3"/>
      <c r="S1234" s="3"/>
      <c r="T1234" s="3"/>
      <c r="U1234" s="3"/>
      <c r="V1234" s="3"/>
      <c r="W1234" s="3"/>
      <c r="X1234" s="3"/>
      <c r="Y1234" s="3"/>
      <c r="Z1234" s="3"/>
      <c r="AA1234" s="3"/>
      <c r="AB1234" s="3"/>
    </row>
    <row r="1235" customFormat="false" ht="15" hidden="false" customHeight="false" outlineLevel="0" collapsed="false">
      <c r="A1235" s="54"/>
      <c r="B1235" s="52"/>
      <c r="C1235" s="56"/>
      <c r="D1235" s="56"/>
      <c r="E1235" s="56"/>
      <c r="F1235" s="56"/>
      <c r="G1235" s="55"/>
      <c r="H1235" s="56"/>
      <c r="I1235" s="56"/>
      <c r="J1235" s="56"/>
      <c r="K1235" s="56"/>
      <c r="L1235" s="56"/>
      <c r="M1235" s="52"/>
      <c r="N1235" s="53"/>
      <c r="O1235" s="62" t="str">
        <f aca="false">IF($B1235="","",TEXT($A1235,"YYYY-MM-DD")&amp;"|"&amp;$B1235)</f>
        <v/>
      </c>
      <c r="P1235" s="3"/>
      <c r="Q1235" s="3"/>
      <c r="R1235" s="3"/>
      <c r="S1235" s="3"/>
      <c r="T1235" s="3"/>
      <c r="U1235" s="3"/>
      <c r="V1235" s="3"/>
      <c r="W1235" s="3"/>
      <c r="X1235" s="3"/>
      <c r="Y1235" s="3"/>
      <c r="Z1235" s="3"/>
      <c r="AA1235" s="3"/>
      <c r="AB1235" s="3"/>
    </row>
    <row r="1236" customFormat="false" ht="15" hidden="false" customHeight="false" outlineLevel="0" collapsed="false">
      <c r="A1236" s="48"/>
      <c r="B1236" s="46"/>
      <c r="C1236" s="50"/>
      <c r="D1236" s="50"/>
      <c r="E1236" s="50"/>
      <c r="F1236" s="50"/>
      <c r="G1236" s="49"/>
      <c r="H1236" s="50"/>
      <c r="I1236" s="50"/>
      <c r="J1236" s="50"/>
      <c r="K1236" s="50"/>
      <c r="L1236" s="50"/>
      <c r="M1236" s="46"/>
      <c r="N1236" s="47"/>
      <c r="O1236" s="62" t="str">
        <f aca="false">IF($B1236="","",TEXT($A1236,"YYYY-MM-DD")&amp;"|"&amp;$B1236)</f>
        <v/>
      </c>
      <c r="P1236" s="3"/>
      <c r="Q1236" s="3"/>
      <c r="R1236" s="3"/>
      <c r="S1236" s="3"/>
      <c r="T1236" s="3"/>
      <c r="U1236" s="3"/>
      <c r="V1236" s="3"/>
      <c r="W1236" s="3"/>
      <c r="X1236" s="3"/>
      <c r="Y1236" s="3"/>
      <c r="Z1236" s="3"/>
      <c r="AA1236" s="3"/>
      <c r="AB1236" s="3"/>
    </row>
    <row r="1237" customFormat="false" ht="15" hidden="false" customHeight="false" outlineLevel="0" collapsed="false">
      <c r="A1237" s="54"/>
      <c r="B1237" s="52"/>
      <c r="C1237" s="56"/>
      <c r="D1237" s="56"/>
      <c r="E1237" s="56"/>
      <c r="F1237" s="56"/>
      <c r="G1237" s="55"/>
      <c r="H1237" s="56"/>
      <c r="I1237" s="56"/>
      <c r="J1237" s="56"/>
      <c r="K1237" s="56"/>
      <c r="L1237" s="56"/>
      <c r="M1237" s="52"/>
      <c r="N1237" s="53"/>
      <c r="O1237" s="62" t="str">
        <f aca="false">IF($B1237="","",TEXT($A1237,"YYYY-MM-DD")&amp;"|"&amp;$B1237)</f>
        <v/>
      </c>
      <c r="P1237" s="3"/>
      <c r="Q1237" s="3"/>
      <c r="R1237" s="3"/>
      <c r="S1237" s="3"/>
      <c r="T1237" s="3"/>
      <c r="U1237" s="3"/>
      <c r="V1237" s="3"/>
      <c r="W1237" s="3"/>
      <c r="X1237" s="3"/>
      <c r="Y1237" s="3"/>
      <c r="Z1237" s="3"/>
      <c r="AA1237" s="3"/>
      <c r="AB1237" s="3"/>
    </row>
    <row r="1238" customFormat="false" ht="15" hidden="false" customHeight="false" outlineLevel="0" collapsed="false">
      <c r="A1238" s="48"/>
      <c r="B1238" s="46"/>
      <c r="C1238" s="50"/>
      <c r="D1238" s="50"/>
      <c r="E1238" s="50"/>
      <c r="F1238" s="50"/>
      <c r="G1238" s="49"/>
      <c r="H1238" s="50"/>
      <c r="I1238" s="50"/>
      <c r="J1238" s="50"/>
      <c r="K1238" s="50"/>
      <c r="L1238" s="50"/>
      <c r="M1238" s="46"/>
      <c r="N1238" s="47"/>
      <c r="O1238" s="62" t="str">
        <f aca="false">IF($B1238="","",TEXT($A1238,"YYYY-MM-DD")&amp;"|"&amp;$B1238)</f>
        <v/>
      </c>
      <c r="P1238" s="3"/>
      <c r="Q1238" s="3"/>
      <c r="R1238" s="3"/>
      <c r="S1238" s="3"/>
      <c r="T1238" s="3"/>
      <c r="U1238" s="3"/>
      <c r="V1238" s="3"/>
      <c r="W1238" s="3"/>
      <c r="X1238" s="3"/>
      <c r="Y1238" s="3"/>
      <c r="Z1238" s="3"/>
      <c r="AA1238" s="3"/>
      <c r="AB1238" s="3"/>
    </row>
    <row r="1239" customFormat="false" ht="15" hidden="false" customHeight="false" outlineLevel="0" collapsed="false">
      <c r="A1239" s="54"/>
      <c r="B1239" s="52"/>
      <c r="C1239" s="56"/>
      <c r="D1239" s="56"/>
      <c r="E1239" s="56"/>
      <c r="F1239" s="56"/>
      <c r="G1239" s="55"/>
      <c r="H1239" s="56"/>
      <c r="I1239" s="56"/>
      <c r="J1239" s="56"/>
      <c r="K1239" s="56"/>
      <c r="L1239" s="56"/>
      <c r="M1239" s="52"/>
      <c r="N1239" s="53"/>
      <c r="O1239" s="62" t="str">
        <f aca="false">IF($B1239="","",TEXT($A1239,"YYYY-MM-DD")&amp;"|"&amp;$B1239)</f>
        <v/>
      </c>
      <c r="P1239" s="3"/>
      <c r="Q1239" s="3"/>
      <c r="R1239" s="3"/>
      <c r="S1239" s="3"/>
      <c r="T1239" s="3"/>
      <c r="U1239" s="3"/>
      <c r="V1239" s="3"/>
      <c r="W1239" s="3"/>
      <c r="X1239" s="3"/>
      <c r="Y1239" s="3"/>
      <c r="Z1239" s="3"/>
      <c r="AA1239" s="3"/>
      <c r="AB1239" s="3"/>
    </row>
    <row r="1240" customFormat="false" ht="15" hidden="false" customHeight="false" outlineLevel="0" collapsed="false">
      <c r="A1240" s="48"/>
      <c r="B1240" s="46"/>
      <c r="C1240" s="50"/>
      <c r="D1240" s="50"/>
      <c r="E1240" s="50"/>
      <c r="F1240" s="50"/>
      <c r="G1240" s="49"/>
      <c r="H1240" s="50"/>
      <c r="I1240" s="50"/>
      <c r="J1240" s="50"/>
      <c r="K1240" s="50"/>
      <c r="L1240" s="50"/>
      <c r="M1240" s="46"/>
      <c r="N1240" s="47"/>
      <c r="O1240" s="62" t="str">
        <f aca="false">IF($B1240="","",TEXT($A1240,"YYYY-MM-DD")&amp;"|"&amp;$B1240)</f>
        <v/>
      </c>
      <c r="P1240" s="3"/>
      <c r="Q1240" s="3"/>
      <c r="R1240" s="3"/>
      <c r="S1240" s="3"/>
      <c r="T1240" s="3"/>
      <c r="U1240" s="3"/>
      <c r="V1240" s="3"/>
      <c r="W1240" s="3"/>
      <c r="X1240" s="3"/>
      <c r="Y1240" s="3"/>
      <c r="Z1240" s="3"/>
      <c r="AA1240" s="3"/>
      <c r="AB1240" s="3"/>
    </row>
    <row r="1241" customFormat="false" ht="15" hidden="false" customHeight="false" outlineLevel="0" collapsed="false">
      <c r="A1241" s="54"/>
      <c r="B1241" s="52"/>
      <c r="C1241" s="56"/>
      <c r="D1241" s="56"/>
      <c r="E1241" s="56"/>
      <c r="F1241" s="56"/>
      <c r="G1241" s="55"/>
      <c r="H1241" s="56"/>
      <c r="I1241" s="56"/>
      <c r="J1241" s="56"/>
      <c r="K1241" s="56"/>
      <c r="L1241" s="56"/>
      <c r="M1241" s="52"/>
      <c r="N1241" s="53"/>
      <c r="O1241" s="62" t="str">
        <f aca="false">IF($B1241="","",TEXT($A1241,"YYYY-MM-DD")&amp;"|"&amp;$B1241)</f>
        <v/>
      </c>
      <c r="P1241" s="3"/>
      <c r="Q1241" s="3"/>
      <c r="R1241" s="3"/>
      <c r="S1241" s="3"/>
      <c r="T1241" s="3"/>
      <c r="U1241" s="3"/>
      <c r="V1241" s="3"/>
      <c r="W1241" s="3"/>
      <c r="X1241" s="3"/>
      <c r="Y1241" s="3"/>
      <c r="Z1241" s="3"/>
      <c r="AA1241" s="3"/>
      <c r="AB1241" s="3"/>
    </row>
    <row r="1242" customFormat="false" ht="15" hidden="false" customHeight="false" outlineLevel="0" collapsed="false">
      <c r="A1242" s="48"/>
      <c r="B1242" s="46"/>
      <c r="C1242" s="50"/>
      <c r="D1242" s="50"/>
      <c r="E1242" s="50"/>
      <c r="F1242" s="50"/>
      <c r="G1242" s="49"/>
      <c r="H1242" s="50"/>
      <c r="I1242" s="50"/>
      <c r="J1242" s="50"/>
      <c r="K1242" s="50"/>
      <c r="L1242" s="50"/>
      <c r="M1242" s="46"/>
      <c r="N1242" s="47"/>
      <c r="O1242" s="62" t="str">
        <f aca="false">IF($B1242="","",TEXT($A1242,"YYYY-MM-DD")&amp;"|"&amp;$B1242)</f>
        <v/>
      </c>
      <c r="P1242" s="3"/>
      <c r="Q1242" s="3"/>
      <c r="R1242" s="3"/>
      <c r="S1242" s="3"/>
      <c r="T1242" s="3"/>
      <c r="U1242" s="3"/>
      <c r="V1242" s="3"/>
      <c r="W1242" s="3"/>
      <c r="X1242" s="3"/>
      <c r="Y1242" s="3"/>
      <c r="Z1242" s="3"/>
      <c r="AA1242" s="3"/>
      <c r="AB1242" s="3"/>
    </row>
    <row r="1243" customFormat="false" ht="15" hidden="false" customHeight="false" outlineLevel="0" collapsed="false">
      <c r="A1243" s="54"/>
      <c r="B1243" s="52"/>
      <c r="C1243" s="56"/>
      <c r="D1243" s="56"/>
      <c r="E1243" s="56"/>
      <c r="F1243" s="56"/>
      <c r="G1243" s="55"/>
      <c r="H1243" s="56"/>
      <c r="I1243" s="56"/>
      <c r="J1243" s="56"/>
      <c r="K1243" s="56"/>
      <c r="L1243" s="56"/>
      <c r="M1243" s="52"/>
      <c r="N1243" s="53"/>
      <c r="O1243" s="62" t="str">
        <f aca="false">IF($B1243="","",TEXT($A1243,"YYYY-MM-DD")&amp;"|"&amp;$B1243)</f>
        <v/>
      </c>
      <c r="P1243" s="3"/>
      <c r="Q1243" s="3"/>
      <c r="R1243" s="3"/>
      <c r="S1243" s="3"/>
      <c r="T1243" s="3"/>
      <c r="U1243" s="3"/>
      <c r="V1243" s="3"/>
      <c r="W1243" s="3"/>
      <c r="X1243" s="3"/>
      <c r="Y1243" s="3"/>
      <c r="Z1243" s="3"/>
      <c r="AA1243" s="3"/>
      <c r="AB1243" s="3"/>
    </row>
    <row r="1244" customFormat="false" ht="15" hidden="false" customHeight="false" outlineLevel="0" collapsed="false">
      <c r="A1244" s="48"/>
      <c r="B1244" s="46"/>
      <c r="C1244" s="50"/>
      <c r="D1244" s="50"/>
      <c r="E1244" s="50"/>
      <c r="F1244" s="50"/>
      <c r="G1244" s="49"/>
      <c r="H1244" s="50"/>
      <c r="I1244" s="50"/>
      <c r="J1244" s="50"/>
      <c r="K1244" s="50"/>
      <c r="L1244" s="50"/>
      <c r="M1244" s="46"/>
      <c r="N1244" s="47"/>
      <c r="O1244" s="62" t="str">
        <f aca="false">IF($B1244="","",TEXT($A1244,"YYYY-MM-DD")&amp;"|"&amp;$B1244)</f>
        <v/>
      </c>
      <c r="P1244" s="3"/>
      <c r="Q1244" s="3"/>
      <c r="R1244" s="3"/>
      <c r="S1244" s="3"/>
      <c r="T1244" s="3"/>
      <c r="U1244" s="3"/>
      <c r="V1244" s="3"/>
      <c r="W1244" s="3"/>
      <c r="X1244" s="3"/>
      <c r="Y1244" s="3"/>
      <c r="Z1244" s="3"/>
      <c r="AA1244" s="3"/>
      <c r="AB1244" s="3"/>
    </row>
    <row r="1245" customFormat="false" ht="15" hidden="false" customHeight="false" outlineLevel="0" collapsed="false">
      <c r="A1245" s="54"/>
      <c r="B1245" s="52"/>
      <c r="C1245" s="56"/>
      <c r="D1245" s="56"/>
      <c r="E1245" s="56"/>
      <c r="F1245" s="56"/>
      <c r="G1245" s="55"/>
      <c r="H1245" s="56"/>
      <c r="I1245" s="56"/>
      <c r="J1245" s="56"/>
      <c r="K1245" s="56"/>
      <c r="L1245" s="56"/>
      <c r="M1245" s="52"/>
      <c r="N1245" s="53"/>
      <c r="O1245" s="62" t="str">
        <f aca="false">IF($B1245="","",TEXT($A1245,"YYYY-MM-DD")&amp;"|"&amp;$B1245)</f>
        <v/>
      </c>
      <c r="P1245" s="3"/>
      <c r="Q1245" s="3"/>
      <c r="R1245" s="3"/>
      <c r="S1245" s="3"/>
      <c r="T1245" s="3"/>
      <c r="U1245" s="3"/>
      <c r="V1245" s="3"/>
      <c r="W1245" s="3"/>
      <c r="X1245" s="3"/>
      <c r="Y1245" s="3"/>
      <c r="Z1245" s="3"/>
      <c r="AA1245" s="3"/>
      <c r="AB1245" s="3"/>
    </row>
    <row r="1246" customFormat="false" ht="15" hidden="false" customHeight="false" outlineLevel="0" collapsed="false">
      <c r="A1246" s="48"/>
      <c r="B1246" s="46"/>
      <c r="C1246" s="50"/>
      <c r="D1246" s="50"/>
      <c r="E1246" s="50"/>
      <c r="F1246" s="50"/>
      <c r="G1246" s="49"/>
      <c r="H1246" s="50"/>
      <c r="I1246" s="50"/>
      <c r="J1246" s="50"/>
      <c r="K1246" s="50"/>
      <c r="L1246" s="50"/>
      <c r="M1246" s="46"/>
      <c r="N1246" s="47"/>
      <c r="O1246" s="62" t="str">
        <f aca="false">IF($B1246="","",TEXT($A1246,"YYYY-MM-DD")&amp;"|"&amp;$B1246)</f>
        <v/>
      </c>
      <c r="P1246" s="3"/>
      <c r="Q1246" s="3"/>
      <c r="R1246" s="3"/>
      <c r="S1246" s="3"/>
      <c r="T1246" s="3"/>
      <c r="U1246" s="3"/>
      <c r="V1246" s="3"/>
      <c r="W1246" s="3"/>
      <c r="X1246" s="3"/>
      <c r="Y1246" s="3"/>
      <c r="Z1246" s="3"/>
      <c r="AA1246" s="3"/>
      <c r="AB1246" s="3"/>
    </row>
    <row r="1247" customFormat="false" ht="15" hidden="false" customHeight="false" outlineLevel="0" collapsed="false">
      <c r="A1247" s="54"/>
      <c r="B1247" s="52"/>
      <c r="C1247" s="56"/>
      <c r="D1247" s="56"/>
      <c r="E1247" s="56"/>
      <c r="F1247" s="56"/>
      <c r="G1247" s="55"/>
      <c r="H1247" s="56"/>
      <c r="I1247" s="56"/>
      <c r="J1247" s="56"/>
      <c r="K1247" s="56"/>
      <c r="L1247" s="56"/>
      <c r="M1247" s="52"/>
      <c r="N1247" s="53"/>
      <c r="O1247" s="62" t="str">
        <f aca="false">IF($B1247="","",TEXT($A1247,"YYYY-MM-DD")&amp;"|"&amp;$B1247)</f>
        <v/>
      </c>
      <c r="P1247" s="3"/>
      <c r="Q1247" s="3"/>
      <c r="R1247" s="3"/>
      <c r="S1247" s="3"/>
      <c r="T1247" s="3"/>
      <c r="U1247" s="3"/>
      <c r="V1247" s="3"/>
      <c r="W1247" s="3"/>
      <c r="X1247" s="3"/>
      <c r="Y1247" s="3"/>
      <c r="Z1247" s="3"/>
      <c r="AA1247" s="3"/>
      <c r="AB1247" s="3"/>
    </row>
    <row r="1248" customFormat="false" ht="15" hidden="false" customHeight="false" outlineLevel="0" collapsed="false">
      <c r="A1248" s="48"/>
      <c r="B1248" s="46"/>
      <c r="C1248" s="50"/>
      <c r="D1248" s="50"/>
      <c r="E1248" s="50"/>
      <c r="F1248" s="50"/>
      <c r="G1248" s="49"/>
      <c r="H1248" s="50"/>
      <c r="I1248" s="50"/>
      <c r="J1248" s="50"/>
      <c r="K1248" s="50"/>
      <c r="L1248" s="50"/>
      <c r="M1248" s="46"/>
      <c r="N1248" s="47"/>
      <c r="O1248" s="62" t="str">
        <f aca="false">IF($B1248="","",TEXT($A1248,"YYYY-MM-DD")&amp;"|"&amp;$B1248)</f>
        <v/>
      </c>
      <c r="P1248" s="3"/>
      <c r="Q1248" s="3"/>
      <c r="R1248" s="3"/>
      <c r="S1248" s="3"/>
      <c r="T1248" s="3"/>
      <c r="U1248" s="3"/>
      <c r="V1248" s="3"/>
      <c r="W1248" s="3"/>
      <c r="X1248" s="3"/>
      <c r="Y1248" s="3"/>
      <c r="Z1248" s="3"/>
      <c r="AA1248" s="3"/>
      <c r="AB1248" s="3"/>
    </row>
    <row r="1249" customFormat="false" ht="15" hidden="false" customHeight="false" outlineLevel="0" collapsed="false">
      <c r="A1249" s="54"/>
      <c r="B1249" s="52"/>
      <c r="C1249" s="56"/>
      <c r="D1249" s="56"/>
      <c r="E1249" s="56"/>
      <c r="F1249" s="56"/>
      <c r="G1249" s="55"/>
      <c r="H1249" s="56"/>
      <c r="I1249" s="56"/>
      <c r="J1249" s="56"/>
      <c r="K1249" s="56"/>
      <c r="L1249" s="56"/>
      <c r="M1249" s="52"/>
      <c r="N1249" s="53"/>
      <c r="O1249" s="62" t="str">
        <f aca="false">IF($B1249="","",TEXT($A1249,"YYYY-MM-DD")&amp;"|"&amp;$B1249)</f>
        <v/>
      </c>
      <c r="P1249" s="3"/>
      <c r="Q1249" s="3"/>
      <c r="R1249" s="3"/>
      <c r="S1249" s="3"/>
      <c r="T1249" s="3"/>
      <c r="U1249" s="3"/>
      <c r="V1249" s="3"/>
      <c r="W1249" s="3"/>
      <c r="X1249" s="3"/>
      <c r="Y1249" s="3"/>
      <c r="Z1249" s="3"/>
      <c r="AA1249" s="3"/>
      <c r="AB1249" s="3"/>
    </row>
    <row r="1250" customFormat="false" ht="15" hidden="false" customHeight="false" outlineLevel="0" collapsed="false">
      <c r="A1250" s="48"/>
      <c r="B1250" s="46"/>
      <c r="C1250" s="50"/>
      <c r="D1250" s="50"/>
      <c r="E1250" s="50"/>
      <c r="F1250" s="50"/>
      <c r="G1250" s="49"/>
      <c r="H1250" s="50"/>
      <c r="I1250" s="50"/>
      <c r="J1250" s="50"/>
      <c r="K1250" s="50"/>
      <c r="L1250" s="50"/>
      <c r="M1250" s="46"/>
      <c r="N1250" s="47"/>
      <c r="O1250" s="62" t="str">
        <f aca="false">IF($B1250="","",TEXT($A1250,"YYYY-MM-DD")&amp;"|"&amp;$B1250)</f>
        <v/>
      </c>
      <c r="P1250" s="3"/>
      <c r="Q1250" s="3"/>
      <c r="R1250" s="3"/>
      <c r="S1250" s="3"/>
      <c r="T1250" s="3"/>
      <c r="U1250" s="3"/>
      <c r="V1250" s="3"/>
      <c r="W1250" s="3"/>
      <c r="X1250" s="3"/>
      <c r="Y1250" s="3"/>
      <c r="Z1250" s="3"/>
      <c r="AA1250" s="3"/>
      <c r="AB1250" s="3"/>
    </row>
    <row r="1251" customFormat="false" ht="15" hidden="false" customHeight="false" outlineLevel="0" collapsed="false">
      <c r="A1251" s="54"/>
      <c r="B1251" s="52"/>
      <c r="C1251" s="56"/>
      <c r="D1251" s="56"/>
      <c r="E1251" s="56"/>
      <c r="F1251" s="56"/>
      <c r="G1251" s="55"/>
      <c r="H1251" s="56"/>
      <c r="I1251" s="56"/>
      <c r="J1251" s="56"/>
      <c r="K1251" s="56"/>
      <c r="L1251" s="56"/>
      <c r="M1251" s="52"/>
      <c r="N1251" s="53"/>
      <c r="O1251" s="62" t="str">
        <f aca="false">IF($B1251="","",TEXT($A1251,"YYYY-MM-DD")&amp;"|"&amp;$B1251)</f>
        <v/>
      </c>
      <c r="P1251" s="3"/>
      <c r="Q1251" s="3"/>
      <c r="R1251" s="3"/>
      <c r="S1251" s="3"/>
      <c r="T1251" s="3"/>
      <c r="U1251" s="3"/>
      <c r="V1251" s="3"/>
      <c r="W1251" s="3"/>
      <c r="X1251" s="3"/>
      <c r="Y1251" s="3"/>
      <c r="Z1251" s="3"/>
      <c r="AA1251" s="3"/>
      <c r="AB1251" s="3"/>
    </row>
    <row r="1252" customFormat="false" ht="15" hidden="false" customHeight="false" outlineLevel="0" collapsed="false">
      <c r="A1252" s="48"/>
      <c r="B1252" s="46"/>
      <c r="C1252" s="50"/>
      <c r="D1252" s="50"/>
      <c r="E1252" s="50"/>
      <c r="F1252" s="50"/>
      <c r="G1252" s="49"/>
      <c r="H1252" s="50"/>
      <c r="I1252" s="50"/>
      <c r="J1252" s="50"/>
      <c r="K1252" s="50"/>
      <c r="L1252" s="50"/>
      <c r="M1252" s="46"/>
      <c r="N1252" s="47"/>
      <c r="O1252" s="62" t="str">
        <f aca="false">IF($B1252="","",TEXT($A1252,"YYYY-MM-DD")&amp;"|"&amp;$B1252)</f>
        <v/>
      </c>
      <c r="P1252" s="3"/>
      <c r="Q1252" s="3"/>
      <c r="R1252" s="3"/>
      <c r="S1252" s="3"/>
      <c r="T1252" s="3"/>
      <c r="U1252" s="3"/>
      <c r="V1252" s="3"/>
      <c r="W1252" s="3"/>
      <c r="X1252" s="3"/>
      <c r="Y1252" s="3"/>
      <c r="Z1252" s="3"/>
      <c r="AA1252" s="3"/>
      <c r="AB1252" s="3"/>
    </row>
    <row r="1253" customFormat="false" ht="15" hidden="false" customHeight="false" outlineLevel="0" collapsed="false">
      <c r="A1253" s="54"/>
      <c r="B1253" s="52"/>
      <c r="C1253" s="56"/>
      <c r="D1253" s="56"/>
      <c r="E1253" s="56"/>
      <c r="F1253" s="56"/>
      <c r="G1253" s="55"/>
      <c r="H1253" s="56"/>
      <c r="I1253" s="56"/>
      <c r="J1253" s="56"/>
      <c r="K1253" s="56"/>
      <c r="L1253" s="56"/>
      <c r="M1253" s="52"/>
      <c r="N1253" s="53"/>
      <c r="O1253" s="62" t="str">
        <f aca="false">IF($B1253="","",TEXT($A1253,"YYYY-MM-DD")&amp;"|"&amp;$B1253)</f>
        <v/>
      </c>
      <c r="P1253" s="3"/>
      <c r="Q1253" s="3"/>
      <c r="R1253" s="3"/>
      <c r="S1253" s="3"/>
      <c r="T1253" s="3"/>
      <c r="U1253" s="3"/>
      <c r="V1253" s="3"/>
      <c r="W1253" s="3"/>
      <c r="X1253" s="3"/>
      <c r="Y1253" s="3"/>
      <c r="Z1253" s="3"/>
      <c r="AA1253" s="3"/>
      <c r="AB1253" s="3"/>
    </row>
    <row r="1254" customFormat="false" ht="15" hidden="false" customHeight="false" outlineLevel="0" collapsed="false">
      <c r="A1254" s="48"/>
      <c r="B1254" s="46"/>
      <c r="C1254" s="50"/>
      <c r="D1254" s="50"/>
      <c r="E1254" s="50"/>
      <c r="F1254" s="50"/>
      <c r="G1254" s="49"/>
      <c r="H1254" s="50"/>
      <c r="I1254" s="50"/>
      <c r="J1254" s="50"/>
      <c r="K1254" s="50"/>
      <c r="L1254" s="50"/>
      <c r="M1254" s="46"/>
      <c r="N1254" s="47"/>
      <c r="O1254" s="62" t="str">
        <f aca="false">IF($B1254="","",TEXT($A1254,"YYYY-MM-DD")&amp;"|"&amp;$B1254)</f>
        <v/>
      </c>
      <c r="P1254" s="3"/>
      <c r="Q1254" s="3"/>
      <c r="R1254" s="3"/>
      <c r="S1254" s="3"/>
      <c r="T1254" s="3"/>
      <c r="U1254" s="3"/>
      <c r="V1254" s="3"/>
      <c r="W1254" s="3"/>
      <c r="X1254" s="3"/>
      <c r="Y1254" s="3"/>
      <c r="Z1254" s="3"/>
      <c r="AA1254" s="3"/>
      <c r="AB1254" s="3"/>
    </row>
    <row r="1255" customFormat="false" ht="15" hidden="false" customHeight="false" outlineLevel="0" collapsed="false">
      <c r="A1255" s="54"/>
      <c r="B1255" s="52"/>
      <c r="C1255" s="56"/>
      <c r="D1255" s="56"/>
      <c r="E1255" s="56"/>
      <c r="F1255" s="56"/>
      <c r="G1255" s="55"/>
      <c r="H1255" s="56"/>
      <c r="I1255" s="56"/>
      <c r="J1255" s="56"/>
      <c r="K1255" s="56"/>
      <c r="L1255" s="56"/>
      <c r="M1255" s="52"/>
      <c r="N1255" s="53"/>
      <c r="O1255" s="62" t="str">
        <f aca="false">IF($B1255="","",TEXT($A1255,"YYYY-MM-DD")&amp;"|"&amp;$B1255)</f>
        <v/>
      </c>
      <c r="P1255" s="3"/>
      <c r="Q1255" s="3"/>
      <c r="R1255" s="3"/>
      <c r="S1255" s="3"/>
      <c r="T1255" s="3"/>
      <c r="U1255" s="3"/>
      <c r="V1255" s="3"/>
      <c r="W1255" s="3"/>
      <c r="X1255" s="3"/>
      <c r="Y1255" s="3"/>
      <c r="Z1255" s="3"/>
      <c r="AA1255" s="3"/>
      <c r="AB1255" s="3"/>
    </row>
    <row r="1256" customFormat="false" ht="15" hidden="false" customHeight="false" outlineLevel="0" collapsed="false">
      <c r="A1256" s="48"/>
      <c r="B1256" s="46"/>
      <c r="C1256" s="50"/>
      <c r="D1256" s="50"/>
      <c r="E1256" s="50"/>
      <c r="F1256" s="50"/>
      <c r="G1256" s="49"/>
      <c r="H1256" s="50"/>
      <c r="I1256" s="50"/>
      <c r="J1256" s="50"/>
      <c r="K1256" s="50"/>
      <c r="L1256" s="50"/>
      <c r="M1256" s="46"/>
      <c r="N1256" s="47"/>
      <c r="O1256" s="62" t="str">
        <f aca="false">IF($B1256="","",TEXT($A1256,"YYYY-MM-DD")&amp;"|"&amp;$B1256)</f>
        <v/>
      </c>
      <c r="P1256" s="3"/>
      <c r="Q1256" s="3"/>
      <c r="R1256" s="3"/>
      <c r="S1256" s="3"/>
      <c r="T1256" s="3"/>
      <c r="U1256" s="3"/>
      <c r="V1256" s="3"/>
      <c r="W1256" s="3"/>
      <c r="X1256" s="3"/>
      <c r="Y1256" s="3"/>
      <c r="Z1256" s="3"/>
      <c r="AA1256" s="3"/>
      <c r="AB1256" s="3"/>
    </row>
    <row r="1257" customFormat="false" ht="15" hidden="false" customHeight="false" outlineLevel="0" collapsed="false">
      <c r="A1257" s="54"/>
      <c r="B1257" s="52"/>
      <c r="C1257" s="56"/>
      <c r="D1257" s="56"/>
      <c r="E1257" s="56"/>
      <c r="F1257" s="56"/>
      <c r="G1257" s="55"/>
      <c r="H1257" s="56"/>
      <c r="I1257" s="56"/>
      <c r="J1257" s="56"/>
      <c r="K1257" s="56"/>
      <c r="L1257" s="56"/>
      <c r="M1257" s="52"/>
      <c r="N1257" s="53"/>
      <c r="O1257" s="62" t="str">
        <f aca="false">IF($B1257="","",TEXT($A1257,"YYYY-MM-DD")&amp;"|"&amp;$B1257)</f>
        <v/>
      </c>
      <c r="P1257" s="3"/>
      <c r="Q1257" s="3"/>
      <c r="R1257" s="3"/>
      <c r="S1257" s="3"/>
      <c r="T1257" s="3"/>
      <c r="U1257" s="3"/>
      <c r="V1257" s="3"/>
      <c r="W1257" s="3"/>
      <c r="X1257" s="3"/>
      <c r="Y1257" s="3"/>
      <c r="Z1257" s="3"/>
      <c r="AA1257" s="3"/>
      <c r="AB1257" s="3"/>
    </row>
    <row r="1258" customFormat="false" ht="15" hidden="false" customHeight="false" outlineLevel="0" collapsed="false">
      <c r="A1258" s="48"/>
      <c r="B1258" s="46"/>
      <c r="C1258" s="50"/>
      <c r="D1258" s="50"/>
      <c r="E1258" s="50"/>
      <c r="F1258" s="50"/>
      <c r="G1258" s="49"/>
      <c r="H1258" s="50"/>
      <c r="I1258" s="50"/>
      <c r="J1258" s="50"/>
      <c r="K1258" s="50"/>
      <c r="L1258" s="50"/>
      <c r="M1258" s="46"/>
      <c r="N1258" s="47"/>
      <c r="O1258" s="62" t="str">
        <f aca="false">IF($B1258="","",TEXT($A1258,"YYYY-MM-DD")&amp;"|"&amp;$B1258)</f>
        <v/>
      </c>
      <c r="P1258" s="3"/>
      <c r="Q1258" s="3"/>
      <c r="R1258" s="3"/>
      <c r="S1258" s="3"/>
      <c r="T1258" s="3"/>
      <c r="U1258" s="3"/>
      <c r="V1258" s="3"/>
      <c r="W1258" s="3"/>
      <c r="X1258" s="3"/>
      <c r="Y1258" s="3"/>
      <c r="Z1258" s="3"/>
      <c r="AA1258" s="3"/>
      <c r="AB1258" s="3"/>
    </row>
    <row r="1259" customFormat="false" ht="15" hidden="false" customHeight="false" outlineLevel="0" collapsed="false">
      <c r="A1259" s="54"/>
      <c r="B1259" s="52"/>
      <c r="C1259" s="56"/>
      <c r="D1259" s="56"/>
      <c r="E1259" s="56"/>
      <c r="F1259" s="56"/>
      <c r="G1259" s="55"/>
      <c r="H1259" s="56"/>
      <c r="I1259" s="56"/>
      <c r="J1259" s="56"/>
      <c r="K1259" s="56"/>
      <c r="L1259" s="56"/>
      <c r="M1259" s="52"/>
      <c r="N1259" s="53"/>
      <c r="O1259" s="62" t="str">
        <f aca="false">IF($B1259="","",TEXT($A1259,"YYYY-MM-DD")&amp;"|"&amp;$B1259)</f>
        <v/>
      </c>
      <c r="P1259" s="3"/>
      <c r="Q1259" s="3"/>
      <c r="R1259" s="3"/>
      <c r="S1259" s="3"/>
      <c r="T1259" s="3"/>
      <c r="U1259" s="3"/>
      <c r="V1259" s="3"/>
      <c r="W1259" s="3"/>
      <c r="X1259" s="3"/>
      <c r="Y1259" s="3"/>
      <c r="Z1259" s="3"/>
      <c r="AA1259" s="3"/>
      <c r="AB1259" s="3"/>
    </row>
    <row r="1260" customFormat="false" ht="15" hidden="false" customHeight="false" outlineLevel="0" collapsed="false">
      <c r="A1260" s="48"/>
      <c r="B1260" s="46"/>
      <c r="C1260" s="50"/>
      <c r="D1260" s="50"/>
      <c r="E1260" s="50"/>
      <c r="F1260" s="50"/>
      <c r="G1260" s="49"/>
      <c r="H1260" s="50"/>
      <c r="I1260" s="50"/>
      <c r="J1260" s="50"/>
      <c r="K1260" s="50"/>
      <c r="L1260" s="50"/>
      <c r="M1260" s="46"/>
      <c r="N1260" s="47"/>
      <c r="O1260" s="62" t="str">
        <f aca="false">IF($B1260="","",TEXT($A1260,"YYYY-MM-DD")&amp;"|"&amp;$B1260)</f>
        <v/>
      </c>
      <c r="P1260" s="3"/>
      <c r="Q1260" s="3"/>
      <c r="R1260" s="3"/>
      <c r="S1260" s="3"/>
      <c r="T1260" s="3"/>
      <c r="U1260" s="3"/>
      <c r="V1260" s="3"/>
      <c r="W1260" s="3"/>
      <c r="X1260" s="3"/>
      <c r="Y1260" s="3"/>
      <c r="Z1260" s="3"/>
      <c r="AA1260" s="3"/>
      <c r="AB1260" s="3"/>
    </row>
    <row r="1261" customFormat="false" ht="15" hidden="false" customHeight="false" outlineLevel="0" collapsed="false">
      <c r="A1261" s="54"/>
      <c r="B1261" s="52"/>
      <c r="C1261" s="56"/>
      <c r="D1261" s="56"/>
      <c r="E1261" s="56"/>
      <c r="F1261" s="56"/>
      <c r="G1261" s="55"/>
      <c r="H1261" s="56"/>
      <c r="I1261" s="56"/>
      <c r="J1261" s="56"/>
      <c r="K1261" s="56"/>
      <c r="L1261" s="56"/>
      <c r="M1261" s="52"/>
      <c r="N1261" s="53"/>
      <c r="O1261" s="62" t="str">
        <f aca="false">IF($B1261="","",TEXT($A1261,"YYYY-MM-DD")&amp;"|"&amp;$B1261)</f>
        <v/>
      </c>
      <c r="P1261" s="3"/>
      <c r="Q1261" s="3"/>
      <c r="R1261" s="3"/>
      <c r="S1261" s="3"/>
      <c r="T1261" s="3"/>
      <c r="U1261" s="3"/>
      <c r="V1261" s="3"/>
      <c r="W1261" s="3"/>
      <c r="X1261" s="3"/>
      <c r="Y1261" s="3"/>
      <c r="Z1261" s="3"/>
      <c r="AA1261" s="3"/>
      <c r="AB1261" s="3"/>
    </row>
    <row r="1262" customFormat="false" ht="15" hidden="false" customHeight="false" outlineLevel="0" collapsed="false">
      <c r="A1262" s="48"/>
      <c r="B1262" s="46"/>
      <c r="C1262" s="50"/>
      <c r="D1262" s="50"/>
      <c r="E1262" s="50"/>
      <c r="F1262" s="50"/>
      <c r="G1262" s="49"/>
      <c r="H1262" s="50"/>
      <c r="I1262" s="50"/>
      <c r="J1262" s="50"/>
      <c r="K1262" s="50"/>
      <c r="L1262" s="50"/>
      <c r="M1262" s="46"/>
      <c r="N1262" s="47"/>
      <c r="O1262" s="62" t="str">
        <f aca="false">IF($B1262="","",TEXT($A1262,"YYYY-MM-DD")&amp;"|"&amp;$B1262)</f>
        <v/>
      </c>
      <c r="P1262" s="3"/>
      <c r="Q1262" s="3"/>
      <c r="R1262" s="3"/>
      <c r="S1262" s="3"/>
      <c r="T1262" s="3"/>
      <c r="U1262" s="3"/>
      <c r="V1262" s="3"/>
      <c r="W1262" s="3"/>
      <c r="X1262" s="3"/>
      <c r="Y1262" s="3"/>
      <c r="Z1262" s="3"/>
      <c r="AA1262" s="3"/>
      <c r="AB1262" s="3"/>
    </row>
    <row r="1263" customFormat="false" ht="15" hidden="false" customHeight="false" outlineLevel="0" collapsed="false">
      <c r="A1263" s="54"/>
      <c r="B1263" s="52"/>
      <c r="C1263" s="56"/>
      <c r="D1263" s="56"/>
      <c r="E1263" s="56"/>
      <c r="F1263" s="56"/>
      <c r="G1263" s="55"/>
      <c r="H1263" s="56"/>
      <c r="I1263" s="56"/>
      <c r="J1263" s="56"/>
      <c r="K1263" s="56"/>
      <c r="L1263" s="56"/>
      <c r="M1263" s="52"/>
      <c r="N1263" s="53"/>
      <c r="O1263" s="62" t="str">
        <f aca="false">IF($B1263="","",TEXT($A1263,"YYYY-MM-DD")&amp;"|"&amp;$B1263)</f>
        <v/>
      </c>
      <c r="P1263" s="3"/>
      <c r="Q1263" s="3"/>
      <c r="R1263" s="3"/>
      <c r="S1263" s="3"/>
      <c r="T1263" s="3"/>
      <c r="U1263" s="3"/>
      <c r="V1263" s="3"/>
      <c r="W1263" s="3"/>
      <c r="X1263" s="3"/>
      <c r="Y1263" s="3"/>
      <c r="Z1263" s="3"/>
      <c r="AA1263" s="3"/>
      <c r="AB1263" s="3"/>
    </row>
    <row r="1264" customFormat="false" ht="15" hidden="false" customHeight="false" outlineLevel="0" collapsed="false">
      <c r="A1264" s="48"/>
      <c r="B1264" s="46"/>
      <c r="C1264" s="50"/>
      <c r="D1264" s="50"/>
      <c r="E1264" s="50"/>
      <c r="F1264" s="50"/>
      <c r="G1264" s="49"/>
      <c r="H1264" s="50"/>
      <c r="I1264" s="50"/>
      <c r="J1264" s="50"/>
      <c r="K1264" s="50"/>
      <c r="L1264" s="50"/>
      <c r="M1264" s="46"/>
      <c r="N1264" s="47"/>
      <c r="O1264" s="62" t="str">
        <f aca="false">IF($B1264="","",TEXT($A1264,"YYYY-MM-DD")&amp;"|"&amp;$B1264)</f>
        <v/>
      </c>
      <c r="P1264" s="3"/>
      <c r="Q1264" s="3"/>
      <c r="R1264" s="3"/>
      <c r="S1264" s="3"/>
      <c r="T1264" s="3"/>
      <c r="U1264" s="3"/>
      <c r="V1264" s="3"/>
      <c r="W1264" s="3"/>
      <c r="X1264" s="3"/>
      <c r="Y1264" s="3"/>
      <c r="Z1264" s="3"/>
      <c r="AA1264" s="3"/>
      <c r="AB1264" s="3"/>
    </row>
    <row r="1265" customFormat="false" ht="15" hidden="false" customHeight="false" outlineLevel="0" collapsed="false">
      <c r="A1265" s="54"/>
      <c r="B1265" s="52"/>
      <c r="C1265" s="56"/>
      <c r="D1265" s="56"/>
      <c r="E1265" s="56"/>
      <c r="F1265" s="56"/>
      <c r="G1265" s="55"/>
      <c r="H1265" s="56"/>
      <c r="I1265" s="56"/>
      <c r="J1265" s="56"/>
      <c r="K1265" s="56"/>
      <c r="L1265" s="56"/>
      <c r="M1265" s="52"/>
      <c r="N1265" s="53"/>
      <c r="O1265" s="62" t="str">
        <f aca="false">IF($B1265="","",TEXT($A1265,"YYYY-MM-DD")&amp;"|"&amp;$B1265)</f>
        <v/>
      </c>
      <c r="P1265" s="3"/>
      <c r="Q1265" s="3"/>
      <c r="R1265" s="3"/>
      <c r="S1265" s="3"/>
      <c r="T1265" s="3"/>
      <c r="U1265" s="3"/>
      <c r="V1265" s="3"/>
      <c r="W1265" s="3"/>
      <c r="X1265" s="3"/>
      <c r="Y1265" s="3"/>
      <c r="Z1265" s="3"/>
      <c r="AA1265" s="3"/>
      <c r="AB1265" s="3"/>
    </row>
    <row r="1266" customFormat="false" ht="15" hidden="false" customHeight="false" outlineLevel="0" collapsed="false">
      <c r="A1266" s="48"/>
      <c r="B1266" s="46"/>
      <c r="C1266" s="50"/>
      <c r="D1266" s="50"/>
      <c r="E1266" s="50"/>
      <c r="F1266" s="50"/>
      <c r="G1266" s="49"/>
      <c r="H1266" s="50"/>
      <c r="I1266" s="50"/>
      <c r="J1266" s="50"/>
      <c r="K1266" s="50"/>
      <c r="L1266" s="50"/>
      <c r="M1266" s="46"/>
      <c r="N1266" s="47"/>
      <c r="O1266" s="62" t="str">
        <f aca="false">IF($B1266="","",TEXT($A1266,"YYYY-MM-DD")&amp;"|"&amp;$B1266)</f>
        <v/>
      </c>
      <c r="P1266" s="3"/>
      <c r="Q1266" s="3"/>
      <c r="R1266" s="3"/>
      <c r="S1266" s="3"/>
      <c r="T1266" s="3"/>
      <c r="U1266" s="3"/>
      <c r="V1266" s="3"/>
      <c r="W1266" s="3"/>
      <c r="X1266" s="3"/>
      <c r="Y1266" s="3"/>
      <c r="Z1266" s="3"/>
      <c r="AA1266" s="3"/>
      <c r="AB1266" s="3"/>
    </row>
    <row r="1267" customFormat="false" ht="15" hidden="false" customHeight="false" outlineLevel="0" collapsed="false">
      <c r="A1267" s="54"/>
      <c r="B1267" s="52"/>
      <c r="C1267" s="56"/>
      <c r="D1267" s="56"/>
      <c r="E1267" s="56"/>
      <c r="F1267" s="56"/>
      <c r="G1267" s="55"/>
      <c r="H1267" s="56"/>
      <c r="I1267" s="56"/>
      <c r="J1267" s="56"/>
      <c r="K1267" s="56"/>
      <c r="L1267" s="56"/>
      <c r="M1267" s="52"/>
      <c r="N1267" s="53"/>
      <c r="O1267" s="62" t="str">
        <f aca="false">IF($B1267="","",TEXT($A1267,"YYYY-MM-DD")&amp;"|"&amp;$B1267)</f>
        <v/>
      </c>
      <c r="P1267" s="3"/>
      <c r="Q1267" s="3"/>
      <c r="R1267" s="3"/>
      <c r="S1267" s="3"/>
      <c r="T1267" s="3"/>
      <c r="U1267" s="3"/>
      <c r="V1267" s="3"/>
      <c r="W1267" s="3"/>
      <c r="X1267" s="3"/>
      <c r="Y1267" s="3"/>
      <c r="Z1267" s="3"/>
      <c r="AA1267" s="3"/>
      <c r="AB1267" s="3"/>
    </row>
    <row r="1268" customFormat="false" ht="15" hidden="false" customHeight="false" outlineLevel="0" collapsed="false">
      <c r="A1268" s="48"/>
      <c r="B1268" s="46"/>
      <c r="C1268" s="50"/>
      <c r="D1268" s="50"/>
      <c r="E1268" s="50"/>
      <c r="F1268" s="50"/>
      <c r="G1268" s="49"/>
      <c r="H1268" s="50"/>
      <c r="I1268" s="50"/>
      <c r="J1268" s="50"/>
      <c r="K1268" s="50"/>
      <c r="L1268" s="50"/>
      <c r="M1268" s="46"/>
      <c r="N1268" s="47"/>
      <c r="O1268" s="62" t="str">
        <f aca="false">IF($B1268="","",TEXT($A1268,"YYYY-MM-DD")&amp;"|"&amp;$B1268)</f>
        <v/>
      </c>
      <c r="P1268" s="3"/>
      <c r="Q1268" s="3"/>
      <c r="R1268" s="3"/>
      <c r="S1268" s="3"/>
      <c r="T1268" s="3"/>
      <c r="U1268" s="3"/>
      <c r="V1268" s="3"/>
      <c r="W1268" s="3"/>
      <c r="X1268" s="3"/>
      <c r="Y1268" s="3"/>
      <c r="Z1268" s="3"/>
      <c r="AA1268" s="3"/>
      <c r="AB1268" s="3"/>
    </row>
    <row r="1269" customFormat="false" ht="15" hidden="false" customHeight="false" outlineLevel="0" collapsed="false">
      <c r="A1269" s="54"/>
      <c r="B1269" s="52"/>
      <c r="C1269" s="56"/>
      <c r="D1269" s="56"/>
      <c r="E1269" s="56"/>
      <c r="F1269" s="56"/>
      <c r="G1269" s="55"/>
      <c r="H1269" s="56"/>
      <c r="I1269" s="56"/>
      <c r="J1269" s="56"/>
      <c r="K1269" s="56"/>
      <c r="L1269" s="56"/>
      <c r="M1269" s="52"/>
      <c r="N1269" s="53"/>
      <c r="O1269" s="62" t="str">
        <f aca="false">IF($B1269="","",TEXT($A1269,"YYYY-MM-DD")&amp;"|"&amp;$B1269)</f>
        <v/>
      </c>
      <c r="P1269" s="3"/>
      <c r="Q1269" s="3"/>
      <c r="R1269" s="3"/>
      <c r="S1269" s="3"/>
      <c r="T1269" s="3"/>
      <c r="U1269" s="3"/>
      <c r="V1269" s="3"/>
      <c r="W1269" s="3"/>
      <c r="X1269" s="3"/>
      <c r="Y1269" s="3"/>
      <c r="Z1269" s="3"/>
      <c r="AA1269" s="3"/>
      <c r="AB1269" s="3"/>
    </row>
    <row r="1270" customFormat="false" ht="15" hidden="false" customHeight="false" outlineLevel="0" collapsed="false">
      <c r="A1270" s="48"/>
      <c r="B1270" s="46"/>
      <c r="C1270" s="50"/>
      <c r="D1270" s="50"/>
      <c r="E1270" s="50"/>
      <c r="F1270" s="50"/>
      <c r="G1270" s="49"/>
      <c r="H1270" s="50"/>
      <c r="I1270" s="50"/>
      <c r="J1270" s="50"/>
      <c r="K1270" s="50"/>
      <c r="L1270" s="50"/>
      <c r="M1270" s="46"/>
      <c r="N1270" s="47"/>
      <c r="O1270" s="62" t="str">
        <f aca="false">IF($B1270="","",TEXT($A1270,"YYYY-MM-DD")&amp;"|"&amp;$B1270)</f>
        <v/>
      </c>
      <c r="P1270" s="3"/>
      <c r="Q1270" s="3"/>
      <c r="R1270" s="3"/>
      <c r="S1270" s="3"/>
      <c r="T1270" s="3"/>
      <c r="U1270" s="3"/>
      <c r="V1270" s="3"/>
      <c r="W1270" s="3"/>
      <c r="X1270" s="3"/>
      <c r="Y1270" s="3"/>
      <c r="Z1270" s="3"/>
      <c r="AA1270" s="3"/>
      <c r="AB1270" s="3"/>
    </row>
    <row r="1271" customFormat="false" ht="15" hidden="false" customHeight="false" outlineLevel="0" collapsed="false">
      <c r="A1271" s="54"/>
      <c r="B1271" s="52"/>
      <c r="C1271" s="56"/>
      <c r="D1271" s="56"/>
      <c r="E1271" s="56"/>
      <c r="F1271" s="56"/>
      <c r="G1271" s="55"/>
      <c r="H1271" s="56"/>
      <c r="I1271" s="56"/>
      <c r="J1271" s="56"/>
      <c r="K1271" s="56"/>
      <c r="L1271" s="56"/>
      <c r="M1271" s="52"/>
      <c r="N1271" s="53"/>
      <c r="O1271" s="62" t="str">
        <f aca="false">IF($B1271="","",TEXT($A1271,"YYYY-MM-DD")&amp;"|"&amp;$B1271)</f>
        <v/>
      </c>
      <c r="P1271" s="3"/>
      <c r="Q1271" s="3"/>
      <c r="R1271" s="3"/>
      <c r="S1271" s="3"/>
      <c r="T1271" s="3"/>
      <c r="U1271" s="3"/>
      <c r="V1271" s="3"/>
      <c r="W1271" s="3"/>
      <c r="X1271" s="3"/>
      <c r="Y1271" s="3"/>
      <c r="Z1271" s="3"/>
      <c r="AA1271" s="3"/>
      <c r="AB1271" s="3"/>
    </row>
    <row r="1272" customFormat="false" ht="15" hidden="false" customHeight="false" outlineLevel="0" collapsed="false">
      <c r="A1272" s="48"/>
      <c r="B1272" s="46"/>
      <c r="C1272" s="50"/>
      <c r="D1272" s="50"/>
      <c r="E1272" s="50"/>
      <c r="F1272" s="50"/>
      <c r="G1272" s="49"/>
      <c r="H1272" s="50"/>
      <c r="I1272" s="50"/>
      <c r="J1272" s="50"/>
      <c r="K1272" s="50"/>
      <c r="L1272" s="50"/>
      <c r="M1272" s="46"/>
      <c r="N1272" s="47"/>
      <c r="O1272" s="62" t="str">
        <f aca="false">IF($B1272="","",TEXT($A1272,"YYYY-MM-DD")&amp;"|"&amp;$B1272)</f>
        <v/>
      </c>
      <c r="P1272" s="3"/>
      <c r="Q1272" s="3"/>
      <c r="R1272" s="3"/>
      <c r="S1272" s="3"/>
      <c r="T1272" s="3"/>
      <c r="U1272" s="3"/>
      <c r="V1272" s="3"/>
      <c r="W1272" s="3"/>
      <c r="X1272" s="3"/>
      <c r="Y1272" s="3"/>
      <c r="Z1272" s="3"/>
      <c r="AA1272" s="3"/>
      <c r="AB1272" s="3"/>
    </row>
    <row r="1273" customFormat="false" ht="15" hidden="false" customHeight="false" outlineLevel="0" collapsed="false">
      <c r="A1273" s="54"/>
      <c r="B1273" s="52"/>
      <c r="C1273" s="56"/>
      <c r="D1273" s="56"/>
      <c r="E1273" s="56"/>
      <c r="F1273" s="56"/>
      <c r="G1273" s="55"/>
      <c r="H1273" s="56"/>
      <c r="I1273" s="56"/>
      <c r="J1273" s="56"/>
      <c r="K1273" s="56"/>
      <c r="L1273" s="56"/>
      <c r="M1273" s="52"/>
      <c r="N1273" s="53"/>
      <c r="O1273" s="62" t="str">
        <f aca="false">IF($B1273="","",TEXT($A1273,"YYYY-MM-DD")&amp;"|"&amp;$B1273)</f>
        <v/>
      </c>
      <c r="P1273" s="3"/>
      <c r="Q1273" s="3"/>
      <c r="R1273" s="3"/>
      <c r="S1273" s="3"/>
      <c r="T1273" s="3"/>
      <c r="U1273" s="3"/>
      <c r="V1273" s="3"/>
      <c r="W1273" s="3"/>
      <c r="X1273" s="3"/>
      <c r="Y1273" s="3"/>
      <c r="Z1273" s="3"/>
      <c r="AA1273" s="3"/>
      <c r="AB1273" s="3"/>
    </row>
    <row r="1274" customFormat="false" ht="15" hidden="false" customHeight="false" outlineLevel="0" collapsed="false">
      <c r="A1274" s="48"/>
      <c r="B1274" s="46"/>
      <c r="C1274" s="50"/>
      <c r="D1274" s="50"/>
      <c r="E1274" s="50"/>
      <c r="F1274" s="50"/>
      <c r="G1274" s="49"/>
      <c r="H1274" s="50"/>
      <c r="I1274" s="50"/>
      <c r="J1274" s="50"/>
      <c r="K1274" s="50"/>
      <c r="L1274" s="50"/>
      <c r="M1274" s="46"/>
      <c r="N1274" s="47"/>
      <c r="O1274" s="62" t="str">
        <f aca="false">IF($B1274="","",TEXT($A1274,"YYYY-MM-DD")&amp;"|"&amp;$B1274)</f>
        <v/>
      </c>
      <c r="P1274" s="3"/>
      <c r="Q1274" s="3"/>
      <c r="R1274" s="3"/>
      <c r="S1274" s="3"/>
      <c r="T1274" s="3"/>
      <c r="U1274" s="3"/>
      <c r="V1274" s="3"/>
      <c r="W1274" s="3"/>
      <c r="X1274" s="3"/>
      <c r="Y1274" s="3"/>
      <c r="Z1274" s="3"/>
      <c r="AA1274" s="3"/>
      <c r="AB1274" s="3"/>
    </row>
    <row r="1275" customFormat="false" ht="15" hidden="false" customHeight="false" outlineLevel="0" collapsed="false">
      <c r="A1275" s="54"/>
      <c r="B1275" s="52"/>
      <c r="C1275" s="56"/>
      <c r="D1275" s="56"/>
      <c r="E1275" s="56"/>
      <c r="F1275" s="56"/>
      <c r="G1275" s="55"/>
      <c r="H1275" s="56"/>
      <c r="I1275" s="56"/>
      <c r="J1275" s="56"/>
      <c r="K1275" s="56"/>
      <c r="L1275" s="56"/>
      <c r="M1275" s="52"/>
      <c r="N1275" s="53"/>
      <c r="O1275" s="62" t="str">
        <f aca="false">IF($B1275="","",TEXT($A1275,"YYYY-MM-DD")&amp;"|"&amp;$B1275)</f>
        <v/>
      </c>
      <c r="P1275" s="3"/>
      <c r="Q1275" s="3"/>
      <c r="R1275" s="3"/>
      <c r="S1275" s="3"/>
      <c r="T1275" s="3"/>
      <c r="U1275" s="3"/>
      <c r="V1275" s="3"/>
      <c r="W1275" s="3"/>
      <c r="X1275" s="3"/>
      <c r="Y1275" s="3"/>
      <c r="Z1275" s="3"/>
      <c r="AA1275" s="3"/>
      <c r="AB1275" s="3"/>
    </row>
    <row r="1276" customFormat="false" ht="15" hidden="false" customHeight="false" outlineLevel="0" collapsed="false">
      <c r="A1276" s="48"/>
      <c r="B1276" s="46"/>
      <c r="C1276" s="50"/>
      <c r="D1276" s="50"/>
      <c r="E1276" s="50"/>
      <c r="F1276" s="50"/>
      <c r="G1276" s="49"/>
      <c r="H1276" s="50"/>
      <c r="I1276" s="50"/>
      <c r="J1276" s="50"/>
      <c r="K1276" s="50"/>
      <c r="L1276" s="50"/>
      <c r="M1276" s="46"/>
      <c r="N1276" s="47"/>
      <c r="O1276" s="62" t="str">
        <f aca="false">IF($B1276="","",TEXT($A1276,"YYYY-MM-DD")&amp;"|"&amp;$B1276)</f>
        <v/>
      </c>
      <c r="P1276" s="3"/>
      <c r="Q1276" s="3"/>
      <c r="R1276" s="3"/>
      <c r="S1276" s="3"/>
      <c r="T1276" s="3"/>
      <c r="U1276" s="3"/>
      <c r="V1276" s="3"/>
      <c r="W1276" s="3"/>
      <c r="X1276" s="3"/>
      <c r="Y1276" s="3"/>
      <c r="Z1276" s="3"/>
      <c r="AA1276" s="3"/>
      <c r="AB1276" s="3"/>
    </row>
    <row r="1277" customFormat="false" ht="15" hidden="false" customHeight="false" outlineLevel="0" collapsed="false">
      <c r="A1277" s="54"/>
      <c r="B1277" s="52"/>
      <c r="C1277" s="56"/>
      <c r="D1277" s="56"/>
      <c r="E1277" s="56"/>
      <c r="F1277" s="56"/>
      <c r="G1277" s="55"/>
      <c r="H1277" s="56"/>
      <c r="I1277" s="56"/>
      <c r="J1277" s="56"/>
      <c r="K1277" s="56"/>
      <c r="L1277" s="56"/>
      <c r="M1277" s="52"/>
      <c r="N1277" s="53"/>
      <c r="O1277" s="62" t="str">
        <f aca="false">IF($B1277="","",TEXT($A1277,"YYYY-MM-DD")&amp;"|"&amp;$B1277)</f>
        <v/>
      </c>
      <c r="P1277" s="3"/>
      <c r="Q1277" s="3"/>
      <c r="R1277" s="3"/>
      <c r="S1277" s="3"/>
      <c r="T1277" s="3"/>
      <c r="U1277" s="3"/>
      <c r="V1277" s="3"/>
      <c r="W1277" s="3"/>
      <c r="X1277" s="3"/>
      <c r="Y1277" s="3"/>
      <c r="Z1277" s="3"/>
      <c r="AA1277" s="3"/>
      <c r="AB1277" s="3"/>
    </row>
    <row r="1278" customFormat="false" ht="15" hidden="false" customHeight="false" outlineLevel="0" collapsed="false">
      <c r="A1278" s="48"/>
      <c r="B1278" s="46"/>
      <c r="C1278" s="50"/>
      <c r="D1278" s="50"/>
      <c r="E1278" s="50"/>
      <c r="F1278" s="50"/>
      <c r="G1278" s="49"/>
      <c r="H1278" s="50"/>
      <c r="I1278" s="50"/>
      <c r="J1278" s="50"/>
      <c r="K1278" s="50"/>
      <c r="L1278" s="50"/>
      <c r="M1278" s="46"/>
      <c r="N1278" s="47"/>
      <c r="O1278" s="62" t="str">
        <f aca="false">IF($B1278="","",TEXT($A1278,"YYYY-MM-DD")&amp;"|"&amp;$B1278)</f>
        <v/>
      </c>
      <c r="P1278" s="3"/>
      <c r="Q1278" s="3"/>
      <c r="R1278" s="3"/>
      <c r="S1278" s="3"/>
      <c r="T1278" s="3"/>
      <c r="U1278" s="3"/>
      <c r="V1278" s="3"/>
      <c r="W1278" s="3"/>
      <c r="X1278" s="3"/>
      <c r="Y1278" s="3"/>
      <c r="Z1278" s="3"/>
      <c r="AA1278" s="3"/>
      <c r="AB1278" s="3"/>
    </row>
    <row r="1279" customFormat="false" ht="15" hidden="false" customHeight="false" outlineLevel="0" collapsed="false">
      <c r="A1279" s="54"/>
      <c r="B1279" s="52"/>
      <c r="C1279" s="56"/>
      <c r="D1279" s="56"/>
      <c r="E1279" s="56"/>
      <c r="F1279" s="56"/>
      <c r="G1279" s="55"/>
      <c r="H1279" s="56"/>
      <c r="I1279" s="56"/>
      <c r="J1279" s="56"/>
      <c r="K1279" s="56"/>
      <c r="L1279" s="56"/>
      <c r="M1279" s="52"/>
      <c r="N1279" s="53"/>
      <c r="O1279" s="62" t="str">
        <f aca="false">IF($B1279="","",TEXT($A1279,"YYYY-MM-DD")&amp;"|"&amp;$B1279)</f>
        <v/>
      </c>
      <c r="P1279" s="3"/>
      <c r="Q1279" s="3"/>
      <c r="R1279" s="3"/>
      <c r="S1279" s="3"/>
      <c r="T1279" s="3"/>
      <c r="U1279" s="3"/>
      <c r="V1279" s="3"/>
      <c r="W1279" s="3"/>
      <c r="X1279" s="3"/>
      <c r="Y1279" s="3"/>
      <c r="Z1279" s="3"/>
      <c r="AA1279" s="3"/>
      <c r="AB1279" s="3"/>
    </row>
    <row r="1280" customFormat="false" ht="15" hidden="false" customHeight="false" outlineLevel="0" collapsed="false">
      <c r="A1280" s="48"/>
      <c r="B1280" s="46"/>
      <c r="C1280" s="50"/>
      <c r="D1280" s="50"/>
      <c r="E1280" s="50"/>
      <c r="F1280" s="50"/>
      <c r="G1280" s="49"/>
      <c r="H1280" s="50"/>
      <c r="I1280" s="50"/>
      <c r="J1280" s="50"/>
      <c r="K1280" s="50"/>
      <c r="L1280" s="50"/>
      <c r="M1280" s="46"/>
      <c r="N1280" s="47"/>
      <c r="O1280" s="62" t="str">
        <f aca="false">IF($B1280="","",TEXT($A1280,"YYYY-MM-DD")&amp;"|"&amp;$B1280)</f>
        <v/>
      </c>
      <c r="P1280" s="3"/>
      <c r="Q1280" s="3"/>
      <c r="R1280" s="3"/>
      <c r="S1280" s="3"/>
      <c r="T1280" s="3"/>
      <c r="U1280" s="3"/>
      <c r="V1280" s="3"/>
      <c r="W1280" s="3"/>
      <c r="X1280" s="3"/>
      <c r="Y1280" s="3"/>
      <c r="Z1280" s="3"/>
      <c r="AA1280" s="3"/>
      <c r="AB1280" s="3"/>
    </row>
    <row r="1281" customFormat="false" ht="15" hidden="false" customHeight="false" outlineLevel="0" collapsed="false">
      <c r="A1281" s="54"/>
      <c r="B1281" s="52"/>
      <c r="C1281" s="56"/>
      <c r="D1281" s="56"/>
      <c r="E1281" s="56"/>
      <c r="F1281" s="56"/>
      <c r="G1281" s="55"/>
      <c r="H1281" s="56"/>
      <c r="I1281" s="56"/>
      <c r="J1281" s="56"/>
      <c r="K1281" s="56"/>
      <c r="L1281" s="56"/>
      <c r="M1281" s="52"/>
      <c r="N1281" s="53"/>
      <c r="O1281" s="62" t="str">
        <f aca="false">IF($B1281="","",TEXT($A1281,"YYYY-MM-DD")&amp;"|"&amp;$B1281)</f>
        <v/>
      </c>
      <c r="P1281" s="3"/>
      <c r="Q1281" s="3"/>
      <c r="R1281" s="3"/>
      <c r="S1281" s="3"/>
      <c r="T1281" s="3"/>
      <c r="U1281" s="3"/>
      <c r="V1281" s="3"/>
      <c r="W1281" s="3"/>
      <c r="X1281" s="3"/>
      <c r="Y1281" s="3"/>
      <c r="Z1281" s="3"/>
      <c r="AA1281" s="3"/>
      <c r="AB1281" s="3"/>
    </row>
    <row r="1282" customFormat="false" ht="15" hidden="false" customHeight="false" outlineLevel="0" collapsed="false">
      <c r="A1282" s="48"/>
      <c r="B1282" s="46"/>
      <c r="C1282" s="50"/>
      <c r="D1282" s="50"/>
      <c r="E1282" s="50"/>
      <c r="F1282" s="50"/>
      <c r="G1282" s="49"/>
      <c r="H1282" s="50"/>
      <c r="I1282" s="50"/>
      <c r="J1282" s="50"/>
      <c r="K1282" s="50"/>
      <c r="L1282" s="50"/>
      <c r="M1282" s="46"/>
      <c r="N1282" s="47"/>
      <c r="O1282" s="62" t="str">
        <f aca="false">IF($B1282="","",TEXT($A1282,"YYYY-MM-DD")&amp;"|"&amp;$B1282)</f>
        <v/>
      </c>
      <c r="P1282" s="3"/>
      <c r="Q1282" s="3"/>
      <c r="R1282" s="3"/>
      <c r="S1282" s="3"/>
      <c r="T1282" s="3"/>
      <c r="U1282" s="3"/>
      <c r="V1282" s="3"/>
      <c r="W1282" s="3"/>
      <c r="X1282" s="3"/>
      <c r="Y1282" s="3"/>
      <c r="Z1282" s="3"/>
      <c r="AA1282" s="3"/>
      <c r="AB1282" s="3"/>
    </row>
    <row r="1283" customFormat="false" ht="15" hidden="false" customHeight="false" outlineLevel="0" collapsed="false">
      <c r="A1283" s="54"/>
      <c r="B1283" s="52"/>
      <c r="C1283" s="56"/>
      <c r="D1283" s="56"/>
      <c r="E1283" s="56"/>
      <c r="F1283" s="56"/>
      <c r="G1283" s="55"/>
      <c r="H1283" s="56"/>
      <c r="I1283" s="56"/>
      <c r="J1283" s="56"/>
      <c r="K1283" s="56"/>
      <c r="L1283" s="56"/>
      <c r="M1283" s="52"/>
      <c r="N1283" s="53"/>
      <c r="O1283" s="62" t="str">
        <f aca="false">IF($B1283="","",TEXT($A1283,"YYYY-MM-DD")&amp;"|"&amp;$B1283)</f>
        <v/>
      </c>
      <c r="P1283" s="3"/>
      <c r="Q1283" s="3"/>
      <c r="R1283" s="3"/>
      <c r="S1283" s="3"/>
      <c r="T1283" s="3"/>
      <c r="U1283" s="3"/>
      <c r="V1283" s="3"/>
      <c r="W1283" s="3"/>
      <c r="X1283" s="3"/>
      <c r="Y1283" s="3"/>
      <c r="Z1283" s="3"/>
      <c r="AA1283" s="3"/>
      <c r="AB1283" s="3"/>
    </row>
    <row r="1284" customFormat="false" ht="15" hidden="false" customHeight="false" outlineLevel="0" collapsed="false">
      <c r="A1284" s="48"/>
      <c r="B1284" s="46"/>
      <c r="C1284" s="50"/>
      <c r="D1284" s="50"/>
      <c r="E1284" s="50"/>
      <c r="F1284" s="50"/>
      <c r="G1284" s="49"/>
      <c r="H1284" s="50"/>
      <c r="I1284" s="50"/>
      <c r="J1284" s="50"/>
      <c r="K1284" s="50"/>
      <c r="L1284" s="50"/>
      <c r="M1284" s="46"/>
      <c r="N1284" s="47"/>
      <c r="O1284" s="62" t="str">
        <f aca="false">IF($B1284="","",TEXT($A1284,"YYYY-MM-DD")&amp;"|"&amp;$B1284)</f>
        <v/>
      </c>
      <c r="P1284" s="3"/>
      <c r="Q1284" s="3"/>
      <c r="R1284" s="3"/>
      <c r="S1284" s="3"/>
      <c r="T1284" s="3"/>
      <c r="U1284" s="3"/>
      <c r="V1284" s="3"/>
      <c r="W1284" s="3"/>
      <c r="X1284" s="3"/>
      <c r="Y1284" s="3"/>
      <c r="Z1284" s="3"/>
      <c r="AA1284" s="3"/>
      <c r="AB1284" s="3"/>
    </row>
    <row r="1285" customFormat="false" ht="15" hidden="false" customHeight="false" outlineLevel="0" collapsed="false">
      <c r="A1285" s="54"/>
      <c r="B1285" s="52"/>
      <c r="C1285" s="56"/>
      <c r="D1285" s="56"/>
      <c r="E1285" s="56"/>
      <c r="F1285" s="56"/>
      <c r="G1285" s="55"/>
      <c r="H1285" s="56"/>
      <c r="I1285" s="56"/>
      <c r="J1285" s="56"/>
      <c r="K1285" s="56"/>
      <c r="L1285" s="56"/>
      <c r="M1285" s="52"/>
      <c r="N1285" s="53"/>
      <c r="O1285" s="62" t="str">
        <f aca="false">IF($B1285="","",TEXT($A1285,"YYYY-MM-DD")&amp;"|"&amp;$B1285)</f>
        <v/>
      </c>
      <c r="P1285" s="3"/>
      <c r="Q1285" s="3"/>
      <c r="R1285" s="3"/>
      <c r="S1285" s="3"/>
      <c r="T1285" s="3"/>
      <c r="U1285" s="3"/>
      <c r="V1285" s="3"/>
      <c r="W1285" s="3"/>
      <c r="X1285" s="3"/>
      <c r="Y1285" s="3"/>
      <c r="Z1285" s="3"/>
      <c r="AA1285" s="3"/>
      <c r="AB1285" s="3"/>
    </row>
    <row r="1286" customFormat="false" ht="15" hidden="false" customHeight="false" outlineLevel="0" collapsed="false">
      <c r="A1286" s="48"/>
      <c r="B1286" s="46"/>
      <c r="C1286" s="50"/>
      <c r="D1286" s="50"/>
      <c r="E1286" s="50"/>
      <c r="F1286" s="50"/>
      <c r="G1286" s="49"/>
      <c r="H1286" s="50"/>
      <c r="I1286" s="50"/>
      <c r="J1286" s="50"/>
      <c r="K1286" s="50"/>
      <c r="L1286" s="50"/>
      <c r="M1286" s="46"/>
      <c r="N1286" s="47"/>
      <c r="O1286" s="62" t="str">
        <f aca="false">IF($B1286="","",TEXT($A1286,"YYYY-MM-DD")&amp;"|"&amp;$B1286)</f>
        <v/>
      </c>
      <c r="P1286" s="3"/>
      <c r="Q1286" s="3"/>
      <c r="R1286" s="3"/>
      <c r="S1286" s="3"/>
      <c r="T1286" s="3"/>
      <c r="U1286" s="3"/>
      <c r="V1286" s="3"/>
      <c r="W1286" s="3"/>
      <c r="X1286" s="3"/>
      <c r="Y1286" s="3"/>
      <c r="Z1286" s="3"/>
      <c r="AA1286" s="3"/>
      <c r="AB1286" s="3"/>
    </row>
    <row r="1287" customFormat="false" ht="15" hidden="false" customHeight="false" outlineLevel="0" collapsed="false">
      <c r="A1287" s="54"/>
      <c r="B1287" s="52"/>
      <c r="C1287" s="56"/>
      <c r="D1287" s="56"/>
      <c r="E1287" s="56"/>
      <c r="F1287" s="56"/>
      <c r="G1287" s="55"/>
      <c r="H1287" s="56"/>
      <c r="I1287" s="56"/>
      <c r="J1287" s="56"/>
      <c r="K1287" s="56"/>
      <c r="L1287" s="56"/>
      <c r="M1287" s="52"/>
      <c r="N1287" s="53"/>
      <c r="O1287" s="62" t="str">
        <f aca="false">IF($B1287="","",TEXT($A1287,"YYYY-MM-DD")&amp;"|"&amp;$B1287)</f>
        <v/>
      </c>
      <c r="P1287" s="3"/>
      <c r="Q1287" s="3"/>
      <c r="R1287" s="3"/>
      <c r="S1287" s="3"/>
      <c r="T1287" s="3"/>
      <c r="U1287" s="3"/>
      <c r="V1287" s="3"/>
      <c r="W1287" s="3"/>
      <c r="X1287" s="3"/>
      <c r="Y1287" s="3"/>
      <c r="Z1287" s="3"/>
      <c r="AA1287" s="3"/>
      <c r="AB1287" s="3"/>
    </row>
    <row r="1288" customFormat="false" ht="15" hidden="false" customHeight="false" outlineLevel="0" collapsed="false">
      <c r="A1288" s="48"/>
      <c r="B1288" s="46"/>
      <c r="C1288" s="50"/>
      <c r="D1288" s="50"/>
      <c r="E1288" s="50"/>
      <c r="F1288" s="50"/>
      <c r="G1288" s="49"/>
      <c r="H1288" s="50"/>
      <c r="I1288" s="50"/>
      <c r="J1288" s="50"/>
      <c r="K1288" s="50"/>
      <c r="L1288" s="50"/>
      <c r="M1288" s="46"/>
      <c r="N1288" s="47"/>
      <c r="O1288" s="62" t="str">
        <f aca="false">IF($B1288="","",TEXT($A1288,"YYYY-MM-DD")&amp;"|"&amp;$B1288)</f>
        <v/>
      </c>
      <c r="P1288" s="3"/>
      <c r="Q1288" s="3"/>
      <c r="R1288" s="3"/>
      <c r="S1288" s="3"/>
      <c r="T1288" s="3"/>
      <c r="U1288" s="3"/>
      <c r="V1288" s="3"/>
      <c r="W1288" s="3"/>
      <c r="X1288" s="3"/>
      <c r="Y1288" s="3"/>
      <c r="Z1288" s="3"/>
      <c r="AA1288" s="3"/>
      <c r="AB1288" s="3"/>
    </row>
    <row r="1289" customFormat="false" ht="15" hidden="false" customHeight="false" outlineLevel="0" collapsed="false">
      <c r="A1289" s="54"/>
      <c r="B1289" s="52"/>
      <c r="C1289" s="56"/>
      <c r="D1289" s="56"/>
      <c r="E1289" s="56"/>
      <c r="F1289" s="56"/>
      <c r="G1289" s="55"/>
      <c r="H1289" s="56"/>
      <c r="I1289" s="56"/>
      <c r="J1289" s="56"/>
      <c r="K1289" s="56"/>
      <c r="L1289" s="56"/>
      <c r="M1289" s="52"/>
      <c r="N1289" s="53"/>
      <c r="O1289" s="62" t="str">
        <f aca="false">IF($B1289="","",TEXT($A1289,"YYYY-MM-DD")&amp;"|"&amp;$B1289)</f>
        <v/>
      </c>
      <c r="P1289" s="3"/>
      <c r="Q1289" s="3"/>
      <c r="R1289" s="3"/>
      <c r="S1289" s="3"/>
      <c r="T1289" s="3"/>
      <c r="U1289" s="3"/>
      <c r="V1289" s="3"/>
      <c r="W1289" s="3"/>
      <c r="X1289" s="3"/>
      <c r="Y1289" s="3"/>
      <c r="Z1289" s="3"/>
      <c r="AA1289" s="3"/>
      <c r="AB1289" s="3"/>
    </row>
    <row r="1290" customFormat="false" ht="15" hidden="false" customHeight="false" outlineLevel="0" collapsed="false">
      <c r="A1290" s="48"/>
      <c r="B1290" s="46"/>
      <c r="C1290" s="50"/>
      <c r="D1290" s="50"/>
      <c r="E1290" s="50"/>
      <c r="F1290" s="50"/>
      <c r="G1290" s="49"/>
      <c r="H1290" s="50"/>
      <c r="I1290" s="50"/>
      <c r="J1290" s="50"/>
      <c r="K1290" s="50"/>
      <c r="L1290" s="50"/>
      <c r="M1290" s="46"/>
      <c r="N1290" s="47"/>
      <c r="O1290" s="62" t="str">
        <f aca="false">IF($B1290="","",TEXT($A1290,"YYYY-MM-DD")&amp;"|"&amp;$B1290)</f>
        <v/>
      </c>
      <c r="P1290" s="3"/>
      <c r="Q1290" s="3"/>
      <c r="R1290" s="3"/>
      <c r="S1290" s="3"/>
      <c r="T1290" s="3"/>
      <c r="U1290" s="3"/>
      <c r="V1290" s="3"/>
      <c r="W1290" s="3"/>
      <c r="X1290" s="3"/>
      <c r="Y1290" s="3"/>
      <c r="Z1290" s="3"/>
      <c r="AA1290" s="3"/>
      <c r="AB1290" s="3"/>
    </row>
    <row r="1291" customFormat="false" ht="15" hidden="false" customHeight="false" outlineLevel="0" collapsed="false">
      <c r="A1291" s="54"/>
      <c r="B1291" s="52"/>
      <c r="C1291" s="56"/>
      <c r="D1291" s="56"/>
      <c r="E1291" s="56"/>
      <c r="F1291" s="56"/>
      <c r="G1291" s="55"/>
      <c r="H1291" s="56"/>
      <c r="I1291" s="56"/>
      <c r="J1291" s="56"/>
      <c r="K1291" s="56"/>
      <c r="L1291" s="56"/>
      <c r="M1291" s="52"/>
      <c r="N1291" s="53"/>
      <c r="O1291" s="62" t="str">
        <f aca="false">IF($B1291="","",TEXT($A1291,"YYYY-MM-DD")&amp;"|"&amp;$B1291)</f>
        <v/>
      </c>
      <c r="P1291" s="3"/>
      <c r="Q1291" s="3"/>
      <c r="R1291" s="3"/>
      <c r="S1291" s="3"/>
      <c r="T1291" s="3"/>
      <c r="U1291" s="3"/>
      <c r="V1291" s="3"/>
      <c r="W1291" s="3"/>
      <c r="X1291" s="3"/>
      <c r="Y1291" s="3"/>
      <c r="Z1291" s="3"/>
      <c r="AA1291" s="3"/>
      <c r="AB1291" s="3"/>
    </row>
    <row r="1292" customFormat="false" ht="15" hidden="false" customHeight="false" outlineLevel="0" collapsed="false">
      <c r="A1292" s="48"/>
      <c r="B1292" s="46"/>
      <c r="C1292" s="50"/>
      <c r="D1292" s="50"/>
      <c r="E1292" s="50"/>
      <c r="F1292" s="50"/>
      <c r="G1292" s="49"/>
      <c r="H1292" s="50"/>
      <c r="I1292" s="50"/>
      <c r="J1292" s="50"/>
      <c r="K1292" s="50"/>
      <c r="L1292" s="50"/>
      <c r="M1292" s="46"/>
      <c r="N1292" s="47"/>
      <c r="O1292" s="62" t="str">
        <f aca="false">IF($B1292="","",TEXT($A1292,"YYYY-MM-DD")&amp;"|"&amp;$B1292)</f>
        <v/>
      </c>
      <c r="P1292" s="3"/>
      <c r="Q1292" s="3"/>
      <c r="R1292" s="3"/>
      <c r="S1292" s="3"/>
      <c r="T1292" s="3"/>
      <c r="U1292" s="3"/>
      <c r="V1292" s="3"/>
      <c r="W1292" s="3"/>
      <c r="X1292" s="3"/>
      <c r="Y1292" s="3"/>
      <c r="Z1292" s="3"/>
      <c r="AA1292" s="3"/>
      <c r="AB1292" s="3"/>
    </row>
    <row r="1293" customFormat="false" ht="15" hidden="false" customHeight="false" outlineLevel="0" collapsed="false">
      <c r="A1293" s="54"/>
      <c r="B1293" s="52"/>
      <c r="C1293" s="56"/>
      <c r="D1293" s="56"/>
      <c r="E1293" s="56"/>
      <c r="F1293" s="56"/>
      <c r="G1293" s="55"/>
      <c r="H1293" s="56"/>
      <c r="I1293" s="56"/>
      <c r="J1293" s="56"/>
      <c r="K1293" s="56"/>
      <c r="L1293" s="56"/>
      <c r="M1293" s="52"/>
      <c r="N1293" s="53"/>
      <c r="O1293" s="62" t="str">
        <f aca="false">IF($B1293="","",TEXT($A1293,"YYYY-MM-DD")&amp;"|"&amp;$B1293)</f>
        <v/>
      </c>
      <c r="P1293" s="3"/>
      <c r="Q1293" s="3"/>
      <c r="R1293" s="3"/>
      <c r="S1293" s="3"/>
      <c r="T1293" s="3"/>
      <c r="U1293" s="3"/>
      <c r="V1293" s="3"/>
      <c r="W1293" s="3"/>
      <c r="X1293" s="3"/>
      <c r="Y1293" s="3"/>
      <c r="Z1293" s="3"/>
      <c r="AA1293" s="3"/>
      <c r="AB1293" s="3"/>
    </row>
    <row r="1294" customFormat="false" ht="15" hidden="false" customHeight="false" outlineLevel="0" collapsed="false">
      <c r="A1294" s="48"/>
      <c r="B1294" s="46"/>
      <c r="C1294" s="50"/>
      <c r="D1294" s="50"/>
      <c r="E1294" s="50"/>
      <c r="F1294" s="50"/>
      <c r="G1294" s="49"/>
      <c r="H1294" s="50"/>
      <c r="I1294" s="50"/>
      <c r="J1294" s="50"/>
      <c r="K1294" s="50"/>
      <c r="L1294" s="50"/>
      <c r="M1294" s="46"/>
      <c r="N1294" s="47"/>
      <c r="O1294" s="62" t="str">
        <f aca="false">IF($B1294="","",TEXT($A1294,"YYYY-MM-DD")&amp;"|"&amp;$B1294)</f>
        <v/>
      </c>
      <c r="P1294" s="3"/>
      <c r="Q1294" s="3"/>
      <c r="R1294" s="3"/>
      <c r="S1294" s="3"/>
      <c r="T1294" s="3"/>
      <c r="U1294" s="3"/>
      <c r="V1294" s="3"/>
      <c r="W1294" s="3"/>
      <c r="X1294" s="3"/>
      <c r="Y1294" s="3"/>
      <c r="Z1294" s="3"/>
      <c r="AA1294" s="3"/>
      <c r="AB1294" s="3"/>
    </row>
    <row r="1295" customFormat="false" ht="15" hidden="false" customHeight="false" outlineLevel="0" collapsed="false">
      <c r="A1295" s="54"/>
      <c r="B1295" s="52"/>
      <c r="C1295" s="56"/>
      <c r="D1295" s="56"/>
      <c r="E1295" s="56"/>
      <c r="F1295" s="56"/>
      <c r="G1295" s="55"/>
      <c r="H1295" s="56"/>
      <c r="I1295" s="56"/>
      <c r="J1295" s="56"/>
      <c r="K1295" s="56"/>
      <c r="L1295" s="56"/>
      <c r="M1295" s="52"/>
      <c r="N1295" s="53"/>
      <c r="O1295" s="62" t="str">
        <f aca="false">IF($B1295="","",TEXT($A1295,"YYYY-MM-DD")&amp;"|"&amp;$B1295)</f>
        <v/>
      </c>
      <c r="P1295" s="3"/>
      <c r="Q1295" s="3"/>
      <c r="R1295" s="3"/>
      <c r="S1295" s="3"/>
      <c r="T1295" s="3"/>
      <c r="U1295" s="3"/>
      <c r="V1295" s="3"/>
      <c r="W1295" s="3"/>
      <c r="X1295" s="3"/>
      <c r="Y1295" s="3"/>
      <c r="Z1295" s="3"/>
      <c r="AA1295" s="3"/>
      <c r="AB1295" s="3"/>
    </row>
    <row r="1296" customFormat="false" ht="15" hidden="false" customHeight="false" outlineLevel="0" collapsed="false">
      <c r="A1296" s="48"/>
      <c r="B1296" s="46"/>
      <c r="C1296" s="50"/>
      <c r="D1296" s="50"/>
      <c r="E1296" s="50"/>
      <c r="F1296" s="50"/>
      <c r="G1296" s="49"/>
      <c r="H1296" s="50"/>
      <c r="I1296" s="50"/>
      <c r="J1296" s="50"/>
      <c r="K1296" s="50"/>
      <c r="L1296" s="50"/>
      <c r="M1296" s="46"/>
      <c r="N1296" s="47"/>
      <c r="O1296" s="62" t="str">
        <f aca="false">IF($B1296="","",TEXT($A1296,"YYYY-MM-DD")&amp;"|"&amp;$B1296)</f>
        <v/>
      </c>
      <c r="P1296" s="3"/>
      <c r="Q1296" s="3"/>
      <c r="R1296" s="3"/>
      <c r="S1296" s="3"/>
      <c r="T1296" s="3"/>
      <c r="U1296" s="3"/>
      <c r="V1296" s="3"/>
      <c r="W1296" s="3"/>
      <c r="X1296" s="3"/>
      <c r="Y1296" s="3"/>
      <c r="Z1296" s="3"/>
      <c r="AA1296" s="3"/>
      <c r="AB1296" s="3"/>
    </row>
    <row r="1297" customFormat="false" ht="15" hidden="false" customHeight="false" outlineLevel="0" collapsed="false">
      <c r="A1297" s="54"/>
      <c r="B1297" s="52"/>
      <c r="C1297" s="56"/>
      <c r="D1297" s="56"/>
      <c r="E1297" s="56"/>
      <c r="F1297" s="56"/>
      <c r="G1297" s="55"/>
      <c r="H1297" s="56"/>
      <c r="I1297" s="56"/>
      <c r="J1297" s="56"/>
      <c r="K1297" s="56"/>
      <c r="L1297" s="56"/>
      <c r="M1297" s="52"/>
      <c r="N1297" s="53"/>
      <c r="O1297" s="62" t="str">
        <f aca="false">IF($B1297="","",TEXT($A1297,"YYYY-MM-DD")&amp;"|"&amp;$B1297)</f>
        <v/>
      </c>
      <c r="P1297" s="3"/>
      <c r="Q1297" s="3"/>
      <c r="R1297" s="3"/>
      <c r="S1297" s="3"/>
      <c r="T1297" s="3"/>
      <c r="U1297" s="3"/>
      <c r="V1297" s="3"/>
      <c r="W1297" s="3"/>
      <c r="X1297" s="3"/>
      <c r="Y1297" s="3"/>
      <c r="Z1297" s="3"/>
      <c r="AA1297" s="3"/>
      <c r="AB1297" s="3"/>
    </row>
    <row r="1298" customFormat="false" ht="15" hidden="false" customHeight="false" outlineLevel="0" collapsed="false">
      <c r="A1298" s="48"/>
      <c r="B1298" s="46"/>
      <c r="C1298" s="50"/>
      <c r="D1298" s="50"/>
      <c r="E1298" s="50"/>
      <c r="F1298" s="50"/>
      <c r="G1298" s="49"/>
      <c r="H1298" s="50"/>
      <c r="I1298" s="50"/>
      <c r="J1298" s="50"/>
      <c r="K1298" s="50"/>
      <c r="L1298" s="50"/>
      <c r="M1298" s="46"/>
      <c r="N1298" s="47"/>
      <c r="O1298" s="62" t="str">
        <f aca="false">IF($B1298="","",TEXT($A1298,"YYYY-MM-DD")&amp;"|"&amp;$B1298)</f>
        <v/>
      </c>
      <c r="P1298" s="3"/>
      <c r="Q1298" s="3"/>
      <c r="R1298" s="3"/>
      <c r="S1298" s="3"/>
      <c r="T1298" s="3"/>
      <c r="U1298" s="3"/>
      <c r="V1298" s="3"/>
      <c r="W1298" s="3"/>
      <c r="X1298" s="3"/>
      <c r="Y1298" s="3"/>
      <c r="Z1298" s="3"/>
      <c r="AA1298" s="3"/>
      <c r="AB1298" s="3"/>
    </row>
    <row r="1299" customFormat="false" ht="15" hidden="false" customHeight="false" outlineLevel="0" collapsed="false">
      <c r="A1299" s="54"/>
      <c r="B1299" s="52"/>
      <c r="C1299" s="56"/>
      <c r="D1299" s="56"/>
      <c r="E1299" s="56"/>
      <c r="F1299" s="56"/>
      <c r="G1299" s="55"/>
      <c r="H1299" s="56"/>
      <c r="I1299" s="56"/>
      <c r="J1299" s="56"/>
      <c r="K1299" s="56"/>
      <c r="L1299" s="56"/>
      <c r="M1299" s="52"/>
      <c r="N1299" s="53"/>
      <c r="O1299" s="62" t="str">
        <f aca="false">IF($B1299="","",TEXT($A1299,"YYYY-MM-DD")&amp;"|"&amp;$B1299)</f>
        <v/>
      </c>
      <c r="P1299" s="3"/>
      <c r="Q1299" s="3"/>
      <c r="R1299" s="3"/>
      <c r="S1299" s="3"/>
      <c r="T1299" s="3"/>
      <c r="U1299" s="3"/>
      <c r="V1299" s="3"/>
      <c r="W1299" s="3"/>
      <c r="X1299" s="3"/>
      <c r="Y1299" s="3"/>
      <c r="Z1299" s="3"/>
      <c r="AA1299" s="3"/>
      <c r="AB1299" s="3"/>
    </row>
    <row r="1300" customFormat="false" ht="15" hidden="false" customHeight="false" outlineLevel="0" collapsed="false">
      <c r="A1300" s="48"/>
      <c r="B1300" s="46"/>
      <c r="C1300" s="50"/>
      <c r="D1300" s="50"/>
      <c r="E1300" s="50"/>
      <c r="F1300" s="50"/>
      <c r="G1300" s="49"/>
      <c r="H1300" s="50"/>
      <c r="I1300" s="50"/>
      <c r="J1300" s="50"/>
      <c r="K1300" s="50"/>
      <c r="L1300" s="50"/>
      <c r="M1300" s="46"/>
      <c r="N1300" s="47"/>
      <c r="O1300" s="62" t="str">
        <f aca="false">IF($B1300="","",TEXT($A1300,"YYYY-MM-DD")&amp;"|"&amp;$B1300)</f>
        <v/>
      </c>
      <c r="P1300" s="3"/>
      <c r="Q1300" s="3"/>
      <c r="R1300" s="3"/>
      <c r="S1300" s="3"/>
      <c r="T1300" s="3"/>
      <c r="U1300" s="3"/>
      <c r="V1300" s="3"/>
      <c r="W1300" s="3"/>
      <c r="X1300" s="3"/>
      <c r="Y1300" s="3"/>
      <c r="Z1300" s="3"/>
      <c r="AA1300" s="3"/>
      <c r="AB1300" s="3"/>
    </row>
    <row r="1301" customFormat="false" ht="15" hidden="false" customHeight="false" outlineLevel="0" collapsed="false">
      <c r="A1301" s="54"/>
      <c r="B1301" s="52"/>
      <c r="C1301" s="56"/>
      <c r="D1301" s="56"/>
      <c r="E1301" s="56"/>
      <c r="F1301" s="56"/>
      <c r="G1301" s="55"/>
      <c r="H1301" s="56"/>
      <c r="I1301" s="56"/>
      <c r="J1301" s="56"/>
      <c r="K1301" s="56"/>
      <c r="L1301" s="56"/>
      <c r="M1301" s="52"/>
      <c r="N1301" s="53"/>
      <c r="O1301" s="62" t="str">
        <f aca="false">IF($B1301="","",TEXT($A1301,"YYYY-MM-DD")&amp;"|"&amp;$B1301)</f>
        <v/>
      </c>
      <c r="P1301" s="3"/>
      <c r="Q1301" s="3"/>
      <c r="R1301" s="3"/>
      <c r="S1301" s="3"/>
      <c r="T1301" s="3"/>
      <c r="U1301" s="3"/>
      <c r="V1301" s="3"/>
      <c r="W1301" s="3"/>
      <c r="X1301" s="3"/>
      <c r="Y1301" s="3"/>
      <c r="Z1301" s="3"/>
      <c r="AA1301" s="3"/>
      <c r="AB1301" s="3"/>
    </row>
    <row r="1302" customFormat="false" ht="15" hidden="false" customHeight="false" outlineLevel="0" collapsed="false">
      <c r="A1302" s="48"/>
      <c r="B1302" s="46"/>
      <c r="C1302" s="50"/>
      <c r="D1302" s="50"/>
      <c r="E1302" s="50"/>
      <c r="F1302" s="50"/>
      <c r="G1302" s="49"/>
      <c r="H1302" s="50"/>
      <c r="I1302" s="50"/>
      <c r="J1302" s="50"/>
      <c r="K1302" s="50"/>
      <c r="L1302" s="50"/>
      <c r="M1302" s="46"/>
      <c r="N1302" s="47"/>
      <c r="O1302" s="62" t="str">
        <f aca="false">IF($B1302="","",TEXT($A1302,"YYYY-MM-DD")&amp;"|"&amp;$B1302)</f>
        <v/>
      </c>
      <c r="P1302" s="3"/>
      <c r="Q1302" s="3"/>
      <c r="R1302" s="3"/>
      <c r="S1302" s="3"/>
      <c r="T1302" s="3"/>
      <c r="U1302" s="3"/>
      <c r="V1302" s="3"/>
      <c r="W1302" s="3"/>
      <c r="X1302" s="3"/>
      <c r="Y1302" s="3"/>
      <c r="Z1302" s="3"/>
      <c r="AA1302" s="3"/>
      <c r="AB1302" s="3"/>
    </row>
    <row r="1303" customFormat="false" ht="15" hidden="false" customHeight="false" outlineLevel="0" collapsed="false">
      <c r="A1303" s="54"/>
      <c r="B1303" s="52"/>
      <c r="C1303" s="56"/>
      <c r="D1303" s="56"/>
      <c r="E1303" s="56"/>
      <c r="F1303" s="56"/>
      <c r="G1303" s="55"/>
      <c r="H1303" s="56"/>
      <c r="I1303" s="56"/>
      <c r="J1303" s="56"/>
      <c r="K1303" s="56"/>
      <c r="L1303" s="56"/>
      <c r="M1303" s="52"/>
      <c r="N1303" s="53"/>
      <c r="O1303" s="62" t="str">
        <f aca="false">IF($B1303="","",TEXT($A1303,"YYYY-MM-DD")&amp;"|"&amp;$B1303)</f>
        <v/>
      </c>
      <c r="P1303" s="3"/>
      <c r="Q1303" s="3"/>
      <c r="R1303" s="3"/>
      <c r="S1303" s="3"/>
      <c r="T1303" s="3"/>
      <c r="U1303" s="3"/>
      <c r="V1303" s="3"/>
      <c r="W1303" s="3"/>
      <c r="X1303" s="3"/>
      <c r="Y1303" s="3"/>
      <c r="Z1303" s="3"/>
      <c r="AA1303" s="3"/>
      <c r="AB1303" s="3"/>
    </row>
    <row r="1304" customFormat="false" ht="15" hidden="false" customHeight="false" outlineLevel="0" collapsed="false">
      <c r="A1304" s="48"/>
      <c r="B1304" s="46"/>
      <c r="C1304" s="50"/>
      <c r="D1304" s="50"/>
      <c r="E1304" s="50"/>
      <c r="F1304" s="50"/>
      <c r="G1304" s="49"/>
      <c r="H1304" s="50"/>
      <c r="I1304" s="50"/>
      <c r="J1304" s="50"/>
      <c r="K1304" s="50"/>
      <c r="L1304" s="50"/>
      <c r="M1304" s="46"/>
      <c r="N1304" s="47"/>
      <c r="O1304" s="62" t="str">
        <f aca="false">IF($B1304="","",TEXT($A1304,"YYYY-MM-DD")&amp;"|"&amp;$B1304)</f>
        <v/>
      </c>
      <c r="P1304" s="3"/>
      <c r="Q1304" s="3"/>
      <c r="R1304" s="3"/>
      <c r="S1304" s="3"/>
      <c r="T1304" s="3"/>
      <c r="U1304" s="3"/>
      <c r="V1304" s="3"/>
      <c r="W1304" s="3"/>
      <c r="X1304" s="3"/>
      <c r="Y1304" s="3"/>
      <c r="Z1304" s="3"/>
      <c r="AA1304" s="3"/>
      <c r="AB1304" s="3"/>
    </row>
    <row r="1305" customFormat="false" ht="15" hidden="false" customHeight="false" outlineLevel="0" collapsed="false">
      <c r="A1305" s="54"/>
      <c r="B1305" s="52"/>
      <c r="C1305" s="56"/>
      <c r="D1305" s="56"/>
      <c r="E1305" s="56"/>
      <c r="F1305" s="56"/>
      <c r="G1305" s="55"/>
      <c r="H1305" s="56"/>
      <c r="I1305" s="56"/>
      <c r="J1305" s="56"/>
      <c r="K1305" s="56"/>
      <c r="L1305" s="56"/>
      <c r="M1305" s="52"/>
      <c r="N1305" s="53"/>
      <c r="O1305" s="62" t="str">
        <f aca="false">IF($B1305="","",TEXT($A1305,"YYYY-MM-DD")&amp;"|"&amp;$B1305)</f>
        <v/>
      </c>
      <c r="P1305" s="3"/>
      <c r="Q1305" s="3"/>
      <c r="R1305" s="3"/>
      <c r="S1305" s="3"/>
      <c r="T1305" s="3"/>
      <c r="U1305" s="3"/>
      <c r="V1305" s="3"/>
      <c r="W1305" s="3"/>
      <c r="X1305" s="3"/>
      <c r="Y1305" s="3"/>
      <c r="Z1305" s="3"/>
      <c r="AA1305" s="3"/>
      <c r="AB1305" s="3"/>
    </row>
    <row r="1306" customFormat="false" ht="15" hidden="false" customHeight="false" outlineLevel="0" collapsed="false">
      <c r="A1306" s="48"/>
      <c r="B1306" s="46"/>
      <c r="C1306" s="50"/>
      <c r="D1306" s="50"/>
      <c r="E1306" s="50"/>
      <c r="F1306" s="50"/>
      <c r="G1306" s="49"/>
      <c r="H1306" s="50"/>
      <c r="I1306" s="50"/>
      <c r="J1306" s="50"/>
      <c r="K1306" s="50"/>
      <c r="L1306" s="50"/>
      <c r="M1306" s="46"/>
      <c r="N1306" s="47"/>
      <c r="O1306" s="62" t="str">
        <f aca="false">IF($B1306="","",TEXT($A1306,"YYYY-MM-DD")&amp;"|"&amp;$B1306)</f>
        <v/>
      </c>
      <c r="P1306" s="3"/>
      <c r="Q1306" s="3"/>
      <c r="R1306" s="3"/>
      <c r="S1306" s="3"/>
      <c r="T1306" s="3"/>
      <c r="U1306" s="3"/>
      <c r="V1306" s="3"/>
      <c r="W1306" s="3"/>
      <c r="X1306" s="3"/>
      <c r="Y1306" s="3"/>
      <c r="Z1306" s="3"/>
      <c r="AA1306" s="3"/>
      <c r="AB1306" s="3"/>
    </row>
    <row r="1307" customFormat="false" ht="15" hidden="false" customHeight="false" outlineLevel="0" collapsed="false">
      <c r="A1307" s="54"/>
      <c r="B1307" s="52"/>
      <c r="C1307" s="56"/>
      <c r="D1307" s="56"/>
      <c r="E1307" s="56"/>
      <c r="F1307" s="56"/>
      <c r="G1307" s="55"/>
      <c r="H1307" s="56"/>
      <c r="I1307" s="56"/>
      <c r="J1307" s="56"/>
      <c r="K1307" s="56"/>
      <c r="L1307" s="56"/>
      <c r="M1307" s="52"/>
      <c r="N1307" s="53"/>
      <c r="O1307" s="62" t="str">
        <f aca="false">IF($B1307="","",TEXT($A1307,"YYYY-MM-DD")&amp;"|"&amp;$B1307)</f>
        <v/>
      </c>
      <c r="P1307" s="3"/>
      <c r="Q1307" s="3"/>
      <c r="R1307" s="3"/>
      <c r="S1307" s="3"/>
      <c r="T1307" s="3"/>
      <c r="U1307" s="3"/>
      <c r="V1307" s="3"/>
      <c r="W1307" s="3"/>
      <c r="X1307" s="3"/>
      <c r="Y1307" s="3"/>
      <c r="Z1307" s="3"/>
      <c r="AA1307" s="3"/>
      <c r="AB1307" s="3"/>
    </row>
    <row r="1308" customFormat="false" ht="15" hidden="false" customHeight="false" outlineLevel="0" collapsed="false">
      <c r="A1308" s="48"/>
      <c r="B1308" s="46"/>
      <c r="C1308" s="50"/>
      <c r="D1308" s="50"/>
      <c r="E1308" s="50"/>
      <c r="F1308" s="50"/>
      <c r="G1308" s="49"/>
      <c r="H1308" s="50"/>
      <c r="I1308" s="50"/>
      <c r="J1308" s="50"/>
      <c r="K1308" s="50"/>
      <c r="L1308" s="50"/>
      <c r="M1308" s="46"/>
      <c r="N1308" s="47"/>
      <c r="O1308" s="62" t="str">
        <f aca="false">IF($B1308="","",TEXT($A1308,"YYYY-MM-DD")&amp;"|"&amp;$B1308)</f>
        <v/>
      </c>
      <c r="P1308" s="3"/>
      <c r="Q1308" s="3"/>
      <c r="R1308" s="3"/>
      <c r="S1308" s="3"/>
      <c r="T1308" s="3"/>
      <c r="U1308" s="3"/>
      <c r="V1308" s="3"/>
      <c r="W1308" s="3"/>
      <c r="X1308" s="3"/>
      <c r="Y1308" s="3"/>
      <c r="Z1308" s="3"/>
      <c r="AA1308" s="3"/>
      <c r="AB1308" s="3"/>
    </row>
    <row r="1309" customFormat="false" ht="15" hidden="false" customHeight="false" outlineLevel="0" collapsed="false">
      <c r="A1309" s="54"/>
      <c r="B1309" s="52"/>
      <c r="C1309" s="56"/>
      <c r="D1309" s="56"/>
      <c r="E1309" s="56"/>
      <c r="F1309" s="56"/>
      <c r="G1309" s="55"/>
      <c r="H1309" s="56"/>
      <c r="I1309" s="56"/>
      <c r="J1309" s="56"/>
      <c r="K1309" s="56"/>
      <c r="L1309" s="56"/>
      <c r="M1309" s="52"/>
      <c r="N1309" s="53"/>
      <c r="O1309" s="62" t="str">
        <f aca="false">IF($B1309="","",TEXT($A1309,"YYYY-MM-DD")&amp;"|"&amp;$B1309)</f>
        <v/>
      </c>
      <c r="P1309" s="3"/>
      <c r="Q1309" s="3"/>
      <c r="R1309" s="3"/>
      <c r="S1309" s="3"/>
      <c r="T1309" s="3"/>
      <c r="U1309" s="3"/>
      <c r="V1309" s="3"/>
      <c r="W1309" s="3"/>
      <c r="X1309" s="3"/>
      <c r="Y1309" s="3"/>
      <c r="Z1309" s="3"/>
      <c r="AA1309" s="3"/>
      <c r="AB1309" s="3"/>
    </row>
    <row r="1310" customFormat="false" ht="15" hidden="false" customHeight="false" outlineLevel="0" collapsed="false">
      <c r="A1310" s="48"/>
      <c r="B1310" s="46"/>
      <c r="C1310" s="50"/>
      <c r="D1310" s="50"/>
      <c r="E1310" s="50"/>
      <c r="F1310" s="50"/>
      <c r="G1310" s="49"/>
      <c r="H1310" s="50"/>
      <c r="I1310" s="50"/>
      <c r="J1310" s="50"/>
      <c r="K1310" s="50"/>
      <c r="L1310" s="50"/>
      <c r="M1310" s="46"/>
      <c r="N1310" s="47"/>
      <c r="O1310" s="62" t="str">
        <f aca="false">IF($B1310="","",TEXT($A1310,"YYYY-MM-DD")&amp;"|"&amp;$B1310)</f>
        <v/>
      </c>
      <c r="P1310" s="3"/>
      <c r="Q1310" s="3"/>
      <c r="R1310" s="3"/>
      <c r="S1310" s="3"/>
      <c r="T1310" s="3"/>
      <c r="U1310" s="3"/>
      <c r="V1310" s="3"/>
      <c r="W1310" s="3"/>
      <c r="X1310" s="3"/>
      <c r="Y1310" s="3"/>
      <c r="Z1310" s="3"/>
      <c r="AA1310" s="3"/>
      <c r="AB1310" s="3"/>
    </row>
    <row r="1311" customFormat="false" ht="15" hidden="false" customHeight="false" outlineLevel="0" collapsed="false">
      <c r="A1311" s="54"/>
      <c r="B1311" s="52"/>
      <c r="C1311" s="56"/>
      <c r="D1311" s="56"/>
      <c r="E1311" s="56"/>
      <c r="F1311" s="56"/>
      <c r="G1311" s="55"/>
      <c r="H1311" s="56"/>
      <c r="I1311" s="56"/>
      <c r="J1311" s="56"/>
      <c r="K1311" s="56"/>
      <c r="L1311" s="56"/>
      <c r="M1311" s="52"/>
      <c r="N1311" s="53"/>
      <c r="O1311" s="62" t="str">
        <f aca="false">IF($B1311="","",TEXT($A1311,"YYYY-MM-DD")&amp;"|"&amp;$B1311)</f>
        <v/>
      </c>
      <c r="P1311" s="3"/>
      <c r="Q1311" s="3"/>
      <c r="R1311" s="3"/>
      <c r="S1311" s="3"/>
      <c r="T1311" s="3"/>
      <c r="U1311" s="3"/>
      <c r="V1311" s="3"/>
      <c r="W1311" s="3"/>
      <c r="X1311" s="3"/>
      <c r="Y1311" s="3"/>
      <c r="Z1311" s="3"/>
      <c r="AA1311" s="3"/>
      <c r="AB1311" s="3"/>
    </row>
    <row r="1312" customFormat="false" ht="15" hidden="false" customHeight="false" outlineLevel="0" collapsed="false">
      <c r="A1312" s="48"/>
      <c r="B1312" s="46"/>
      <c r="C1312" s="50"/>
      <c r="D1312" s="50"/>
      <c r="E1312" s="50"/>
      <c r="F1312" s="50"/>
      <c r="G1312" s="49"/>
      <c r="H1312" s="50"/>
      <c r="I1312" s="50"/>
      <c r="J1312" s="50"/>
      <c r="K1312" s="50"/>
      <c r="L1312" s="50"/>
      <c r="M1312" s="46"/>
      <c r="N1312" s="47"/>
      <c r="O1312" s="62" t="str">
        <f aca="false">IF($B1312="","",TEXT($A1312,"YYYY-MM-DD")&amp;"|"&amp;$B1312)</f>
        <v/>
      </c>
      <c r="P1312" s="3"/>
      <c r="Q1312" s="3"/>
      <c r="R1312" s="3"/>
      <c r="S1312" s="3"/>
      <c r="T1312" s="3"/>
      <c r="U1312" s="3"/>
      <c r="V1312" s="3"/>
      <c r="W1312" s="3"/>
      <c r="X1312" s="3"/>
      <c r="Y1312" s="3"/>
      <c r="Z1312" s="3"/>
      <c r="AA1312" s="3"/>
      <c r="AB1312" s="3"/>
    </row>
    <row r="1313" customFormat="false" ht="15" hidden="false" customHeight="false" outlineLevel="0" collapsed="false">
      <c r="A1313" s="54"/>
      <c r="B1313" s="52"/>
      <c r="C1313" s="56"/>
      <c r="D1313" s="56"/>
      <c r="E1313" s="56"/>
      <c r="F1313" s="56"/>
      <c r="G1313" s="55"/>
      <c r="H1313" s="56"/>
      <c r="I1313" s="56"/>
      <c r="J1313" s="56"/>
      <c r="K1313" s="56"/>
      <c r="L1313" s="56"/>
      <c r="M1313" s="52"/>
      <c r="N1313" s="53"/>
      <c r="O1313" s="62" t="str">
        <f aca="false">IF($B1313="","",TEXT($A1313,"YYYY-MM-DD")&amp;"|"&amp;$B1313)</f>
        <v/>
      </c>
      <c r="P1313" s="3"/>
      <c r="Q1313" s="3"/>
      <c r="R1313" s="3"/>
      <c r="S1313" s="3"/>
      <c r="T1313" s="3"/>
      <c r="U1313" s="3"/>
      <c r="V1313" s="3"/>
      <c r="W1313" s="3"/>
      <c r="X1313" s="3"/>
      <c r="Y1313" s="3"/>
      <c r="Z1313" s="3"/>
      <c r="AA1313" s="3"/>
      <c r="AB1313" s="3"/>
    </row>
    <row r="1314" customFormat="false" ht="15" hidden="false" customHeight="false" outlineLevel="0" collapsed="false">
      <c r="A1314" s="48"/>
      <c r="B1314" s="46"/>
      <c r="C1314" s="50"/>
      <c r="D1314" s="50"/>
      <c r="E1314" s="50"/>
      <c r="F1314" s="50"/>
      <c r="G1314" s="49"/>
      <c r="H1314" s="50"/>
      <c r="I1314" s="50"/>
      <c r="J1314" s="50"/>
      <c r="K1314" s="50"/>
      <c r="L1314" s="50"/>
      <c r="M1314" s="46"/>
      <c r="N1314" s="47"/>
      <c r="O1314" s="62" t="str">
        <f aca="false">IF($B1314="","",TEXT($A1314,"YYYY-MM-DD")&amp;"|"&amp;$B1314)</f>
        <v/>
      </c>
      <c r="P1314" s="3"/>
      <c r="Q1314" s="3"/>
      <c r="R1314" s="3"/>
      <c r="S1314" s="3"/>
      <c r="T1314" s="3"/>
      <c r="U1314" s="3"/>
      <c r="V1314" s="3"/>
      <c r="W1314" s="3"/>
      <c r="X1314" s="3"/>
      <c r="Y1314" s="3"/>
      <c r="Z1314" s="3"/>
      <c r="AA1314" s="3"/>
      <c r="AB1314" s="3"/>
    </row>
    <row r="1315" customFormat="false" ht="15" hidden="false" customHeight="false" outlineLevel="0" collapsed="false">
      <c r="A1315" s="54"/>
      <c r="B1315" s="52"/>
      <c r="C1315" s="56"/>
      <c r="D1315" s="56"/>
      <c r="E1315" s="56"/>
      <c r="F1315" s="56"/>
      <c r="G1315" s="55"/>
      <c r="H1315" s="56"/>
      <c r="I1315" s="56"/>
      <c r="J1315" s="56"/>
      <c r="K1315" s="56"/>
      <c r="L1315" s="56"/>
      <c r="M1315" s="52"/>
      <c r="N1315" s="53"/>
      <c r="O1315" s="62" t="str">
        <f aca="false">IF($B1315="","",TEXT($A1315,"YYYY-MM-DD")&amp;"|"&amp;$B1315)</f>
        <v/>
      </c>
      <c r="P1315" s="3"/>
      <c r="Q1315" s="3"/>
      <c r="R1315" s="3"/>
      <c r="S1315" s="3"/>
      <c r="T1315" s="3"/>
      <c r="U1315" s="3"/>
      <c r="V1315" s="3"/>
      <c r="W1315" s="3"/>
      <c r="X1315" s="3"/>
      <c r="Y1315" s="3"/>
      <c r="Z1315" s="3"/>
      <c r="AA1315" s="3"/>
      <c r="AB1315" s="3"/>
    </row>
    <row r="1316" customFormat="false" ht="15" hidden="false" customHeight="false" outlineLevel="0" collapsed="false">
      <c r="A1316" s="48"/>
      <c r="B1316" s="46"/>
      <c r="C1316" s="50"/>
      <c r="D1316" s="50"/>
      <c r="E1316" s="50"/>
      <c r="F1316" s="50"/>
      <c r="G1316" s="49"/>
      <c r="H1316" s="50"/>
      <c r="I1316" s="50"/>
      <c r="J1316" s="50"/>
      <c r="K1316" s="50"/>
      <c r="L1316" s="50"/>
      <c r="M1316" s="46"/>
      <c r="N1316" s="47"/>
      <c r="O1316" s="62" t="str">
        <f aca="false">IF($B1316="","",TEXT($A1316,"YYYY-MM-DD")&amp;"|"&amp;$B1316)</f>
        <v/>
      </c>
      <c r="P1316" s="3"/>
      <c r="Q1316" s="3"/>
      <c r="R1316" s="3"/>
      <c r="S1316" s="3"/>
      <c r="T1316" s="3"/>
      <c r="U1316" s="3"/>
      <c r="V1316" s="3"/>
      <c r="W1316" s="3"/>
      <c r="X1316" s="3"/>
      <c r="Y1316" s="3"/>
      <c r="Z1316" s="3"/>
      <c r="AA1316" s="3"/>
      <c r="AB1316" s="3"/>
    </row>
    <row r="1317" customFormat="false" ht="15" hidden="false" customHeight="false" outlineLevel="0" collapsed="false">
      <c r="A1317" s="54"/>
      <c r="B1317" s="52"/>
      <c r="C1317" s="56"/>
      <c r="D1317" s="56"/>
      <c r="E1317" s="56"/>
      <c r="F1317" s="56"/>
      <c r="G1317" s="55"/>
      <c r="H1317" s="56"/>
      <c r="I1317" s="56"/>
      <c r="J1317" s="56"/>
      <c r="K1317" s="56"/>
      <c r="L1317" s="56"/>
      <c r="M1317" s="52"/>
      <c r="N1317" s="53"/>
      <c r="O1317" s="62" t="str">
        <f aca="false">IF($B1317="","",TEXT($A1317,"YYYY-MM-DD")&amp;"|"&amp;$B1317)</f>
        <v/>
      </c>
      <c r="P1317" s="3"/>
      <c r="Q1317" s="3"/>
      <c r="R1317" s="3"/>
      <c r="S1317" s="3"/>
      <c r="T1317" s="3"/>
      <c r="U1317" s="3"/>
      <c r="V1317" s="3"/>
      <c r="W1317" s="3"/>
      <c r="X1317" s="3"/>
      <c r="Y1317" s="3"/>
      <c r="Z1317" s="3"/>
      <c r="AA1317" s="3"/>
      <c r="AB1317" s="3"/>
    </row>
    <row r="1318" customFormat="false" ht="15" hidden="false" customHeight="false" outlineLevel="0" collapsed="false">
      <c r="A1318" s="48"/>
      <c r="B1318" s="46"/>
      <c r="C1318" s="50"/>
      <c r="D1318" s="50"/>
      <c r="E1318" s="50"/>
      <c r="F1318" s="50"/>
      <c r="G1318" s="49"/>
      <c r="H1318" s="50"/>
      <c r="I1318" s="50"/>
      <c r="J1318" s="50"/>
      <c r="K1318" s="50"/>
      <c r="L1318" s="50"/>
      <c r="M1318" s="46"/>
      <c r="N1318" s="47"/>
      <c r="O1318" s="62" t="str">
        <f aca="false">IF($B1318="","",TEXT($A1318,"YYYY-MM-DD")&amp;"|"&amp;$B1318)</f>
        <v/>
      </c>
      <c r="P1318" s="3"/>
      <c r="Q1318" s="3"/>
      <c r="R1318" s="3"/>
      <c r="S1318" s="3"/>
      <c r="T1318" s="3"/>
      <c r="U1318" s="3"/>
      <c r="V1318" s="3"/>
      <c r="W1318" s="3"/>
      <c r="X1318" s="3"/>
      <c r="Y1318" s="3"/>
      <c r="Z1318" s="3"/>
      <c r="AA1318" s="3"/>
      <c r="AB1318" s="3"/>
    </row>
    <row r="1319" customFormat="false" ht="15" hidden="false" customHeight="false" outlineLevel="0" collapsed="false">
      <c r="A1319" s="54"/>
      <c r="B1319" s="52"/>
      <c r="C1319" s="56"/>
      <c r="D1319" s="56"/>
      <c r="E1319" s="56"/>
      <c r="F1319" s="56"/>
      <c r="G1319" s="55"/>
      <c r="H1319" s="56"/>
      <c r="I1319" s="56"/>
      <c r="J1319" s="56"/>
      <c r="K1319" s="56"/>
      <c r="L1319" s="56"/>
      <c r="M1319" s="52"/>
      <c r="N1319" s="53"/>
      <c r="O1319" s="62" t="str">
        <f aca="false">IF($B1319="","",TEXT($A1319,"YYYY-MM-DD")&amp;"|"&amp;$B1319)</f>
        <v/>
      </c>
      <c r="P1319" s="3"/>
      <c r="Q1319" s="3"/>
      <c r="R1319" s="3"/>
      <c r="S1319" s="3"/>
      <c r="T1319" s="3"/>
      <c r="U1319" s="3"/>
      <c r="V1319" s="3"/>
      <c r="W1319" s="3"/>
      <c r="X1319" s="3"/>
      <c r="Y1319" s="3"/>
      <c r="Z1319" s="3"/>
      <c r="AA1319" s="3"/>
      <c r="AB1319" s="3"/>
    </row>
    <row r="1320" customFormat="false" ht="15" hidden="false" customHeight="false" outlineLevel="0" collapsed="false">
      <c r="A1320" s="48"/>
      <c r="B1320" s="46"/>
      <c r="C1320" s="50"/>
      <c r="D1320" s="50"/>
      <c r="E1320" s="50"/>
      <c r="F1320" s="50"/>
      <c r="G1320" s="49"/>
      <c r="H1320" s="50"/>
      <c r="I1320" s="50"/>
      <c r="J1320" s="50"/>
      <c r="K1320" s="50"/>
      <c r="L1320" s="50"/>
      <c r="M1320" s="46"/>
      <c r="N1320" s="47"/>
      <c r="O1320" s="62" t="str">
        <f aca="false">IF($B1320="","",TEXT($A1320,"YYYY-MM-DD")&amp;"|"&amp;$B1320)</f>
        <v/>
      </c>
      <c r="P1320" s="3"/>
      <c r="Q1320" s="3"/>
      <c r="R1320" s="3"/>
      <c r="S1320" s="3"/>
      <c r="T1320" s="3"/>
      <c r="U1320" s="3"/>
      <c r="V1320" s="3"/>
      <c r="W1320" s="3"/>
      <c r="X1320" s="3"/>
      <c r="Y1320" s="3"/>
      <c r="Z1320" s="3"/>
      <c r="AA1320" s="3"/>
      <c r="AB1320" s="3"/>
    </row>
    <row r="1321" customFormat="false" ht="15" hidden="false" customHeight="false" outlineLevel="0" collapsed="false">
      <c r="A1321" s="54"/>
      <c r="B1321" s="52"/>
      <c r="C1321" s="56"/>
      <c r="D1321" s="56"/>
      <c r="E1321" s="56"/>
      <c r="F1321" s="56"/>
      <c r="G1321" s="55"/>
      <c r="H1321" s="56"/>
      <c r="I1321" s="56"/>
      <c r="J1321" s="56"/>
      <c r="K1321" s="56"/>
      <c r="L1321" s="56"/>
      <c r="M1321" s="52"/>
      <c r="N1321" s="53"/>
      <c r="O1321" s="62" t="str">
        <f aca="false">IF($B1321="","",TEXT($A1321,"YYYY-MM-DD")&amp;"|"&amp;$B1321)</f>
        <v/>
      </c>
      <c r="P1321" s="3"/>
      <c r="Q1321" s="3"/>
      <c r="R1321" s="3"/>
      <c r="S1321" s="3"/>
      <c r="T1321" s="3"/>
      <c r="U1321" s="3"/>
      <c r="V1321" s="3"/>
      <c r="W1321" s="3"/>
      <c r="X1321" s="3"/>
      <c r="Y1321" s="3"/>
      <c r="Z1321" s="3"/>
      <c r="AA1321" s="3"/>
      <c r="AB1321" s="3"/>
    </row>
    <row r="1322" customFormat="false" ht="15" hidden="false" customHeight="false" outlineLevel="0" collapsed="false">
      <c r="A1322" s="48"/>
      <c r="B1322" s="46"/>
      <c r="C1322" s="50"/>
      <c r="D1322" s="50"/>
      <c r="E1322" s="50"/>
      <c r="F1322" s="50"/>
      <c r="G1322" s="49"/>
      <c r="H1322" s="50"/>
      <c r="I1322" s="50"/>
      <c r="J1322" s="50"/>
      <c r="K1322" s="50"/>
      <c r="L1322" s="50"/>
      <c r="M1322" s="46"/>
      <c r="N1322" s="47"/>
      <c r="O1322" s="62" t="str">
        <f aca="false">IF($B1322="","",TEXT($A1322,"YYYY-MM-DD")&amp;"|"&amp;$B1322)</f>
        <v/>
      </c>
      <c r="P1322" s="3"/>
      <c r="Q1322" s="3"/>
      <c r="R1322" s="3"/>
      <c r="S1322" s="3"/>
      <c r="T1322" s="3"/>
      <c r="U1322" s="3"/>
      <c r="V1322" s="3"/>
      <c r="W1322" s="3"/>
      <c r="X1322" s="3"/>
      <c r="Y1322" s="3"/>
      <c r="Z1322" s="3"/>
      <c r="AA1322" s="3"/>
      <c r="AB1322" s="3"/>
    </row>
    <row r="1323" customFormat="false" ht="15" hidden="false" customHeight="false" outlineLevel="0" collapsed="false">
      <c r="A1323" s="54"/>
      <c r="B1323" s="52"/>
      <c r="C1323" s="56"/>
      <c r="D1323" s="56"/>
      <c r="E1323" s="56"/>
      <c r="F1323" s="56"/>
      <c r="G1323" s="55"/>
      <c r="H1323" s="56"/>
      <c r="I1323" s="56"/>
      <c r="J1323" s="56"/>
      <c r="K1323" s="56"/>
      <c r="L1323" s="56"/>
      <c r="M1323" s="52"/>
      <c r="N1323" s="53"/>
      <c r="O1323" s="62" t="str">
        <f aca="false">IF($B1323="","",TEXT($A1323,"YYYY-MM-DD")&amp;"|"&amp;$B1323)</f>
        <v/>
      </c>
      <c r="P1323" s="3"/>
      <c r="Q1323" s="3"/>
      <c r="R1323" s="3"/>
      <c r="S1323" s="3"/>
      <c r="T1323" s="3"/>
      <c r="U1323" s="3"/>
      <c r="V1323" s="3"/>
      <c r="W1323" s="3"/>
      <c r="X1323" s="3"/>
      <c r="Y1323" s="3"/>
      <c r="Z1323" s="3"/>
      <c r="AA1323" s="3"/>
      <c r="AB1323" s="3"/>
    </row>
    <row r="1324" customFormat="false" ht="15" hidden="false" customHeight="false" outlineLevel="0" collapsed="false">
      <c r="A1324" s="48"/>
      <c r="B1324" s="46"/>
      <c r="C1324" s="50"/>
      <c r="D1324" s="50"/>
      <c r="E1324" s="50"/>
      <c r="F1324" s="50"/>
      <c r="G1324" s="49"/>
      <c r="H1324" s="50"/>
      <c r="I1324" s="50"/>
      <c r="J1324" s="50"/>
      <c r="K1324" s="50"/>
      <c r="L1324" s="50"/>
      <c r="M1324" s="46"/>
      <c r="N1324" s="47"/>
      <c r="O1324" s="62" t="str">
        <f aca="false">IF($B1324="","",TEXT($A1324,"YYYY-MM-DD")&amp;"|"&amp;$B1324)</f>
        <v/>
      </c>
      <c r="P1324" s="3"/>
      <c r="Q1324" s="3"/>
      <c r="R1324" s="3"/>
      <c r="S1324" s="3"/>
      <c r="T1324" s="3"/>
      <c r="U1324" s="3"/>
      <c r="V1324" s="3"/>
      <c r="W1324" s="3"/>
      <c r="X1324" s="3"/>
      <c r="Y1324" s="3"/>
      <c r="Z1324" s="3"/>
      <c r="AA1324" s="3"/>
      <c r="AB1324" s="3"/>
    </row>
    <row r="1325" customFormat="false" ht="15" hidden="false" customHeight="false" outlineLevel="0" collapsed="false">
      <c r="A1325" s="54"/>
      <c r="B1325" s="52"/>
      <c r="C1325" s="56"/>
      <c r="D1325" s="56"/>
      <c r="E1325" s="56"/>
      <c r="F1325" s="56"/>
      <c r="G1325" s="55"/>
      <c r="H1325" s="56"/>
      <c r="I1325" s="56"/>
      <c r="J1325" s="56"/>
      <c r="K1325" s="56"/>
      <c r="L1325" s="56"/>
      <c r="M1325" s="52"/>
      <c r="N1325" s="53"/>
      <c r="O1325" s="62" t="str">
        <f aca="false">IF($B1325="","",TEXT($A1325,"YYYY-MM-DD")&amp;"|"&amp;$B1325)</f>
        <v/>
      </c>
      <c r="P1325" s="3"/>
      <c r="Q1325" s="3"/>
      <c r="R1325" s="3"/>
      <c r="S1325" s="3"/>
      <c r="T1325" s="3"/>
      <c r="U1325" s="3"/>
      <c r="V1325" s="3"/>
      <c r="W1325" s="3"/>
      <c r="X1325" s="3"/>
      <c r="Y1325" s="3"/>
      <c r="Z1325" s="3"/>
      <c r="AA1325" s="3"/>
      <c r="AB1325" s="3"/>
    </row>
    <row r="1326" customFormat="false" ht="15" hidden="false" customHeight="false" outlineLevel="0" collapsed="false">
      <c r="A1326" s="48"/>
      <c r="B1326" s="46"/>
      <c r="C1326" s="50"/>
      <c r="D1326" s="50"/>
      <c r="E1326" s="50"/>
      <c r="F1326" s="50"/>
      <c r="G1326" s="49"/>
      <c r="H1326" s="50"/>
      <c r="I1326" s="50"/>
      <c r="J1326" s="50"/>
      <c r="K1326" s="50"/>
      <c r="L1326" s="50"/>
      <c r="M1326" s="46"/>
      <c r="N1326" s="47"/>
      <c r="O1326" s="62" t="str">
        <f aca="false">IF($B1326="","",TEXT($A1326,"YYYY-MM-DD")&amp;"|"&amp;$B1326)</f>
        <v/>
      </c>
      <c r="P1326" s="3"/>
      <c r="Q1326" s="3"/>
      <c r="R1326" s="3"/>
      <c r="S1326" s="3"/>
      <c r="T1326" s="3"/>
      <c r="U1326" s="3"/>
      <c r="V1326" s="3"/>
      <c r="W1326" s="3"/>
      <c r="X1326" s="3"/>
      <c r="Y1326" s="3"/>
      <c r="Z1326" s="3"/>
      <c r="AA1326" s="3"/>
      <c r="AB1326" s="3"/>
    </row>
    <row r="1327" customFormat="false" ht="15" hidden="false" customHeight="false" outlineLevel="0" collapsed="false">
      <c r="A1327" s="54"/>
      <c r="B1327" s="52"/>
      <c r="C1327" s="56"/>
      <c r="D1327" s="56"/>
      <c r="E1327" s="56"/>
      <c r="F1327" s="56"/>
      <c r="G1327" s="55"/>
      <c r="H1327" s="56"/>
      <c r="I1327" s="56"/>
      <c r="J1327" s="56"/>
      <c r="K1327" s="56"/>
      <c r="L1327" s="56"/>
      <c r="M1327" s="52"/>
      <c r="N1327" s="53"/>
      <c r="O1327" s="62" t="str">
        <f aca="false">IF($B1327="","",TEXT($A1327,"YYYY-MM-DD")&amp;"|"&amp;$B1327)</f>
        <v/>
      </c>
      <c r="P1327" s="3"/>
      <c r="Q1327" s="3"/>
      <c r="R1327" s="3"/>
      <c r="S1327" s="3"/>
      <c r="T1327" s="3"/>
      <c r="U1327" s="3"/>
      <c r="V1327" s="3"/>
      <c r="W1327" s="3"/>
      <c r="X1327" s="3"/>
      <c r="Y1327" s="3"/>
      <c r="Z1327" s="3"/>
      <c r="AA1327" s="3"/>
      <c r="AB1327" s="3"/>
    </row>
    <row r="1328" customFormat="false" ht="15" hidden="false" customHeight="false" outlineLevel="0" collapsed="false">
      <c r="A1328" s="48"/>
      <c r="B1328" s="46"/>
      <c r="C1328" s="50"/>
      <c r="D1328" s="50"/>
      <c r="E1328" s="50"/>
      <c r="F1328" s="50"/>
      <c r="G1328" s="49"/>
      <c r="H1328" s="50"/>
      <c r="I1328" s="50"/>
      <c r="J1328" s="50"/>
      <c r="K1328" s="50"/>
      <c r="L1328" s="50"/>
      <c r="M1328" s="46"/>
      <c r="N1328" s="47"/>
      <c r="O1328" s="62" t="str">
        <f aca="false">IF($B1328="","",TEXT($A1328,"YYYY-MM-DD")&amp;"|"&amp;$B1328)</f>
        <v/>
      </c>
      <c r="P1328" s="3"/>
      <c r="Q1328" s="3"/>
      <c r="R1328" s="3"/>
      <c r="S1328" s="3"/>
      <c r="T1328" s="3"/>
      <c r="U1328" s="3"/>
      <c r="V1328" s="3"/>
      <c r="W1328" s="3"/>
      <c r="X1328" s="3"/>
      <c r="Y1328" s="3"/>
      <c r="Z1328" s="3"/>
      <c r="AA1328" s="3"/>
      <c r="AB1328" s="3"/>
    </row>
    <row r="1329" customFormat="false" ht="15" hidden="false" customHeight="false" outlineLevel="0" collapsed="false">
      <c r="A1329" s="54"/>
      <c r="B1329" s="52"/>
      <c r="C1329" s="56"/>
      <c r="D1329" s="56"/>
      <c r="E1329" s="56"/>
      <c r="F1329" s="56"/>
      <c r="G1329" s="55"/>
      <c r="H1329" s="56"/>
      <c r="I1329" s="56"/>
      <c r="J1329" s="56"/>
      <c r="K1329" s="56"/>
      <c r="L1329" s="56"/>
      <c r="M1329" s="52"/>
      <c r="N1329" s="53"/>
      <c r="O1329" s="62" t="str">
        <f aca="false">IF($B1329="","",TEXT($A1329,"YYYY-MM-DD")&amp;"|"&amp;$B1329)</f>
        <v/>
      </c>
      <c r="P1329" s="3"/>
      <c r="Q1329" s="3"/>
      <c r="R1329" s="3"/>
      <c r="S1329" s="3"/>
      <c r="T1329" s="3"/>
      <c r="U1329" s="3"/>
      <c r="V1329" s="3"/>
      <c r="W1329" s="3"/>
      <c r="X1329" s="3"/>
      <c r="Y1329" s="3"/>
      <c r="Z1329" s="3"/>
      <c r="AA1329" s="3"/>
      <c r="AB1329" s="3"/>
    </row>
    <row r="1330" customFormat="false" ht="15" hidden="false" customHeight="false" outlineLevel="0" collapsed="false">
      <c r="A1330" s="48"/>
      <c r="B1330" s="46"/>
      <c r="C1330" s="50"/>
      <c r="D1330" s="50"/>
      <c r="E1330" s="50"/>
      <c r="F1330" s="50"/>
      <c r="G1330" s="49"/>
      <c r="H1330" s="50"/>
      <c r="I1330" s="50"/>
      <c r="J1330" s="50"/>
      <c r="K1330" s="50"/>
      <c r="L1330" s="50"/>
      <c r="M1330" s="46"/>
      <c r="N1330" s="47"/>
      <c r="O1330" s="62" t="str">
        <f aca="false">IF($B1330="","",TEXT($A1330,"YYYY-MM-DD")&amp;"|"&amp;$B1330)</f>
        <v/>
      </c>
      <c r="P1330" s="3"/>
      <c r="Q1330" s="3"/>
      <c r="R1330" s="3"/>
      <c r="S1330" s="3"/>
      <c r="T1330" s="3"/>
      <c r="U1330" s="3"/>
      <c r="V1330" s="3"/>
      <c r="W1330" s="3"/>
      <c r="X1330" s="3"/>
      <c r="Y1330" s="3"/>
      <c r="Z1330" s="3"/>
      <c r="AA1330" s="3"/>
      <c r="AB1330" s="3"/>
    </row>
    <row r="1331" customFormat="false" ht="15" hidden="false" customHeight="false" outlineLevel="0" collapsed="false">
      <c r="A1331" s="54"/>
      <c r="B1331" s="52"/>
      <c r="C1331" s="56"/>
      <c r="D1331" s="56"/>
      <c r="E1331" s="56"/>
      <c r="F1331" s="56"/>
      <c r="G1331" s="55"/>
      <c r="H1331" s="56"/>
      <c r="I1331" s="56"/>
      <c r="J1331" s="56"/>
      <c r="K1331" s="56"/>
      <c r="L1331" s="56"/>
      <c r="M1331" s="52"/>
      <c r="N1331" s="53"/>
      <c r="O1331" s="62" t="str">
        <f aca="false">IF($B1331="","",TEXT($A1331,"YYYY-MM-DD")&amp;"|"&amp;$B1331)</f>
        <v/>
      </c>
      <c r="P1331" s="3"/>
      <c r="Q1331" s="3"/>
      <c r="R1331" s="3"/>
      <c r="S1331" s="3"/>
      <c r="T1331" s="3"/>
      <c r="U1331" s="3"/>
      <c r="V1331" s="3"/>
      <c r="W1331" s="3"/>
      <c r="X1331" s="3"/>
      <c r="Y1331" s="3"/>
      <c r="Z1331" s="3"/>
      <c r="AA1331" s="3"/>
      <c r="AB1331" s="3"/>
    </row>
    <row r="1332" customFormat="false" ht="15" hidden="false" customHeight="false" outlineLevel="0" collapsed="false">
      <c r="A1332" s="48"/>
      <c r="B1332" s="46"/>
      <c r="C1332" s="50"/>
      <c r="D1332" s="50"/>
      <c r="E1332" s="50"/>
      <c r="F1332" s="50"/>
      <c r="G1332" s="49"/>
      <c r="H1332" s="50"/>
      <c r="I1332" s="50"/>
      <c r="J1332" s="50"/>
      <c r="K1332" s="50"/>
      <c r="L1332" s="50"/>
      <c r="M1332" s="46"/>
      <c r="N1332" s="47"/>
      <c r="O1332" s="62" t="str">
        <f aca="false">IF($B1332="","",TEXT($A1332,"YYYY-MM-DD")&amp;"|"&amp;$B1332)</f>
        <v/>
      </c>
      <c r="P1332" s="3"/>
      <c r="Q1332" s="3"/>
      <c r="R1332" s="3"/>
      <c r="S1332" s="3"/>
      <c r="T1332" s="3"/>
      <c r="U1332" s="3"/>
      <c r="V1332" s="3"/>
      <c r="W1332" s="3"/>
      <c r="X1332" s="3"/>
      <c r="Y1332" s="3"/>
      <c r="Z1332" s="3"/>
      <c r="AA1332" s="3"/>
      <c r="AB1332" s="3"/>
    </row>
    <row r="1333" customFormat="false" ht="15" hidden="false" customHeight="false" outlineLevel="0" collapsed="false">
      <c r="A1333" s="54"/>
      <c r="B1333" s="52"/>
      <c r="C1333" s="56"/>
      <c r="D1333" s="56"/>
      <c r="E1333" s="56"/>
      <c r="F1333" s="56"/>
      <c r="G1333" s="55"/>
      <c r="H1333" s="56"/>
      <c r="I1333" s="56"/>
      <c r="J1333" s="56"/>
      <c r="K1333" s="56"/>
      <c r="L1333" s="56"/>
      <c r="M1333" s="52"/>
      <c r="N1333" s="53"/>
      <c r="O1333" s="62" t="str">
        <f aca="false">IF($B1333="","",TEXT($A1333,"YYYY-MM-DD")&amp;"|"&amp;$B1333)</f>
        <v/>
      </c>
      <c r="P1333" s="3"/>
      <c r="Q1333" s="3"/>
      <c r="R1333" s="3"/>
      <c r="S1333" s="3"/>
      <c r="T1333" s="3"/>
      <c r="U1333" s="3"/>
      <c r="V1333" s="3"/>
      <c r="W1333" s="3"/>
      <c r="X1333" s="3"/>
      <c r="Y1333" s="3"/>
      <c r="Z1333" s="3"/>
      <c r="AA1333" s="3"/>
      <c r="AB1333" s="3"/>
    </row>
    <row r="1334" customFormat="false" ht="15" hidden="false" customHeight="false" outlineLevel="0" collapsed="false">
      <c r="A1334" s="48"/>
      <c r="B1334" s="46"/>
      <c r="C1334" s="50"/>
      <c r="D1334" s="50"/>
      <c r="E1334" s="50"/>
      <c r="F1334" s="50"/>
      <c r="G1334" s="49"/>
      <c r="H1334" s="50"/>
      <c r="I1334" s="50"/>
      <c r="J1334" s="50"/>
      <c r="K1334" s="50"/>
      <c r="L1334" s="50"/>
      <c r="M1334" s="46"/>
      <c r="N1334" s="47"/>
      <c r="O1334" s="62" t="str">
        <f aca="false">IF($B1334="","",TEXT($A1334,"YYYY-MM-DD")&amp;"|"&amp;$B1334)</f>
        <v/>
      </c>
      <c r="P1334" s="3"/>
      <c r="Q1334" s="3"/>
      <c r="R1334" s="3"/>
      <c r="S1334" s="3"/>
      <c r="T1334" s="3"/>
      <c r="U1334" s="3"/>
      <c r="V1334" s="3"/>
      <c r="W1334" s="3"/>
      <c r="X1334" s="3"/>
      <c r="Y1334" s="3"/>
      <c r="Z1334" s="3"/>
      <c r="AA1334" s="3"/>
      <c r="AB1334" s="3"/>
    </row>
    <row r="1335" customFormat="false" ht="15" hidden="false" customHeight="false" outlineLevel="0" collapsed="false">
      <c r="A1335" s="54"/>
      <c r="B1335" s="52"/>
      <c r="C1335" s="56"/>
      <c r="D1335" s="56"/>
      <c r="E1335" s="56"/>
      <c r="F1335" s="56"/>
      <c r="G1335" s="55"/>
      <c r="H1335" s="56"/>
      <c r="I1335" s="56"/>
      <c r="J1335" s="56"/>
      <c r="K1335" s="56"/>
      <c r="L1335" s="56"/>
      <c r="M1335" s="52"/>
      <c r="N1335" s="53"/>
      <c r="O1335" s="62" t="str">
        <f aca="false">IF($B1335="","",TEXT($A1335,"YYYY-MM-DD")&amp;"|"&amp;$B1335)</f>
        <v/>
      </c>
      <c r="P1335" s="3"/>
      <c r="Q1335" s="3"/>
      <c r="R1335" s="3"/>
      <c r="S1335" s="3"/>
      <c r="T1335" s="3"/>
      <c r="U1335" s="3"/>
      <c r="V1335" s="3"/>
      <c r="W1335" s="3"/>
      <c r="X1335" s="3"/>
      <c r="Y1335" s="3"/>
      <c r="Z1335" s="3"/>
      <c r="AA1335" s="3"/>
      <c r="AB1335" s="3"/>
    </row>
    <row r="1336" customFormat="false" ht="15" hidden="false" customHeight="false" outlineLevel="0" collapsed="false">
      <c r="A1336" s="48"/>
      <c r="B1336" s="46"/>
      <c r="C1336" s="50"/>
      <c r="D1336" s="50"/>
      <c r="E1336" s="50"/>
      <c r="F1336" s="50"/>
      <c r="G1336" s="49"/>
      <c r="H1336" s="50"/>
      <c r="I1336" s="50"/>
      <c r="J1336" s="50"/>
      <c r="K1336" s="50"/>
      <c r="L1336" s="50"/>
      <c r="M1336" s="46"/>
      <c r="N1336" s="47"/>
      <c r="O1336" s="62" t="str">
        <f aca="false">IF($B1336="","",TEXT($A1336,"YYYY-MM-DD")&amp;"|"&amp;$B1336)</f>
        <v/>
      </c>
      <c r="P1336" s="3"/>
      <c r="Q1336" s="3"/>
      <c r="R1336" s="3"/>
      <c r="S1336" s="3"/>
      <c r="T1336" s="3"/>
      <c r="U1336" s="3"/>
      <c r="V1336" s="3"/>
      <c r="W1336" s="3"/>
      <c r="X1336" s="3"/>
      <c r="Y1336" s="3"/>
      <c r="Z1336" s="3"/>
      <c r="AA1336" s="3"/>
      <c r="AB1336" s="3"/>
    </row>
    <row r="1337" customFormat="false" ht="15" hidden="false" customHeight="false" outlineLevel="0" collapsed="false">
      <c r="A1337" s="54"/>
      <c r="B1337" s="52"/>
      <c r="C1337" s="56"/>
      <c r="D1337" s="56"/>
      <c r="E1337" s="56"/>
      <c r="F1337" s="56"/>
      <c r="G1337" s="55"/>
      <c r="H1337" s="56"/>
      <c r="I1337" s="56"/>
      <c r="J1337" s="56"/>
      <c r="K1337" s="56"/>
      <c r="L1337" s="56"/>
      <c r="M1337" s="52"/>
      <c r="N1337" s="53"/>
      <c r="O1337" s="62" t="str">
        <f aca="false">IF($B1337="","",TEXT($A1337,"YYYY-MM-DD")&amp;"|"&amp;$B1337)</f>
        <v/>
      </c>
      <c r="P1337" s="3"/>
      <c r="Q1337" s="3"/>
      <c r="R1337" s="3"/>
      <c r="S1337" s="3"/>
      <c r="T1337" s="3"/>
      <c r="U1337" s="3"/>
      <c r="V1337" s="3"/>
      <c r="W1337" s="3"/>
      <c r="X1337" s="3"/>
      <c r="Y1337" s="3"/>
      <c r="Z1337" s="3"/>
      <c r="AA1337" s="3"/>
      <c r="AB1337" s="3"/>
    </row>
    <row r="1338" customFormat="false" ht="15" hidden="false" customHeight="false" outlineLevel="0" collapsed="false">
      <c r="A1338" s="48"/>
      <c r="B1338" s="46"/>
      <c r="C1338" s="50"/>
      <c r="D1338" s="50"/>
      <c r="E1338" s="50"/>
      <c r="F1338" s="50"/>
      <c r="G1338" s="49"/>
      <c r="H1338" s="50"/>
      <c r="I1338" s="50"/>
      <c r="J1338" s="50"/>
      <c r="K1338" s="50"/>
      <c r="L1338" s="50"/>
      <c r="M1338" s="46"/>
      <c r="N1338" s="47"/>
      <c r="O1338" s="62" t="str">
        <f aca="false">IF($B1338="","",TEXT($A1338,"YYYY-MM-DD")&amp;"|"&amp;$B1338)</f>
        <v/>
      </c>
      <c r="P1338" s="3"/>
      <c r="Q1338" s="3"/>
      <c r="R1338" s="3"/>
      <c r="S1338" s="3"/>
      <c r="T1338" s="3"/>
      <c r="U1338" s="3"/>
      <c r="V1338" s="3"/>
      <c r="W1338" s="3"/>
      <c r="X1338" s="3"/>
      <c r="Y1338" s="3"/>
      <c r="Z1338" s="3"/>
      <c r="AA1338" s="3"/>
      <c r="AB1338" s="3"/>
    </row>
    <row r="1339" customFormat="false" ht="15" hidden="false" customHeight="false" outlineLevel="0" collapsed="false">
      <c r="A1339" s="54"/>
      <c r="B1339" s="52"/>
      <c r="C1339" s="56"/>
      <c r="D1339" s="56"/>
      <c r="E1339" s="56"/>
      <c r="F1339" s="56"/>
      <c r="G1339" s="55"/>
      <c r="H1339" s="56"/>
      <c r="I1339" s="56"/>
      <c r="J1339" s="56"/>
      <c r="K1339" s="56"/>
      <c r="L1339" s="56"/>
      <c r="M1339" s="52"/>
      <c r="N1339" s="53"/>
      <c r="O1339" s="62" t="str">
        <f aca="false">IF($B1339="","",TEXT($A1339,"YYYY-MM-DD")&amp;"|"&amp;$B1339)</f>
        <v/>
      </c>
      <c r="P1339" s="3"/>
      <c r="Q1339" s="3"/>
      <c r="R1339" s="3"/>
      <c r="S1339" s="3"/>
      <c r="T1339" s="3"/>
      <c r="U1339" s="3"/>
      <c r="V1339" s="3"/>
      <c r="W1339" s="3"/>
      <c r="X1339" s="3"/>
      <c r="Y1339" s="3"/>
      <c r="Z1339" s="3"/>
      <c r="AA1339" s="3"/>
      <c r="AB1339" s="3"/>
    </row>
    <row r="1340" customFormat="false" ht="15" hidden="false" customHeight="false" outlineLevel="0" collapsed="false">
      <c r="A1340" s="48"/>
      <c r="B1340" s="46"/>
      <c r="C1340" s="50"/>
      <c r="D1340" s="50"/>
      <c r="E1340" s="50"/>
      <c r="F1340" s="50"/>
      <c r="G1340" s="49"/>
      <c r="H1340" s="50"/>
      <c r="I1340" s="50"/>
      <c r="J1340" s="50"/>
      <c r="K1340" s="50"/>
      <c r="L1340" s="50"/>
      <c r="M1340" s="46"/>
      <c r="N1340" s="47"/>
      <c r="O1340" s="62" t="str">
        <f aca="false">IF($B1340="","",TEXT($A1340,"YYYY-MM-DD")&amp;"|"&amp;$B1340)</f>
        <v/>
      </c>
      <c r="P1340" s="3"/>
      <c r="Q1340" s="3"/>
      <c r="R1340" s="3"/>
      <c r="S1340" s="3"/>
      <c r="T1340" s="3"/>
      <c r="U1340" s="3"/>
      <c r="V1340" s="3"/>
      <c r="W1340" s="3"/>
      <c r="X1340" s="3"/>
      <c r="Y1340" s="3"/>
      <c r="Z1340" s="3"/>
      <c r="AA1340" s="3"/>
      <c r="AB1340" s="3"/>
    </row>
    <row r="1341" customFormat="false" ht="15" hidden="false" customHeight="false" outlineLevel="0" collapsed="false">
      <c r="A1341" s="54"/>
      <c r="B1341" s="52"/>
      <c r="C1341" s="56"/>
      <c r="D1341" s="56"/>
      <c r="E1341" s="56"/>
      <c r="F1341" s="56"/>
      <c r="G1341" s="55"/>
      <c r="H1341" s="56"/>
      <c r="I1341" s="56"/>
      <c r="J1341" s="56"/>
      <c r="K1341" s="56"/>
      <c r="L1341" s="56"/>
      <c r="M1341" s="52"/>
      <c r="N1341" s="53"/>
      <c r="O1341" s="62" t="str">
        <f aca="false">IF($B1341="","",TEXT($A1341,"YYYY-MM-DD")&amp;"|"&amp;$B1341)</f>
        <v/>
      </c>
      <c r="P1341" s="3"/>
      <c r="Q1341" s="3"/>
      <c r="R1341" s="3"/>
      <c r="S1341" s="3"/>
      <c r="T1341" s="3"/>
      <c r="U1341" s="3"/>
      <c r="V1341" s="3"/>
      <c r="W1341" s="3"/>
      <c r="X1341" s="3"/>
      <c r="Y1341" s="3"/>
      <c r="Z1341" s="3"/>
      <c r="AA1341" s="3"/>
      <c r="AB1341" s="3"/>
    </row>
    <row r="1342" customFormat="false" ht="15" hidden="false" customHeight="false" outlineLevel="0" collapsed="false">
      <c r="A1342" s="48"/>
      <c r="B1342" s="46"/>
      <c r="C1342" s="50"/>
      <c r="D1342" s="50"/>
      <c r="E1342" s="50"/>
      <c r="F1342" s="50"/>
      <c r="G1342" s="49"/>
      <c r="H1342" s="50"/>
      <c r="I1342" s="50"/>
      <c r="J1342" s="50"/>
      <c r="K1342" s="50"/>
      <c r="L1342" s="50"/>
      <c r="M1342" s="46"/>
      <c r="N1342" s="47"/>
      <c r="O1342" s="62" t="str">
        <f aca="false">IF($B1342="","",TEXT($A1342,"YYYY-MM-DD")&amp;"|"&amp;$B1342)</f>
        <v/>
      </c>
      <c r="P1342" s="3"/>
      <c r="Q1342" s="3"/>
      <c r="R1342" s="3"/>
      <c r="S1342" s="3"/>
      <c r="T1342" s="3"/>
      <c r="U1342" s="3"/>
      <c r="V1342" s="3"/>
      <c r="W1342" s="3"/>
      <c r="X1342" s="3"/>
      <c r="Y1342" s="3"/>
      <c r="Z1342" s="3"/>
      <c r="AA1342" s="3"/>
      <c r="AB1342" s="3"/>
    </row>
    <row r="1343" customFormat="false" ht="15" hidden="false" customHeight="false" outlineLevel="0" collapsed="false">
      <c r="A1343" s="54"/>
      <c r="B1343" s="52"/>
      <c r="C1343" s="56"/>
      <c r="D1343" s="56"/>
      <c r="E1343" s="56"/>
      <c r="F1343" s="56"/>
      <c r="G1343" s="55"/>
      <c r="H1343" s="56"/>
      <c r="I1343" s="56"/>
      <c r="J1343" s="56"/>
      <c r="K1343" s="56"/>
      <c r="L1343" s="56"/>
      <c r="M1343" s="52"/>
      <c r="N1343" s="53"/>
      <c r="O1343" s="62" t="str">
        <f aca="false">IF($B1343="","",TEXT($A1343,"YYYY-MM-DD")&amp;"|"&amp;$B1343)</f>
        <v/>
      </c>
      <c r="P1343" s="3"/>
      <c r="Q1343" s="3"/>
      <c r="R1343" s="3"/>
      <c r="S1343" s="3"/>
      <c r="T1343" s="3"/>
      <c r="U1343" s="3"/>
      <c r="V1343" s="3"/>
      <c r="W1343" s="3"/>
      <c r="X1343" s="3"/>
      <c r="Y1343" s="3"/>
      <c r="Z1343" s="3"/>
      <c r="AA1343" s="3"/>
      <c r="AB1343" s="3"/>
    </row>
    <row r="1344" customFormat="false" ht="15" hidden="false" customHeight="false" outlineLevel="0" collapsed="false">
      <c r="A1344" s="48"/>
      <c r="B1344" s="46"/>
      <c r="C1344" s="50"/>
      <c r="D1344" s="50"/>
      <c r="E1344" s="50"/>
      <c r="F1344" s="50"/>
      <c r="G1344" s="49"/>
      <c r="H1344" s="50"/>
      <c r="I1344" s="50"/>
      <c r="J1344" s="50"/>
      <c r="K1344" s="50"/>
      <c r="L1344" s="50"/>
      <c r="M1344" s="46"/>
      <c r="N1344" s="47"/>
      <c r="O1344" s="62" t="str">
        <f aca="false">IF($B1344="","",TEXT($A1344,"YYYY-MM-DD")&amp;"|"&amp;$B1344)</f>
        <v/>
      </c>
      <c r="P1344" s="3"/>
      <c r="Q1344" s="3"/>
      <c r="R1344" s="3"/>
      <c r="S1344" s="3"/>
      <c r="T1344" s="3"/>
      <c r="U1344" s="3"/>
      <c r="V1344" s="3"/>
      <c r="W1344" s="3"/>
      <c r="X1344" s="3"/>
      <c r="Y1344" s="3"/>
      <c r="Z1344" s="3"/>
      <c r="AA1344" s="3"/>
      <c r="AB1344" s="3"/>
    </row>
    <row r="1345" customFormat="false" ht="15" hidden="false" customHeight="false" outlineLevel="0" collapsed="false">
      <c r="A1345" s="54"/>
      <c r="B1345" s="52"/>
      <c r="C1345" s="56"/>
      <c r="D1345" s="56"/>
      <c r="E1345" s="56"/>
      <c r="F1345" s="56"/>
      <c r="G1345" s="55"/>
      <c r="H1345" s="56"/>
      <c r="I1345" s="56"/>
      <c r="J1345" s="56"/>
      <c r="K1345" s="56"/>
      <c r="L1345" s="56"/>
      <c r="M1345" s="52"/>
      <c r="N1345" s="53"/>
      <c r="O1345" s="62" t="str">
        <f aca="false">IF($B1345="","",TEXT($A1345,"YYYY-MM-DD")&amp;"|"&amp;$B1345)</f>
        <v/>
      </c>
      <c r="P1345" s="3"/>
      <c r="Q1345" s="3"/>
      <c r="R1345" s="3"/>
      <c r="S1345" s="3"/>
      <c r="T1345" s="3"/>
      <c r="U1345" s="3"/>
      <c r="V1345" s="3"/>
      <c r="W1345" s="3"/>
      <c r="X1345" s="3"/>
      <c r="Y1345" s="3"/>
      <c r="Z1345" s="3"/>
      <c r="AA1345" s="3"/>
      <c r="AB1345" s="3"/>
    </row>
    <row r="1346" customFormat="false" ht="15" hidden="false" customHeight="false" outlineLevel="0" collapsed="false">
      <c r="A1346" s="48"/>
      <c r="B1346" s="46"/>
      <c r="C1346" s="50"/>
      <c r="D1346" s="50"/>
      <c r="E1346" s="50"/>
      <c r="F1346" s="50"/>
      <c r="G1346" s="49"/>
      <c r="H1346" s="50"/>
      <c r="I1346" s="50"/>
      <c r="J1346" s="50"/>
      <c r="K1346" s="50"/>
      <c r="L1346" s="50"/>
      <c r="M1346" s="46"/>
      <c r="N1346" s="47"/>
      <c r="O1346" s="62" t="str">
        <f aca="false">IF($B1346="","",TEXT($A1346,"YYYY-MM-DD")&amp;"|"&amp;$B1346)</f>
        <v/>
      </c>
      <c r="P1346" s="3"/>
      <c r="Q1346" s="3"/>
      <c r="R1346" s="3"/>
      <c r="S1346" s="3"/>
      <c r="T1346" s="3"/>
      <c r="U1346" s="3"/>
      <c r="V1346" s="3"/>
      <c r="W1346" s="3"/>
      <c r="X1346" s="3"/>
      <c r="Y1346" s="3"/>
      <c r="Z1346" s="3"/>
      <c r="AA1346" s="3"/>
      <c r="AB1346" s="3"/>
    </row>
    <row r="1347" customFormat="false" ht="15" hidden="false" customHeight="false" outlineLevel="0" collapsed="false">
      <c r="A1347" s="54"/>
      <c r="B1347" s="52"/>
      <c r="C1347" s="56"/>
      <c r="D1347" s="56"/>
      <c r="E1347" s="56"/>
      <c r="F1347" s="56"/>
      <c r="G1347" s="55"/>
      <c r="H1347" s="56"/>
      <c r="I1347" s="56"/>
      <c r="J1347" s="56"/>
      <c r="K1347" s="56"/>
      <c r="L1347" s="56"/>
      <c r="M1347" s="52"/>
      <c r="N1347" s="53"/>
      <c r="O1347" s="62" t="str">
        <f aca="false">IF($B1347="","",TEXT($A1347,"YYYY-MM-DD")&amp;"|"&amp;$B1347)</f>
        <v/>
      </c>
      <c r="P1347" s="3"/>
      <c r="Q1347" s="3"/>
      <c r="R1347" s="3"/>
      <c r="S1347" s="3"/>
      <c r="T1347" s="3"/>
      <c r="U1347" s="3"/>
      <c r="V1347" s="3"/>
      <c r="W1347" s="3"/>
      <c r="X1347" s="3"/>
      <c r="Y1347" s="3"/>
      <c r="Z1347" s="3"/>
      <c r="AA1347" s="3"/>
      <c r="AB1347" s="3"/>
    </row>
    <row r="1348" customFormat="false" ht="15" hidden="false" customHeight="false" outlineLevel="0" collapsed="false">
      <c r="A1348" s="48"/>
      <c r="B1348" s="46"/>
      <c r="C1348" s="50"/>
      <c r="D1348" s="50"/>
      <c r="E1348" s="50"/>
      <c r="F1348" s="50"/>
      <c r="G1348" s="49"/>
      <c r="H1348" s="50"/>
      <c r="I1348" s="50"/>
      <c r="J1348" s="50"/>
      <c r="K1348" s="50"/>
      <c r="L1348" s="50"/>
      <c r="M1348" s="46"/>
      <c r="N1348" s="47"/>
      <c r="O1348" s="62" t="str">
        <f aca="false">IF($B1348="","",TEXT($A1348,"YYYY-MM-DD")&amp;"|"&amp;$B1348)</f>
        <v/>
      </c>
      <c r="P1348" s="3"/>
      <c r="Q1348" s="3"/>
      <c r="R1348" s="3"/>
      <c r="S1348" s="3"/>
      <c r="T1348" s="3"/>
      <c r="U1348" s="3"/>
      <c r="V1348" s="3"/>
      <c r="W1348" s="3"/>
      <c r="X1348" s="3"/>
      <c r="Y1348" s="3"/>
      <c r="Z1348" s="3"/>
      <c r="AA1348" s="3"/>
      <c r="AB1348" s="3"/>
    </row>
    <row r="1349" customFormat="false" ht="15" hidden="false" customHeight="false" outlineLevel="0" collapsed="false">
      <c r="A1349" s="54"/>
      <c r="B1349" s="52"/>
      <c r="C1349" s="56"/>
      <c r="D1349" s="56"/>
      <c r="E1349" s="56"/>
      <c r="F1349" s="56"/>
      <c r="G1349" s="55"/>
      <c r="H1349" s="56"/>
      <c r="I1349" s="56"/>
      <c r="J1349" s="56"/>
      <c r="K1349" s="56"/>
      <c r="L1349" s="56"/>
      <c r="M1349" s="52"/>
      <c r="N1349" s="53"/>
      <c r="O1349" s="62" t="str">
        <f aca="false">IF($B1349="","",TEXT($A1349,"YYYY-MM-DD")&amp;"|"&amp;$B1349)</f>
        <v/>
      </c>
      <c r="P1349" s="3"/>
      <c r="Q1349" s="3"/>
      <c r="R1349" s="3"/>
      <c r="S1349" s="3"/>
      <c r="T1349" s="3"/>
      <c r="U1349" s="3"/>
      <c r="V1349" s="3"/>
      <c r="W1349" s="3"/>
      <c r="X1349" s="3"/>
      <c r="Y1349" s="3"/>
      <c r="Z1349" s="3"/>
      <c r="AA1349" s="3"/>
      <c r="AB1349" s="3"/>
    </row>
    <row r="1350" customFormat="false" ht="15" hidden="false" customHeight="false" outlineLevel="0" collapsed="false">
      <c r="A1350" s="48"/>
      <c r="B1350" s="46"/>
      <c r="C1350" s="50"/>
      <c r="D1350" s="50"/>
      <c r="E1350" s="50"/>
      <c r="F1350" s="50"/>
      <c r="G1350" s="49"/>
      <c r="H1350" s="50"/>
      <c r="I1350" s="50"/>
      <c r="J1350" s="50"/>
      <c r="K1350" s="50"/>
      <c r="L1350" s="50"/>
      <c r="M1350" s="46"/>
      <c r="N1350" s="47"/>
      <c r="O1350" s="62" t="str">
        <f aca="false">IF($B1350="","",TEXT($A1350,"YYYY-MM-DD")&amp;"|"&amp;$B1350)</f>
        <v/>
      </c>
      <c r="P1350" s="3"/>
      <c r="Q1350" s="3"/>
      <c r="R1350" s="3"/>
      <c r="S1350" s="3"/>
      <c r="T1350" s="3"/>
      <c r="U1350" s="3"/>
      <c r="V1350" s="3"/>
      <c r="W1350" s="3"/>
      <c r="X1350" s="3"/>
      <c r="Y1350" s="3"/>
      <c r="Z1350" s="3"/>
      <c r="AA1350" s="3"/>
      <c r="AB1350" s="3"/>
    </row>
    <row r="1351" customFormat="false" ht="15" hidden="false" customHeight="false" outlineLevel="0" collapsed="false">
      <c r="A1351" s="54"/>
      <c r="B1351" s="52"/>
      <c r="C1351" s="56"/>
      <c r="D1351" s="56"/>
      <c r="E1351" s="56"/>
      <c r="F1351" s="56"/>
      <c r="G1351" s="55"/>
      <c r="H1351" s="56"/>
      <c r="I1351" s="56"/>
      <c r="J1351" s="56"/>
      <c r="K1351" s="56"/>
      <c r="L1351" s="56"/>
      <c r="M1351" s="52"/>
      <c r="N1351" s="53"/>
      <c r="O1351" s="62" t="str">
        <f aca="false">IF($B1351="","",TEXT($A1351,"YYYY-MM-DD")&amp;"|"&amp;$B1351)</f>
        <v/>
      </c>
      <c r="P1351" s="3"/>
      <c r="Q1351" s="3"/>
      <c r="R1351" s="3"/>
      <c r="S1351" s="3"/>
      <c r="T1351" s="3"/>
      <c r="U1351" s="3"/>
      <c r="V1351" s="3"/>
      <c r="W1351" s="3"/>
      <c r="X1351" s="3"/>
      <c r="Y1351" s="3"/>
      <c r="Z1351" s="3"/>
      <c r="AA1351" s="3"/>
      <c r="AB1351" s="3"/>
    </row>
    <row r="1352" customFormat="false" ht="15" hidden="false" customHeight="false" outlineLevel="0" collapsed="false">
      <c r="A1352" s="48"/>
      <c r="B1352" s="46"/>
      <c r="C1352" s="50"/>
      <c r="D1352" s="50"/>
      <c r="E1352" s="50"/>
      <c r="F1352" s="50"/>
      <c r="G1352" s="49"/>
      <c r="H1352" s="50"/>
      <c r="I1352" s="50"/>
      <c r="J1352" s="50"/>
      <c r="K1352" s="50"/>
      <c r="L1352" s="50"/>
      <c r="M1352" s="46"/>
      <c r="N1352" s="47"/>
      <c r="O1352" s="62" t="str">
        <f aca="false">IF($B1352="","",TEXT($A1352,"YYYY-MM-DD")&amp;"|"&amp;$B1352)</f>
        <v/>
      </c>
      <c r="P1352" s="3"/>
      <c r="Q1352" s="3"/>
      <c r="R1352" s="3"/>
      <c r="S1352" s="3"/>
      <c r="T1352" s="3"/>
      <c r="U1352" s="3"/>
      <c r="V1352" s="3"/>
      <c r="W1352" s="3"/>
      <c r="X1352" s="3"/>
      <c r="Y1352" s="3"/>
      <c r="Z1352" s="3"/>
      <c r="AA1352" s="3"/>
      <c r="AB1352" s="3"/>
    </row>
    <row r="1353" customFormat="false" ht="15" hidden="false" customHeight="false" outlineLevel="0" collapsed="false">
      <c r="A1353" s="54"/>
      <c r="B1353" s="52"/>
      <c r="C1353" s="56"/>
      <c r="D1353" s="56"/>
      <c r="E1353" s="56"/>
      <c r="F1353" s="56"/>
      <c r="G1353" s="55"/>
      <c r="H1353" s="56"/>
      <c r="I1353" s="56"/>
      <c r="J1353" s="56"/>
      <c r="K1353" s="56"/>
      <c r="L1353" s="56"/>
      <c r="M1353" s="52"/>
      <c r="N1353" s="53"/>
      <c r="O1353" s="62" t="str">
        <f aca="false">IF($B1353="","",TEXT($A1353,"YYYY-MM-DD")&amp;"|"&amp;$B1353)</f>
        <v/>
      </c>
      <c r="P1353" s="3"/>
      <c r="Q1353" s="3"/>
      <c r="R1353" s="3"/>
      <c r="S1353" s="3"/>
      <c r="T1353" s="3"/>
      <c r="U1353" s="3"/>
      <c r="V1353" s="3"/>
      <c r="W1353" s="3"/>
      <c r="X1353" s="3"/>
      <c r="Y1353" s="3"/>
      <c r="Z1353" s="3"/>
      <c r="AA1353" s="3"/>
      <c r="AB1353" s="3"/>
    </row>
    <row r="1354" customFormat="false" ht="15" hidden="false" customHeight="false" outlineLevel="0" collapsed="false">
      <c r="A1354" s="48"/>
      <c r="B1354" s="46"/>
      <c r="C1354" s="50"/>
      <c r="D1354" s="50"/>
      <c r="E1354" s="50"/>
      <c r="F1354" s="50"/>
      <c r="G1354" s="49"/>
      <c r="H1354" s="50"/>
      <c r="I1354" s="50"/>
      <c r="J1354" s="50"/>
      <c r="K1354" s="50"/>
      <c r="L1354" s="50"/>
      <c r="M1354" s="46"/>
      <c r="N1354" s="47"/>
      <c r="O1354" s="62" t="str">
        <f aca="false">IF($B1354="","",TEXT($A1354,"YYYY-MM-DD")&amp;"|"&amp;$B1354)</f>
        <v/>
      </c>
      <c r="P1354" s="3"/>
      <c r="Q1354" s="3"/>
      <c r="R1354" s="3"/>
      <c r="S1354" s="3"/>
      <c r="T1354" s="3"/>
      <c r="U1354" s="3"/>
      <c r="V1354" s="3"/>
      <c r="W1354" s="3"/>
      <c r="X1354" s="3"/>
      <c r="Y1354" s="3"/>
      <c r="Z1354" s="3"/>
      <c r="AA1354" s="3"/>
      <c r="AB1354" s="3"/>
    </row>
    <row r="1355" customFormat="false" ht="15" hidden="false" customHeight="false" outlineLevel="0" collapsed="false">
      <c r="A1355" s="54"/>
      <c r="B1355" s="52"/>
      <c r="C1355" s="56"/>
      <c r="D1355" s="56"/>
      <c r="E1355" s="56"/>
      <c r="F1355" s="56"/>
      <c r="G1355" s="55"/>
      <c r="H1355" s="56"/>
      <c r="I1355" s="56"/>
      <c r="J1355" s="56"/>
      <c r="K1355" s="56"/>
      <c r="L1355" s="56"/>
      <c r="M1355" s="52"/>
      <c r="N1355" s="53"/>
      <c r="O1355" s="62" t="str">
        <f aca="false">IF($B1355="","",TEXT($A1355,"YYYY-MM-DD")&amp;"|"&amp;$B1355)</f>
        <v/>
      </c>
      <c r="P1355" s="3"/>
      <c r="Q1355" s="3"/>
      <c r="R1355" s="3"/>
      <c r="S1355" s="3"/>
      <c r="T1355" s="3"/>
      <c r="U1355" s="3"/>
      <c r="V1355" s="3"/>
      <c r="W1355" s="3"/>
      <c r="X1355" s="3"/>
      <c r="Y1355" s="3"/>
      <c r="Z1355" s="3"/>
      <c r="AA1355" s="3"/>
      <c r="AB1355" s="3"/>
    </row>
    <row r="1356" customFormat="false" ht="15" hidden="false" customHeight="false" outlineLevel="0" collapsed="false">
      <c r="A1356" s="48"/>
      <c r="B1356" s="46"/>
      <c r="C1356" s="50"/>
      <c r="D1356" s="50"/>
      <c r="E1356" s="50"/>
      <c r="F1356" s="50"/>
      <c r="G1356" s="49"/>
      <c r="H1356" s="50"/>
      <c r="I1356" s="50"/>
      <c r="J1356" s="50"/>
      <c r="K1356" s="50"/>
      <c r="L1356" s="50"/>
      <c r="M1356" s="46"/>
      <c r="N1356" s="47"/>
      <c r="O1356" s="62" t="str">
        <f aca="false">IF($B1356="","",TEXT($A1356,"YYYY-MM-DD")&amp;"|"&amp;$B1356)</f>
        <v/>
      </c>
      <c r="P1356" s="3"/>
      <c r="Q1356" s="3"/>
      <c r="R1356" s="3"/>
      <c r="S1356" s="3"/>
      <c r="T1356" s="3"/>
      <c r="U1356" s="3"/>
      <c r="V1356" s="3"/>
      <c r="W1356" s="3"/>
      <c r="X1356" s="3"/>
      <c r="Y1356" s="3"/>
      <c r="Z1356" s="3"/>
      <c r="AA1356" s="3"/>
      <c r="AB1356" s="3"/>
    </row>
    <row r="1357" customFormat="false" ht="15" hidden="false" customHeight="false" outlineLevel="0" collapsed="false">
      <c r="A1357" s="54"/>
      <c r="B1357" s="52"/>
      <c r="C1357" s="56"/>
      <c r="D1357" s="56"/>
      <c r="E1357" s="56"/>
      <c r="F1357" s="56"/>
      <c r="G1357" s="55"/>
      <c r="H1357" s="56"/>
      <c r="I1357" s="56"/>
      <c r="J1357" s="56"/>
      <c r="K1357" s="56"/>
      <c r="L1357" s="56"/>
      <c r="M1357" s="52"/>
      <c r="N1357" s="53"/>
      <c r="O1357" s="62" t="str">
        <f aca="false">IF($B1357="","",TEXT($A1357,"YYYY-MM-DD")&amp;"|"&amp;$B1357)</f>
        <v/>
      </c>
      <c r="P1357" s="3"/>
      <c r="Q1357" s="3"/>
      <c r="R1357" s="3"/>
      <c r="S1357" s="3"/>
      <c r="T1357" s="3"/>
      <c r="U1357" s="3"/>
      <c r="V1357" s="3"/>
      <c r="W1357" s="3"/>
      <c r="X1357" s="3"/>
      <c r="Y1357" s="3"/>
      <c r="Z1357" s="3"/>
      <c r="AA1357" s="3"/>
      <c r="AB1357" s="3"/>
    </row>
    <row r="1358" customFormat="false" ht="15" hidden="false" customHeight="false" outlineLevel="0" collapsed="false">
      <c r="A1358" s="48"/>
      <c r="B1358" s="46"/>
      <c r="C1358" s="50"/>
      <c r="D1358" s="50"/>
      <c r="E1358" s="50"/>
      <c r="F1358" s="50"/>
      <c r="G1358" s="49"/>
      <c r="H1358" s="50"/>
      <c r="I1358" s="50"/>
      <c r="J1358" s="50"/>
      <c r="K1358" s="50"/>
      <c r="L1358" s="50"/>
      <c r="M1358" s="46"/>
      <c r="N1358" s="47"/>
      <c r="O1358" s="62" t="str">
        <f aca="false">IF($B1358="","",TEXT($A1358,"YYYY-MM-DD")&amp;"|"&amp;$B1358)</f>
        <v/>
      </c>
      <c r="P1358" s="3"/>
      <c r="Q1358" s="3"/>
      <c r="R1358" s="3"/>
      <c r="S1358" s="3"/>
      <c r="T1358" s="3"/>
      <c r="U1358" s="3"/>
      <c r="V1358" s="3"/>
      <c r="W1358" s="3"/>
      <c r="X1358" s="3"/>
      <c r="Y1358" s="3"/>
      <c r="Z1358" s="3"/>
      <c r="AA1358" s="3"/>
      <c r="AB1358" s="3"/>
    </row>
    <row r="1359" customFormat="false" ht="15" hidden="false" customHeight="false" outlineLevel="0" collapsed="false">
      <c r="A1359" s="54"/>
      <c r="B1359" s="52"/>
      <c r="C1359" s="56"/>
      <c r="D1359" s="56"/>
      <c r="E1359" s="56"/>
      <c r="F1359" s="56"/>
      <c r="G1359" s="55"/>
      <c r="H1359" s="56"/>
      <c r="I1359" s="56"/>
      <c r="J1359" s="56"/>
      <c r="K1359" s="56"/>
      <c r="L1359" s="56"/>
      <c r="M1359" s="52"/>
      <c r="N1359" s="53"/>
      <c r="O1359" s="62" t="str">
        <f aca="false">IF($B1359="","",TEXT($A1359,"YYYY-MM-DD")&amp;"|"&amp;$B1359)</f>
        <v/>
      </c>
      <c r="P1359" s="3"/>
      <c r="Q1359" s="3"/>
      <c r="R1359" s="3"/>
      <c r="S1359" s="3"/>
      <c r="T1359" s="3"/>
      <c r="U1359" s="3"/>
      <c r="V1359" s="3"/>
      <c r="W1359" s="3"/>
      <c r="X1359" s="3"/>
      <c r="Y1359" s="3"/>
      <c r="Z1359" s="3"/>
      <c r="AA1359" s="3"/>
      <c r="AB1359" s="3"/>
    </row>
    <row r="1360" customFormat="false" ht="15" hidden="false" customHeight="false" outlineLevel="0" collapsed="false">
      <c r="A1360" s="48"/>
      <c r="B1360" s="46"/>
      <c r="C1360" s="50"/>
      <c r="D1360" s="50"/>
      <c r="E1360" s="50"/>
      <c r="F1360" s="50"/>
      <c r="G1360" s="49"/>
      <c r="H1360" s="50"/>
      <c r="I1360" s="50"/>
      <c r="J1360" s="50"/>
      <c r="K1360" s="50"/>
      <c r="L1360" s="50"/>
      <c r="M1360" s="46"/>
      <c r="N1360" s="47"/>
      <c r="O1360" s="62" t="str">
        <f aca="false">IF($B1360="","",TEXT($A1360,"YYYY-MM-DD")&amp;"|"&amp;$B1360)</f>
        <v/>
      </c>
      <c r="P1360" s="3"/>
      <c r="Q1360" s="3"/>
      <c r="R1360" s="3"/>
      <c r="S1360" s="3"/>
      <c r="T1360" s="3"/>
      <c r="U1360" s="3"/>
      <c r="V1360" s="3"/>
      <c r="W1360" s="3"/>
      <c r="X1360" s="3"/>
      <c r="Y1360" s="3"/>
      <c r="Z1360" s="3"/>
      <c r="AA1360" s="3"/>
      <c r="AB1360" s="3"/>
    </row>
    <row r="1361" customFormat="false" ht="15" hidden="false" customHeight="false" outlineLevel="0" collapsed="false">
      <c r="A1361" s="54"/>
      <c r="B1361" s="52"/>
      <c r="C1361" s="56"/>
      <c r="D1361" s="56"/>
      <c r="E1361" s="56"/>
      <c r="F1361" s="56"/>
      <c r="G1361" s="55"/>
      <c r="H1361" s="56"/>
      <c r="I1361" s="56"/>
      <c r="J1361" s="56"/>
      <c r="K1361" s="56"/>
      <c r="L1361" s="56"/>
      <c r="M1361" s="52"/>
      <c r="N1361" s="53"/>
      <c r="O1361" s="62" t="str">
        <f aca="false">IF($B1361="","",TEXT($A1361,"YYYY-MM-DD")&amp;"|"&amp;$B1361)</f>
        <v/>
      </c>
      <c r="P1361" s="3"/>
      <c r="Q1361" s="3"/>
      <c r="R1361" s="3"/>
      <c r="S1361" s="3"/>
      <c r="T1361" s="3"/>
      <c r="U1361" s="3"/>
      <c r="V1361" s="3"/>
      <c r="W1361" s="3"/>
      <c r="X1361" s="3"/>
      <c r="Y1361" s="3"/>
      <c r="Z1361" s="3"/>
      <c r="AA1361" s="3"/>
      <c r="AB1361" s="3"/>
    </row>
    <row r="1362" customFormat="false" ht="15" hidden="false" customHeight="false" outlineLevel="0" collapsed="false">
      <c r="A1362" s="48"/>
      <c r="B1362" s="46"/>
      <c r="C1362" s="50"/>
      <c r="D1362" s="50"/>
      <c r="E1362" s="50"/>
      <c r="F1362" s="50"/>
      <c r="G1362" s="49"/>
      <c r="H1362" s="50"/>
      <c r="I1362" s="50"/>
      <c r="J1362" s="50"/>
      <c r="K1362" s="50"/>
      <c r="L1362" s="50"/>
      <c r="M1362" s="46"/>
      <c r="N1362" s="47"/>
      <c r="O1362" s="62" t="str">
        <f aca="false">IF($B1362="","",TEXT($A1362,"YYYY-MM-DD")&amp;"|"&amp;$B1362)</f>
        <v/>
      </c>
      <c r="P1362" s="3"/>
      <c r="Q1362" s="3"/>
      <c r="R1362" s="3"/>
      <c r="S1362" s="3"/>
      <c r="T1362" s="3"/>
      <c r="U1362" s="3"/>
      <c r="V1362" s="3"/>
      <c r="W1362" s="3"/>
      <c r="X1362" s="3"/>
      <c r="Y1362" s="3"/>
      <c r="Z1362" s="3"/>
      <c r="AA1362" s="3"/>
      <c r="AB1362" s="3"/>
    </row>
    <row r="1363" customFormat="false" ht="15" hidden="false" customHeight="false" outlineLevel="0" collapsed="false">
      <c r="A1363" s="54"/>
      <c r="B1363" s="52"/>
      <c r="C1363" s="56"/>
      <c r="D1363" s="56"/>
      <c r="E1363" s="56"/>
      <c r="F1363" s="56"/>
      <c r="G1363" s="55"/>
      <c r="H1363" s="56"/>
      <c r="I1363" s="56"/>
      <c r="J1363" s="56"/>
      <c r="K1363" s="56"/>
      <c r="L1363" s="56"/>
      <c r="M1363" s="52"/>
      <c r="N1363" s="53"/>
      <c r="O1363" s="62" t="str">
        <f aca="false">IF($B1363="","",TEXT($A1363,"YYYY-MM-DD")&amp;"|"&amp;$B1363)</f>
        <v/>
      </c>
      <c r="P1363" s="3"/>
      <c r="Q1363" s="3"/>
      <c r="R1363" s="3"/>
      <c r="S1363" s="3"/>
      <c r="T1363" s="3"/>
      <c r="U1363" s="3"/>
      <c r="V1363" s="3"/>
      <c r="W1363" s="3"/>
      <c r="X1363" s="3"/>
      <c r="Y1363" s="3"/>
      <c r="Z1363" s="3"/>
      <c r="AA1363" s="3"/>
      <c r="AB1363" s="3"/>
    </row>
    <row r="1364" customFormat="false" ht="15" hidden="false" customHeight="false" outlineLevel="0" collapsed="false">
      <c r="A1364" s="48"/>
      <c r="B1364" s="46"/>
      <c r="C1364" s="50"/>
      <c r="D1364" s="50"/>
      <c r="E1364" s="50"/>
      <c r="F1364" s="50"/>
      <c r="G1364" s="49"/>
      <c r="H1364" s="50"/>
      <c r="I1364" s="50"/>
      <c r="J1364" s="50"/>
      <c r="K1364" s="50"/>
      <c r="L1364" s="50"/>
      <c r="M1364" s="46"/>
      <c r="N1364" s="47"/>
      <c r="O1364" s="62" t="str">
        <f aca="false">IF($B1364="","",TEXT($A1364,"YYYY-MM-DD")&amp;"|"&amp;$B1364)</f>
        <v/>
      </c>
      <c r="P1364" s="3"/>
      <c r="Q1364" s="3"/>
      <c r="R1364" s="3"/>
      <c r="S1364" s="3"/>
      <c r="T1364" s="3"/>
      <c r="U1364" s="3"/>
      <c r="V1364" s="3"/>
      <c r="W1364" s="3"/>
      <c r="X1364" s="3"/>
      <c r="Y1364" s="3"/>
      <c r="Z1364" s="3"/>
      <c r="AA1364" s="3"/>
      <c r="AB1364" s="3"/>
    </row>
    <row r="1365" customFormat="false" ht="15" hidden="false" customHeight="false" outlineLevel="0" collapsed="false">
      <c r="A1365" s="54"/>
      <c r="B1365" s="52"/>
      <c r="C1365" s="56"/>
      <c r="D1365" s="56"/>
      <c r="E1365" s="56"/>
      <c r="F1365" s="56"/>
      <c r="G1365" s="55"/>
      <c r="H1365" s="56"/>
      <c r="I1365" s="56"/>
      <c r="J1365" s="56"/>
      <c r="K1365" s="56"/>
      <c r="L1365" s="56"/>
      <c r="M1365" s="52"/>
      <c r="N1365" s="53"/>
      <c r="O1365" s="62" t="str">
        <f aca="false">IF($B1365="","",TEXT($A1365,"YYYY-MM-DD")&amp;"|"&amp;$B1365)</f>
        <v/>
      </c>
      <c r="P1365" s="3"/>
      <c r="Q1365" s="3"/>
      <c r="R1365" s="3"/>
      <c r="S1365" s="3"/>
      <c r="T1365" s="3"/>
      <c r="U1365" s="3"/>
      <c r="V1365" s="3"/>
      <c r="W1365" s="3"/>
      <c r="X1365" s="3"/>
      <c r="Y1365" s="3"/>
      <c r="Z1365" s="3"/>
      <c r="AA1365" s="3"/>
      <c r="AB1365" s="3"/>
    </row>
    <row r="1366" customFormat="false" ht="15" hidden="false" customHeight="false" outlineLevel="0" collapsed="false">
      <c r="A1366" s="48"/>
      <c r="B1366" s="46"/>
      <c r="C1366" s="50"/>
      <c r="D1366" s="50"/>
      <c r="E1366" s="50"/>
      <c r="F1366" s="50"/>
      <c r="G1366" s="49"/>
      <c r="H1366" s="50"/>
      <c r="I1366" s="50"/>
      <c r="J1366" s="50"/>
      <c r="K1366" s="50"/>
      <c r="L1366" s="50"/>
      <c r="M1366" s="46"/>
      <c r="N1366" s="47"/>
      <c r="O1366" s="62" t="str">
        <f aca="false">IF($B1366="","",TEXT($A1366,"YYYY-MM-DD")&amp;"|"&amp;$B1366)</f>
        <v/>
      </c>
      <c r="P1366" s="3"/>
      <c r="Q1366" s="3"/>
      <c r="R1366" s="3"/>
      <c r="S1366" s="3"/>
      <c r="T1366" s="3"/>
      <c r="U1366" s="3"/>
      <c r="V1366" s="3"/>
      <c r="W1366" s="3"/>
      <c r="X1366" s="3"/>
      <c r="Y1366" s="3"/>
      <c r="Z1366" s="3"/>
      <c r="AA1366" s="3"/>
      <c r="AB1366" s="3"/>
    </row>
    <row r="1367" customFormat="false" ht="15" hidden="false" customHeight="false" outlineLevel="0" collapsed="false">
      <c r="A1367" s="54"/>
      <c r="B1367" s="52"/>
      <c r="C1367" s="56"/>
      <c r="D1367" s="56"/>
      <c r="E1367" s="56"/>
      <c r="F1367" s="56"/>
      <c r="G1367" s="55"/>
      <c r="H1367" s="56"/>
      <c r="I1367" s="56"/>
      <c r="J1367" s="56"/>
      <c r="K1367" s="56"/>
      <c r="L1367" s="56"/>
      <c r="M1367" s="52"/>
      <c r="N1367" s="53"/>
      <c r="O1367" s="62" t="str">
        <f aca="false">IF($B1367="","",TEXT($A1367,"YYYY-MM-DD")&amp;"|"&amp;$B1367)</f>
        <v/>
      </c>
      <c r="P1367" s="3"/>
      <c r="Q1367" s="3"/>
      <c r="R1367" s="3"/>
      <c r="S1367" s="3"/>
      <c r="T1367" s="3"/>
      <c r="U1367" s="3"/>
      <c r="V1367" s="3"/>
      <c r="W1367" s="3"/>
      <c r="X1367" s="3"/>
      <c r="Y1367" s="3"/>
      <c r="Z1367" s="3"/>
      <c r="AA1367" s="3"/>
      <c r="AB1367" s="3"/>
    </row>
    <row r="1368" customFormat="false" ht="15" hidden="false" customHeight="false" outlineLevel="0" collapsed="false">
      <c r="A1368" s="48"/>
      <c r="B1368" s="46"/>
      <c r="C1368" s="50"/>
      <c r="D1368" s="50"/>
      <c r="E1368" s="50"/>
      <c r="F1368" s="50"/>
      <c r="G1368" s="49"/>
      <c r="H1368" s="50"/>
      <c r="I1368" s="50"/>
      <c r="J1368" s="50"/>
      <c r="K1368" s="50"/>
      <c r="L1368" s="50"/>
      <c r="M1368" s="46"/>
      <c r="N1368" s="47"/>
      <c r="O1368" s="62" t="str">
        <f aca="false">IF($B1368="","",TEXT($A1368,"YYYY-MM-DD")&amp;"|"&amp;$B1368)</f>
        <v/>
      </c>
      <c r="P1368" s="3"/>
      <c r="Q1368" s="3"/>
      <c r="R1368" s="3"/>
      <c r="S1368" s="3"/>
      <c r="T1368" s="3"/>
      <c r="U1368" s="3"/>
      <c r="V1368" s="3"/>
      <c r="W1368" s="3"/>
      <c r="X1368" s="3"/>
      <c r="Y1368" s="3"/>
      <c r="Z1368" s="3"/>
      <c r="AA1368" s="3"/>
      <c r="AB1368" s="3"/>
    </row>
    <row r="1369" customFormat="false" ht="15" hidden="false" customHeight="false" outlineLevel="0" collapsed="false">
      <c r="A1369" s="54"/>
      <c r="B1369" s="52"/>
      <c r="C1369" s="56"/>
      <c r="D1369" s="56"/>
      <c r="E1369" s="56"/>
      <c r="F1369" s="56"/>
      <c r="G1369" s="55"/>
      <c r="H1369" s="56"/>
      <c r="I1369" s="56"/>
      <c r="J1369" s="56"/>
      <c r="K1369" s="56"/>
      <c r="L1369" s="56"/>
      <c r="M1369" s="52"/>
      <c r="N1369" s="53"/>
      <c r="O1369" s="62" t="str">
        <f aca="false">IF($B1369="","",TEXT($A1369,"YYYY-MM-DD")&amp;"|"&amp;$B1369)</f>
        <v/>
      </c>
      <c r="P1369" s="3"/>
      <c r="Q1369" s="3"/>
      <c r="R1369" s="3"/>
      <c r="S1369" s="3"/>
      <c r="T1369" s="3"/>
      <c r="U1369" s="3"/>
      <c r="V1369" s="3"/>
      <c r="W1369" s="3"/>
      <c r="X1369" s="3"/>
      <c r="Y1369" s="3"/>
      <c r="Z1369" s="3"/>
      <c r="AA1369" s="3"/>
      <c r="AB1369" s="3"/>
    </row>
    <row r="1370" customFormat="false" ht="15" hidden="false" customHeight="false" outlineLevel="0" collapsed="false">
      <c r="A1370" s="48"/>
      <c r="B1370" s="46"/>
      <c r="C1370" s="50"/>
      <c r="D1370" s="50"/>
      <c r="E1370" s="50"/>
      <c r="F1370" s="50"/>
      <c r="G1370" s="49"/>
      <c r="H1370" s="50"/>
      <c r="I1370" s="50"/>
      <c r="J1370" s="50"/>
      <c r="K1370" s="50"/>
      <c r="L1370" s="50"/>
      <c r="M1370" s="46"/>
      <c r="N1370" s="47"/>
      <c r="O1370" s="62" t="str">
        <f aca="false">IF($B1370="","",TEXT($A1370,"YYYY-MM-DD")&amp;"|"&amp;$B1370)</f>
        <v/>
      </c>
      <c r="P1370" s="3"/>
      <c r="Q1370" s="3"/>
      <c r="R1370" s="3"/>
      <c r="S1370" s="3"/>
      <c r="T1370" s="3"/>
      <c r="U1370" s="3"/>
      <c r="V1370" s="3"/>
      <c r="W1370" s="3"/>
      <c r="X1370" s="3"/>
      <c r="Y1370" s="3"/>
      <c r="Z1370" s="3"/>
      <c r="AA1370" s="3"/>
      <c r="AB1370" s="3"/>
    </row>
    <row r="1371" customFormat="false" ht="15" hidden="false" customHeight="false" outlineLevel="0" collapsed="false">
      <c r="A1371" s="54"/>
      <c r="B1371" s="52"/>
      <c r="C1371" s="56"/>
      <c r="D1371" s="56"/>
      <c r="E1371" s="56"/>
      <c r="F1371" s="56"/>
      <c r="G1371" s="55"/>
      <c r="H1371" s="56"/>
      <c r="I1371" s="56"/>
      <c r="J1371" s="56"/>
      <c r="K1371" s="56"/>
      <c r="L1371" s="56"/>
      <c r="M1371" s="52"/>
      <c r="N1371" s="53"/>
      <c r="O1371" s="62" t="str">
        <f aca="false">IF($B1371="","",TEXT($A1371,"YYYY-MM-DD")&amp;"|"&amp;$B1371)</f>
        <v/>
      </c>
      <c r="P1371" s="3"/>
      <c r="Q1371" s="3"/>
      <c r="R1371" s="3"/>
      <c r="S1371" s="3"/>
      <c r="T1371" s="3"/>
      <c r="U1371" s="3"/>
      <c r="V1371" s="3"/>
      <c r="W1371" s="3"/>
      <c r="X1371" s="3"/>
      <c r="Y1371" s="3"/>
      <c r="Z1371" s="3"/>
      <c r="AA1371" s="3"/>
      <c r="AB1371" s="3"/>
    </row>
    <row r="1372" customFormat="false" ht="15" hidden="false" customHeight="false" outlineLevel="0" collapsed="false">
      <c r="A1372" s="48"/>
      <c r="B1372" s="46"/>
      <c r="C1372" s="50"/>
      <c r="D1372" s="50"/>
      <c r="E1372" s="50"/>
      <c r="F1372" s="50"/>
      <c r="G1372" s="49"/>
      <c r="H1372" s="50"/>
      <c r="I1372" s="50"/>
      <c r="J1372" s="50"/>
      <c r="K1372" s="50"/>
      <c r="L1372" s="50"/>
      <c r="M1372" s="46"/>
      <c r="N1372" s="47"/>
      <c r="O1372" s="62" t="str">
        <f aca="false">IF($B1372="","",TEXT($A1372,"YYYY-MM-DD")&amp;"|"&amp;$B1372)</f>
        <v/>
      </c>
      <c r="P1372" s="3"/>
      <c r="Q1372" s="3"/>
      <c r="R1372" s="3"/>
      <c r="S1372" s="3"/>
      <c r="T1372" s="3"/>
      <c r="U1372" s="3"/>
      <c r="V1372" s="3"/>
      <c r="W1372" s="3"/>
      <c r="X1372" s="3"/>
      <c r="Y1372" s="3"/>
      <c r="Z1372" s="3"/>
      <c r="AA1372" s="3"/>
      <c r="AB1372" s="3"/>
    </row>
    <row r="1373" customFormat="false" ht="15" hidden="false" customHeight="false" outlineLevel="0" collapsed="false">
      <c r="A1373" s="54"/>
      <c r="B1373" s="52"/>
      <c r="C1373" s="56"/>
      <c r="D1373" s="56"/>
      <c r="E1373" s="56"/>
      <c r="F1373" s="56"/>
      <c r="G1373" s="55"/>
      <c r="H1373" s="56"/>
      <c r="I1373" s="56"/>
      <c r="J1373" s="56"/>
      <c r="K1373" s="56"/>
      <c r="L1373" s="56"/>
      <c r="M1373" s="52"/>
      <c r="N1373" s="53"/>
      <c r="O1373" s="62" t="str">
        <f aca="false">IF($B1373="","",TEXT($A1373,"YYYY-MM-DD")&amp;"|"&amp;$B1373)</f>
        <v/>
      </c>
      <c r="P1373" s="3"/>
      <c r="Q1373" s="3"/>
      <c r="R1373" s="3"/>
      <c r="S1373" s="3"/>
      <c r="T1373" s="3"/>
      <c r="U1373" s="3"/>
      <c r="V1373" s="3"/>
      <c r="W1373" s="3"/>
      <c r="X1373" s="3"/>
      <c r="Y1373" s="3"/>
      <c r="Z1373" s="3"/>
      <c r="AA1373" s="3"/>
      <c r="AB1373" s="3"/>
    </row>
    <row r="1374" customFormat="false" ht="15" hidden="false" customHeight="false" outlineLevel="0" collapsed="false">
      <c r="A1374" s="48"/>
      <c r="B1374" s="46"/>
      <c r="C1374" s="50"/>
      <c r="D1374" s="50"/>
      <c r="E1374" s="50"/>
      <c r="F1374" s="50"/>
      <c r="G1374" s="49"/>
      <c r="H1374" s="50"/>
      <c r="I1374" s="50"/>
      <c r="J1374" s="50"/>
      <c r="K1374" s="50"/>
      <c r="L1374" s="50"/>
      <c r="M1374" s="46"/>
      <c r="N1374" s="47"/>
      <c r="O1374" s="62" t="str">
        <f aca="false">IF($B1374="","",TEXT($A1374,"YYYY-MM-DD")&amp;"|"&amp;$B1374)</f>
        <v/>
      </c>
      <c r="P1374" s="3"/>
      <c r="Q1374" s="3"/>
      <c r="R1374" s="3"/>
      <c r="S1374" s="3"/>
      <c r="T1374" s="3"/>
      <c r="U1374" s="3"/>
      <c r="V1374" s="3"/>
      <c r="W1374" s="3"/>
      <c r="X1374" s="3"/>
      <c r="Y1374" s="3"/>
      <c r="Z1374" s="3"/>
      <c r="AA1374" s="3"/>
      <c r="AB1374" s="3"/>
    </row>
    <row r="1375" customFormat="false" ht="15" hidden="false" customHeight="false" outlineLevel="0" collapsed="false">
      <c r="A1375" s="54"/>
      <c r="B1375" s="52"/>
      <c r="C1375" s="56"/>
      <c r="D1375" s="56"/>
      <c r="E1375" s="56"/>
      <c r="F1375" s="56"/>
      <c r="G1375" s="55"/>
      <c r="H1375" s="56"/>
      <c r="I1375" s="56"/>
      <c r="J1375" s="56"/>
      <c r="K1375" s="56"/>
      <c r="L1375" s="56"/>
      <c r="M1375" s="52"/>
      <c r="N1375" s="53"/>
      <c r="O1375" s="62" t="str">
        <f aca="false">IF($B1375="","",TEXT($A1375,"YYYY-MM-DD")&amp;"|"&amp;$B1375)</f>
        <v/>
      </c>
      <c r="P1375" s="3"/>
      <c r="Q1375" s="3"/>
      <c r="R1375" s="3"/>
      <c r="S1375" s="3"/>
      <c r="T1375" s="3"/>
      <c r="U1375" s="3"/>
      <c r="V1375" s="3"/>
      <c r="W1375" s="3"/>
      <c r="X1375" s="3"/>
      <c r="Y1375" s="3"/>
      <c r="Z1375" s="3"/>
      <c r="AA1375" s="3"/>
      <c r="AB1375" s="3"/>
    </row>
    <row r="1376" customFormat="false" ht="15" hidden="false" customHeight="false" outlineLevel="0" collapsed="false">
      <c r="A1376" s="48"/>
      <c r="B1376" s="46"/>
      <c r="C1376" s="50"/>
      <c r="D1376" s="50"/>
      <c r="E1376" s="50"/>
      <c r="F1376" s="50"/>
      <c r="G1376" s="49"/>
      <c r="H1376" s="50"/>
      <c r="I1376" s="50"/>
      <c r="J1376" s="50"/>
      <c r="K1376" s="50"/>
      <c r="L1376" s="50"/>
      <c r="M1376" s="46"/>
      <c r="N1376" s="47"/>
      <c r="O1376" s="62" t="str">
        <f aca="false">IF($B1376="","",TEXT($A1376,"YYYY-MM-DD")&amp;"|"&amp;$B1376)</f>
        <v/>
      </c>
      <c r="P1376" s="3"/>
      <c r="Q1376" s="3"/>
      <c r="R1376" s="3"/>
      <c r="S1376" s="3"/>
      <c r="T1376" s="3"/>
      <c r="U1376" s="3"/>
      <c r="V1376" s="3"/>
      <c r="W1376" s="3"/>
      <c r="X1376" s="3"/>
      <c r="Y1376" s="3"/>
      <c r="Z1376" s="3"/>
      <c r="AA1376" s="3"/>
      <c r="AB1376" s="3"/>
    </row>
    <row r="1377" customFormat="false" ht="15" hidden="false" customHeight="false" outlineLevel="0" collapsed="false">
      <c r="A1377" s="54"/>
      <c r="B1377" s="52"/>
      <c r="C1377" s="56"/>
      <c r="D1377" s="56"/>
      <c r="E1377" s="56"/>
      <c r="F1377" s="56"/>
      <c r="G1377" s="55"/>
      <c r="H1377" s="56"/>
      <c r="I1377" s="56"/>
      <c r="J1377" s="56"/>
      <c r="K1377" s="56"/>
      <c r="L1377" s="56"/>
      <c r="M1377" s="52"/>
      <c r="N1377" s="53"/>
      <c r="O1377" s="62" t="str">
        <f aca="false">IF($B1377="","",TEXT($A1377,"YYYY-MM-DD")&amp;"|"&amp;$B1377)</f>
        <v/>
      </c>
      <c r="P1377" s="3"/>
      <c r="Q1377" s="3"/>
      <c r="R1377" s="3"/>
      <c r="S1377" s="3"/>
      <c r="T1377" s="3"/>
      <c r="U1377" s="3"/>
      <c r="V1377" s="3"/>
      <c r="W1377" s="3"/>
      <c r="X1377" s="3"/>
      <c r="Y1377" s="3"/>
      <c r="Z1377" s="3"/>
      <c r="AA1377" s="3"/>
      <c r="AB1377" s="3"/>
    </row>
    <row r="1378" customFormat="false" ht="15" hidden="false" customHeight="false" outlineLevel="0" collapsed="false">
      <c r="A1378" s="48"/>
      <c r="B1378" s="46"/>
      <c r="C1378" s="50"/>
      <c r="D1378" s="50"/>
      <c r="E1378" s="50"/>
      <c r="F1378" s="50"/>
      <c r="G1378" s="49"/>
      <c r="H1378" s="50"/>
      <c r="I1378" s="50"/>
      <c r="J1378" s="50"/>
      <c r="K1378" s="50"/>
      <c r="L1378" s="50"/>
      <c r="M1378" s="46"/>
      <c r="N1378" s="47"/>
      <c r="O1378" s="62" t="str">
        <f aca="false">IF($B1378="","",TEXT($A1378,"YYYY-MM-DD")&amp;"|"&amp;$B1378)</f>
        <v/>
      </c>
      <c r="P1378" s="3"/>
      <c r="Q1378" s="3"/>
      <c r="R1378" s="3"/>
      <c r="S1378" s="3"/>
      <c r="T1378" s="3"/>
      <c r="U1378" s="3"/>
      <c r="V1378" s="3"/>
      <c r="W1378" s="3"/>
      <c r="X1378" s="3"/>
      <c r="Y1378" s="3"/>
      <c r="Z1378" s="3"/>
      <c r="AA1378" s="3"/>
      <c r="AB1378" s="3"/>
    </row>
    <row r="1379" customFormat="false" ht="15" hidden="false" customHeight="false" outlineLevel="0" collapsed="false">
      <c r="A1379" s="54"/>
      <c r="B1379" s="52"/>
      <c r="C1379" s="56"/>
      <c r="D1379" s="56"/>
      <c r="E1379" s="56"/>
      <c r="F1379" s="56"/>
      <c r="G1379" s="55"/>
      <c r="H1379" s="56"/>
      <c r="I1379" s="56"/>
      <c r="J1379" s="56"/>
      <c r="K1379" s="56"/>
      <c r="L1379" s="56"/>
      <c r="M1379" s="52"/>
      <c r="N1379" s="53"/>
      <c r="O1379" s="62" t="str">
        <f aca="false">IF($B1379="","",TEXT($A1379,"YYYY-MM-DD")&amp;"|"&amp;$B1379)</f>
        <v/>
      </c>
      <c r="P1379" s="3"/>
      <c r="Q1379" s="3"/>
      <c r="R1379" s="3"/>
      <c r="S1379" s="3"/>
      <c r="T1379" s="3"/>
      <c r="U1379" s="3"/>
      <c r="V1379" s="3"/>
      <c r="W1379" s="3"/>
      <c r="X1379" s="3"/>
      <c r="Y1379" s="3"/>
      <c r="Z1379" s="3"/>
      <c r="AA1379" s="3"/>
      <c r="AB1379" s="3"/>
    </row>
    <row r="1380" customFormat="false" ht="15" hidden="false" customHeight="false" outlineLevel="0" collapsed="false">
      <c r="A1380" s="48"/>
      <c r="B1380" s="46"/>
      <c r="C1380" s="50"/>
      <c r="D1380" s="50"/>
      <c r="E1380" s="50"/>
      <c r="F1380" s="50"/>
      <c r="G1380" s="49"/>
      <c r="H1380" s="50"/>
      <c r="I1380" s="50"/>
      <c r="J1380" s="50"/>
      <c r="K1380" s="50"/>
      <c r="L1380" s="50"/>
      <c r="M1380" s="46"/>
      <c r="N1380" s="47"/>
      <c r="O1380" s="62" t="str">
        <f aca="false">IF($B1380="","",TEXT($A1380,"YYYY-MM-DD")&amp;"|"&amp;$B1380)</f>
        <v/>
      </c>
      <c r="P1380" s="3"/>
      <c r="Q1380" s="3"/>
      <c r="R1380" s="3"/>
      <c r="S1380" s="3"/>
      <c r="T1380" s="3"/>
      <c r="U1380" s="3"/>
      <c r="V1380" s="3"/>
      <c r="W1380" s="3"/>
      <c r="X1380" s="3"/>
      <c r="Y1380" s="3"/>
      <c r="Z1380" s="3"/>
      <c r="AA1380" s="3"/>
      <c r="AB1380" s="3"/>
    </row>
    <row r="1381" customFormat="false" ht="15" hidden="false" customHeight="false" outlineLevel="0" collapsed="false">
      <c r="A1381" s="54"/>
      <c r="B1381" s="52"/>
      <c r="C1381" s="56"/>
      <c r="D1381" s="56"/>
      <c r="E1381" s="56"/>
      <c r="F1381" s="56"/>
      <c r="G1381" s="55"/>
      <c r="H1381" s="56"/>
      <c r="I1381" s="56"/>
      <c r="J1381" s="56"/>
      <c r="K1381" s="56"/>
      <c r="L1381" s="56"/>
      <c r="M1381" s="52"/>
      <c r="N1381" s="53"/>
      <c r="O1381" s="62" t="str">
        <f aca="false">IF($B1381="","",TEXT($A1381,"YYYY-MM-DD")&amp;"|"&amp;$B1381)</f>
        <v/>
      </c>
      <c r="P1381" s="3"/>
      <c r="Q1381" s="3"/>
      <c r="R1381" s="3"/>
      <c r="S1381" s="3"/>
      <c r="T1381" s="3"/>
      <c r="U1381" s="3"/>
      <c r="V1381" s="3"/>
      <c r="W1381" s="3"/>
      <c r="X1381" s="3"/>
      <c r="Y1381" s="3"/>
      <c r="Z1381" s="3"/>
      <c r="AA1381" s="3"/>
      <c r="AB1381" s="3"/>
    </row>
    <row r="1382" customFormat="false" ht="15" hidden="false" customHeight="false" outlineLevel="0" collapsed="false">
      <c r="A1382" s="48"/>
      <c r="B1382" s="46"/>
      <c r="C1382" s="50"/>
      <c r="D1382" s="50"/>
      <c r="E1382" s="50"/>
      <c r="F1382" s="50"/>
      <c r="G1382" s="49"/>
      <c r="H1382" s="50"/>
      <c r="I1382" s="50"/>
      <c r="J1382" s="50"/>
      <c r="K1382" s="50"/>
      <c r="L1382" s="50"/>
      <c r="M1382" s="46"/>
      <c r="N1382" s="47"/>
      <c r="O1382" s="62" t="str">
        <f aca="false">IF($B1382="","",TEXT($A1382,"YYYY-MM-DD")&amp;"|"&amp;$B1382)</f>
        <v/>
      </c>
      <c r="P1382" s="3"/>
      <c r="Q1382" s="3"/>
      <c r="R1382" s="3"/>
      <c r="S1382" s="3"/>
      <c r="T1382" s="3"/>
      <c r="U1382" s="3"/>
      <c r="V1382" s="3"/>
      <c r="W1382" s="3"/>
      <c r="X1382" s="3"/>
      <c r="Y1382" s="3"/>
      <c r="Z1382" s="3"/>
      <c r="AA1382" s="3"/>
      <c r="AB1382" s="3"/>
    </row>
    <row r="1383" customFormat="false" ht="15" hidden="false" customHeight="false" outlineLevel="0" collapsed="false">
      <c r="A1383" s="54"/>
      <c r="B1383" s="52"/>
      <c r="C1383" s="56"/>
      <c r="D1383" s="56"/>
      <c r="E1383" s="56"/>
      <c r="F1383" s="56"/>
      <c r="G1383" s="55"/>
      <c r="H1383" s="56"/>
      <c r="I1383" s="56"/>
      <c r="J1383" s="56"/>
      <c r="K1383" s="56"/>
      <c r="L1383" s="56"/>
      <c r="M1383" s="52"/>
      <c r="N1383" s="53"/>
      <c r="O1383" s="62" t="str">
        <f aca="false">IF($B1383="","",TEXT($A1383,"YYYY-MM-DD")&amp;"|"&amp;$B1383)</f>
        <v/>
      </c>
      <c r="P1383" s="3"/>
      <c r="Q1383" s="3"/>
      <c r="R1383" s="3"/>
      <c r="S1383" s="3"/>
      <c r="T1383" s="3"/>
      <c r="U1383" s="3"/>
      <c r="V1383" s="3"/>
      <c r="W1383" s="3"/>
      <c r="X1383" s="3"/>
      <c r="Y1383" s="3"/>
      <c r="Z1383" s="3"/>
      <c r="AA1383" s="3"/>
      <c r="AB1383" s="3"/>
    </row>
    <row r="1384" customFormat="false" ht="15" hidden="false" customHeight="false" outlineLevel="0" collapsed="false">
      <c r="A1384" s="48"/>
      <c r="B1384" s="46"/>
      <c r="C1384" s="50"/>
      <c r="D1384" s="50"/>
      <c r="E1384" s="50"/>
      <c r="F1384" s="50"/>
      <c r="G1384" s="49"/>
      <c r="H1384" s="50"/>
      <c r="I1384" s="50"/>
      <c r="J1384" s="50"/>
      <c r="K1384" s="50"/>
      <c r="L1384" s="50"/>
      <c r="M1384" s="46"/>
      <c r="N1384" s="47"/>
      <c r="O1384" s="62" t="str">
        <f aca="false">IF($B1384="","",TEXT($A1384,"YYYY-MM-DD")&amp;"|"&amp;$B1384)</f>
        <v/>
      </c>
      <c r="P1384" s="3"/>
      <c r="Q1384" s="3"/>
      <c r="R1384" s="3"/>
      <c r="S1384" s="3"/>
      <c r="T1384" s="3"/>
      <c r="U1384" s="3"/>
      <c r="V1384" s="3"/>
      <c r="W1384" s="3"/>
      <c r="X1384" s="3"/>
      <c r="Y1384" s="3"/>
      <c r="Z1384" s="3"/>
      <c r="AA1384" s="3"/>
      <c r="AB1384" s="3"/>
    </row>
    <row r="1385" customFormat="false" ht="15" hidden="false" customHeight="false" outlineLevel="0" collapsed="false">
      <c r="A1385" s="54"/>
      <c r="B1385" s="52"/>
      <c r="C1385" s="56"/>
      <c r="D1385" s="56"/>
      <c r="E1385" s="56"/>
      <c r="F1385" s="56"/>
      <c r="G1385" s="55"/>
      <c r="H1385" s="56"/>
      <c r="I1385" s="56"/>
      <c r="J1385" s="56"/>
      <c r="K1385" s="56"/>
      <c r="L1385" s="56"/>
      <c r="M1385" s="52"/>
      <c r="N1385" s="53"/>
      <c r="O1385" s="62" t="str">
        <f aca="false">IF($B1385="","",TEXT($A1385,"YYYY-MM-DD")&amp;"|"&amp;$B1385)</f>
        <v/>
      </c>
      <c r="P1385" s="3"/>
      <c r="Q1385" s="3"/>
      <c r="R1385" s="3"/>
      <c r="S1385" s="3"/>
      <c r="T1385" s="3"/>
      <c r="U1385" s="3"/>
      <c r="V1385" s="3"/>
      <c r="W1385" s="3"/>
      <c r="X1385" s="3"/>
      <c r="Y1385" s="3"/>
      <c r="Z1385" s="3"/>
      <c r="AA1385" s="3"/>
      <c r="AB1385" s="3"/>
    </row>
    <row r="1386" customFormat="false" ht="15" hidden="false" customHeight="false" outlineLevel="0" collapsed="false">
      <c r="A1386" s="48"/>
      <c r="B1386" s="46"/>
      <c r="C1386" s="50"/>
      <c r="D1386" s="50"/>
      <c r="E1386" s="50"/>
      <c r="F1386" s="50"/>
      <c r="G1386" s="49"/>
      <c r="H1386" s="50"/>
      <c r="I1386" s="50"/>
      <c r="J1386" s="50"/>
      <c r="K1386" s="50"/>
      <c r="L1386" s="50"/>
      <c r="M1386" s="46"/>
      <c r="N1386" s="47"/>
      <c r="O1386" s="62" t="str">
        <f aca="false">IF($B1386="","",TEXT($A1386,"YYYY-MM-DD")&amp;"|"&amp;$B1386)</f>
        <v/>
      </c>
      <c r="P1386" s="3"/>
      <c r="Q1386" s="3"/>
      <c r="R1386" s="3"/>
      <c r="S1386" s="3"/>
      <c r="T1386" s="3"/>
      <c r="U1386" s="3"/>
      <c r="V1386" s="3"/>
      <c r="W1386" s="3"/>
      <c r="X1386" s="3"/>
      <c r="Y1386" s="3"/>
      <c r="Z1386" s="3"/>
      <c r="AA1386" s="3"/>
      <c r="AB1386" s="3"/>
    </row>
    <row r="1387" customFormat="false" ht="15" hidden="false" customHeight="false" outlineLevel="0" collapsed="false">
      <c r="A1387" s="54"/>
      <c r="B1387" s="52"/>
      <c r="C1387" s="56"/>
      <c r="D1387" s="56"/>
      <c r="E1387" s="56"/>
      <c r="F1387" s="56"/>
      <c r="G1387" s="55"/>
      <c r="H1387" s="56"/>
      <c r="I1387" s="56"/>
      <c r="J1387" s="56"/>
      <c r="K1387" s="56"/>
      <c r="L1387" s="56"/>
      <c r="M1387" s="52"/>
      <c r="N1387" s="53"/>
      <c r="O1387" s="62" t="str">
        <f aca="false">IF($B1387="","",TEXT($A1387,"YYYY-MM-DD")&amp;"|"&amp;$B1387)</f>
        <v/>
      </c>
      <c r="P1387" s="3"/>
      <c r="Q1387" s="3"/>
      <c r="R1387" s="3"/>
      <c r="S1387" s="3"/>
      <c r="T1387" s="3"/>
      <c r="U1387" s="3"/>
      <c r="V1387" s="3"/>
      <c r="W1387" s="3"/>
      <c r="X1387" s="3"/>
      <c r="Y1387" s="3"/>
      <c r="Z1387" s="3"/>
      <c r="AA1387" s="3"/>
      <c r="AB1387" s="3"/>
    </row>
    <row r="1388" customFormat="false" ht="15" hidden="false" customHeight="false" outlineLevel="0" collapsed="false">
      <c r="A1388" s="48"/>
      <c r="B1388" s="46"/>
      <c r="C1388" s="50"/>
      <c r="D1388" s="50"/>
      <c r="E1388" s="50"/>
      <c r="F1388" s="50"/>
      <c r="G1388" s="49"/>
      <c r="H1388" s="50"/>
      <c r="I1388" s="50"/>
      <c r="J1388" s="50"/>
      <c r="K1388" s="50"/>
      <c r="L1388" s="50"/>
      <c r="M1388" s="46"/>
      <c r="N1388" s="47"/>
      <c r="O1388" s="62" t="str">
        <f aca="false">IF($B1388="","",TEXT($A1388,"YYYY-MM-DD")&amp;"|"&amp;$B1388)</f>
        <v/>
      </c>
      <c r="P1388" s="3"/>
      <c r="Q1388" s="3"/>
      <c r="R1388" s="3"/>
      <c r="S1388" s="3"/>
      <c r="T1388" s="3"/>
      <c r="U1388" s="3"/>
      <c r="V1388" s="3"/>
      <c r="W1388" s="3"/>
      <c r="X1388" s="3"/>
      <c r="Y1388" s="3"/>
      <c r="Z1388" s="3"/>
      <c r="AA1388" s="3"/>
      <c r="AB1388" s="3"/>
    </row>
    <row r="1389" customFormat="false" ht="15" hidden="false" customHeight="false" outlineLevel="0" collapsed="false">
      <c r="A1389" s="54"/>
      <c r="B1389" s="52"/>
      <c r="C1389" s="56"/>
      <c r="D1389" s="56"/>
      <c r="E1389" s="56"/>
      <c r="F1389" s="56"/>
      <c r="G1389" s="55"/>
      <c r="H1389" s="56"/>
      <c r="I1389" s="56"/>
      <c r="J1389" s="56"/>
      <c r="K1389" s="56"/>
      <c r="L1389" s="56"/>
      <c r="M1389" s="52"/>
      <c r="N1389" s="53"/>
      <c r="O1389" s="62" t="str">
        <f aca="false">IF($B1389="","",TEXT($A1389,"YYYY-MM-DD")&amp;"|"&amp;$B1389)</f>
        <v/>
      </c>
      <c r="P1389" s="3"/>
      <c r="Q1389" s="3"/>
      <c r="R1389" s="3"/>
      <c r="S1389" s="3"/>
      <c r="T1389" s="3"/>
      <c r="U1389" s="3"/>
      <c r="V1389" s="3"/>
      <c r="W1389" s="3"/>
      <c r="X1389" s="3"/>
      <c r="Y1389" s="3"/>
      <c r="Z1389" s="3"/>
      <c r="AA1389" s="3"/>
      <c r="AB1389" s="3"/>
    </row>
    <row r="1390" customFormat="false" ht="15" hidden="false" customHeight="false" outlineLevel="0" collapsed="false">
      <c r="A1390" s="48"/>
      <c r="B1390" s="46"/>
      <c r="C1390" s="50"/>
      <c r="D1390" s="50"/>
      <c r="E1390" s="50"/>
      <c r="F1390" s="50"/>
      <c r="G1390" s="49"/>
      <c r="H1390" s="50"/>
      <c r="I1390" s="50"/>
      <c r="J1390" s="50"/>
      <c r="K1390" s="50"/>
      <c r="L1390" s="50"/>
      <c r="M1390" s="46"/>
      <c r="N1390" s="47"/>
      <c r="O1390" s="62" t="str">
        <f aca="false">IF($B1390="","",TEXT($A1390,"YYYY-MM-DD")&amp;"|"&amp;$B1390)</f>
        <v/>
      </c>
      <c r="P1390" s="3"/>
      <c r="Q1390" s="3"/>
      <c r="R1390" s="3"/>
      <c r="S1390" s="3"/>
      <c r="T1390" s="3"/>
      <c r="U1390" s="3"/>
      <c r="V1390" s="3"/>
      <c r="W1390" s="3"/>
      <c r="X1390" s="3"/>
      <c r="Y1390" s="3"/>
      <c r="Z1390" s="3"/>
      <c r="AA1390" s="3"/>
      <c r="AB1390" s="3"/>
    </row>
    <row r="1391" customFormat="false" ht="15" hidden="false" customHeight="false" outlineLevel="0" collapsed="false">
      <c r="A1391" s="54"/>
      <c r="B1391" s="52"/>
      <c r="C1391" s="56"/>
      <c r="D1391" s="56"/>
      <c r="E1391" s="56"/>
      <c r="F1391" s="56"/>
      <c r="G1391" s="55"/>
      <c r="H1391" s="56"/>
      <c r="I1391" s="56"/>
      <c r="J1391" s="56"/>
      <c r="K1391" s="56"/>
      <c r="L1391" s="56"/>
      <c r="M1391" s="52"/>
      <c r="N1391" s="53"/>
      <c r="O1391" s="62" t="str">
        <f aca="false">IF($B1391="","",TEXT($A1391,"YYYY-MM-DD")&amp;"|"&amp;$B1391)</f>
        <v/>
      </c>
      <c r="P1391" s="3"/>
      <c r="Q1391" s="3"/>
      <c r="R1391" s="3"/>
      <c r="S1391" s="3"/>
      <c r="T1391" s="3"/>
      <c r="U1391" s="3"/>
      <c r="V1391" s="3"/>
      <c r="W1391" s="3"/>
      <c r="X1391" s="3"/>
      <c r="Y1391" s="3"/>
      <c r="Z1391" s="3"/>
      <c r="AA1391" s="3"/>
      <c r="AB1391" s="3"/>
    </row>
    <row r="1392" customFormat="false" ht="15" hidden="false" customHeight="false" outlineLevel="0" collapsed="false">
      <c r="A1392" s="48"/>
      <c r="B1392" s="46"/>
      <c r="C1392" s="50"/>
      <c r="D1392" s="50"/>
      <c r="E1392" s="50"/>
      <c r="F1392" s="50"/>
      <c r="G1392" s="49"/>
      <c r="H1392" s="50"/>
      <c r="I1392" s="50"/>
      <c r="J1392" s="50"/>
      <c r="K1392" s="50"/>
      <c r="L1392" s="50"/>
      <c r="M1392" s="46"/>
      <c r="N1392" s="47"/>
      <c r="O1392" s="62" t="str">
        <f aca="false">IF($B1392="","",TEXT($A1392,"YYYY-MM-DD")&amp;"|"&amp;$B1392)</f>
        <v/>
      </c>
      <c r="P1392" s="3"/>
      <c r="Q1392" s="3"/>
      <c r="R1392" s="3"/>
      <c r="S1392" s="3"/>
      <c r="T1392" s="3"/>
      <c r="U1392" s="3"/>
      <c r="V1392" s="3"/>
      <c r="W1392" s="3"/>
      <c r="X1392" s="3"/>
      <c r="Y1392" s="3"/>
      <c r="Z1392" s="3"/>
      <c r="AA1392" s="3"/>
      <c r="AB1392" s="3"/>
    </row>
    <row r="1393" customFormat="false" ht="15" hidden="false" customHeight="false" outlineLevel="0" collapsed="false">
      <c r="A1393" s="54"/>
      <c r="B1393" s="52"/>
      <c r="C1393" s="56"/>
      <c r="D1393" s="56"/>
      <c r="E1393" s="56"/>
      <c r="F1393" s="56"/>
      <c r="G1393" s="55"/>
      <c r="H1393" s="56"/>
      <c r="I1393" s="56"/>
      <c r="J1393" s="56"/>
      <c r="K1393" s="56"/>
      <c r="L1393" s="56"/>
      <c r="M1393" s="52"/>
      <c r="N1393" s="53"/>
      <c r="O1393" s="62" t="str">
        <f aca="false">IF($B1393="","",TEXT($A1393,"YYYY-MM-DD")&amp;"|"&amp;$B1393)</f>
        <v/>
      </c>
      <c r="P1393" s="3"/>
      <c r="Q1393" s="3"/>
      <c r="R1393" s="3"/>
      <c r="S1393" s="3"/>
      <c r="T1393" s="3"/>
      <c r="U1393" s="3"/>
      <c r="V1393" s="3"/>
      <c r="W1393" s="3"/>
      <c r="X1393" s="3"/>
      <c r="Y1393" s="3"/>
      <c r="Z1393" s="3"/>
      <c r="AA1393" s="3"/>
      <c r="AB1393" s="3"/>
    </row>
    <row r="1394" customFormat="false" ht="15" hidden="false" customHeight="false" outlineLevel="0" collapsed="false">
      <c r="A1394" s="48"/>
      <c r="B1394" s="46"/>
      <c r="C1394" s="50"/>
      <c r="D1394" s="50"/>
      <c r="E1394" s="50"/>
      <c r="F1394" s="50"/>
      <c r="G1394" s="49"/>
      <c r="H1394" s="50"/>
      <c r="I1394" s="50"/>
      <c r="J1394" s="50"/>
      <c r="K1394" s="50"/>
      <c r="L1394" s="50"/>
      <c r="M1394" s="46"/>
      <c r="N1394" s="47"/>
      <c r="O1394" s="62" t="str">
        <f aca="false">IF($B1394="","",TEXT($A1394,"YYYY-MM-DD")&amp;"|"&amp;$B1394)</f>
        <v/>
      </c>
      <c r="P1394" s="3"/>
      <c r="Q1394" s="3"/>
      <c r="R1394" s="3"/>
      <c r="S1394" s="3"/>
      <c r="T1394" s="3"/>
      <c r="U1394" s="3"/>
      <c r="V1394" s="3"/>
      <c r="W1394" s="3"/>
      <c r="X1394" s="3"/>
      <c r="Y1394" s="3"/>
      <c r="Z1394" s="3"/>
      <c r="AA1394" s="3"/>
      <c r="AB1394" s="3"/>
    </row>
    <row r="1395" customFormat="false" ht="15" hidden="false" customHeight="false" outlineLevel="0" collapsed="false">
      <c r="A1395" s="54"/>
      <c r="B1395" s="52"/>
      <c r="C1395" s="56"/>
      <c r="D1395" s="56"/>
      <c r="E1395" s="56"/>
      <c r="F1395" s="56"/>
      <c r="G1395" s="55"/>
      <c r="H1395" s="56"/>
      <c r="I1395" s="56"/>
      <c r="J1395" s="56"/>
      <c r="K1395" s="56"/>
      <c r="L1395" s="56"/>
      <c r="M1395" s="52"/>
      <c r="N1395" s="53"/>
      <c r="O1395" s="62" t="str">
        <f aca="false">IF($B1395="","",TEXT($A1395,"YYYY-MM-DD")&amp;"|"&amp;$B1395)</f>
        <v/>
      </c>
      <c r="P1395" s="3"/>
      <c r="Q1395" s="3"/>
      <c r="R1395" s="3"/>
      <c r="S1395" s="3"/>
      <c r="T1395" s="3"/>
      <c r="U1395" s="3"/>
      <c r="V1395" s="3"/>
      <c r="W1395" s="3"/>
      <c r="X1395" s="3"/>
      <c r="Y1395" s="3"/>
      <c r="Z1395" s="3"/>
      <c r="AA1395" s="3"/>
      <c r="AB1395" s="3"/>
    </row>
    <row r="1396" customFormat="false" ht="15" hidden="false" customHeight="false" outlineLevel="0" collapsed="false">
      <c r="A1396" s="48"/>
      <c r="B1396" s="46"/>
      <c r="C1396" s="50"/>
      <c r="D1396" s="50"/>
      <c r="E1396" s="50"/>
      <c r="F1396" s="50"/>
      <c r="G1396" s="49"/>
      <c r="H1396" s="50"/>
      <c r="I1396" s="50"/>
      <c r="J1396" s="50"/>
      <c r="K1396" s="50"/>
      <c r="L1396" s="50"/>
      <c r="M1396" s="46"/>
      <c r="N1396" s="47"/>
      <c r="O1396" s="62" t="str">
        <f aca="false">IF($B1396="","",TEXT($A1396,"YYYY-MM-DD")&amp;"|"&amp;$B1396)</f>
        <v/>
      </c>
      <c r="P1396" s="3"/>
      <c r="Q1396" s="3"/>
      <c r="R1396" s="3"/>
      <c r="S1396" s="3"/>
      <c r="T1396" s="3"/>
      <c r="U1396" s="3"/>
      <c r="V1396" s="3"/>
      <c r="W1396" s="3"/>
      <c r="X1396" s="3"/>
      <c r="Y1396" s="3"/>
      <c r="Z1396" s="3"/>
      <c r="AA1396" s="3"/>
      <c r="AB1396" s="3"/>
    </row>
    <row r="1397" customFormat="false" ht="15" hidden="false" customHeight="false" outlineLevel="0" collapsed="false">
      <c r="A1397" s="54"/>
      <c r="B1397" s="52"/>
      <c r="C1397" s="56"/>
      <c r="D1397" s="56"/>
      <c r="E1397" s="56"/>
      <c r="F1397" s="56"/>
      <c r="G1397" s="55"/>
      <c r="H1397" s="56"/>
      <c r="I1397" s="56"/>
      <c r="J1397" s="56"/>
      <c r="K1397" s="56"/>
      <c r="L1397" s="56"/>
      <c r="M1397" s="52"/>
      <c r="N1397" s="53"/>
      <c r="O1397" s="62" t="str">
        <f aca="false">IF($B1397="","",TEXT($A1397,"YYYY-MM-DD")&amp;"|"&amp;$B1397)</f>
        <v/>
      </c>
      <c r="P1397" s="3"/>
      <c r="Q1397" s="3"/>
      <c r="R1397" s="3"/>
      <c r="S1397" s="3"/>
      <c r="T1397" s="3"/>
      <c r="U1397" s="3"/>
      <c r="V1397" s="3"/>
      <c r="W1397" s="3"/>
      <c r="X1397" s="3"/>
      <c r="Y1397" s="3"/>
      <c r="Z1397" s="3"/>
      <c r="AA1397" s="3"/>
      <c r="AB1397" s="3"/>
    </row>
    <row r="1398" customFormat="false" ht="15" hidden="false" customHeight="false" outlineLevel="0" collapsed="false">
      <c r="A1398" s="48"/>
      <c r="B1398" s="46"/>
      <c r="C1398" s="50"/>
      <c r="D1398" s="50"/>
      <c r="E1398" s="50"/>
      <c r="F1398" s="50"/>
      <c r="G1398" s="49"/>
      <c r="H1398" s="50"/>
      <c r="I1398" s="50"/>
      <c r="J1398" s="50"/>
      <c r="K1398" s="50"/>
      <c r="L1398" s="50"/>
      <c r="M1398" s="46"/>
      <c r="N1398" s="47"/>
      <c r="O1398" s="62" t="str">
        <f aca="false">IF($B1398="","",TEXT($A1398,"YYYY-MM-DD")&amp;"|"&amp;$B1398)</f>
        <v/>
      </c>
      <c r="P1398" s="3"/>
      <c r="Q1398" s="3"/>
      <c r="R1398" s="3"/>
      <c r="S1398" s="3"/>
      <c r="T1398" s="3"/>
      <c r="U1398" s="3"/>
      <c r="V1398" s="3"/>
      <c r="W1398" s="3"/>
      <c r="X1398" s="3"/>
      <c r="Y1398" s="3"/>
      <c r="Z1398" s="3"/>
      <c r="AA1398" s="3"/>
      <c r="AB1398" s="3"/>
    </row>
    <row r="1399" customFormat="false" ht="15" hidden="false" customHeight="false" outlineLevel="0" collapsed="false">
      <c r="A1399" s="54"/>
      <c r="B1399" s="52"/>
      <c r="C1399" s="56"/>
      <c r="D1399" s="56"/>
      <c r="E1399" s="56"/>
      <c r="F1399" s="56"/>
      <c r="G1399" s="55"/>
      <c r="H1399" s="56"/>
      <c r="I1399" s="56"/>
      <c r="J1399" s="56"/>
      <c r="K1399" s="56"/>
      <c r="L1399" s="56"/>
      <c r="M1399" s="52"/>
      <c r="N1399" s="53"/>
      <c r="O1399" s="62" t="str">
        <f aca="false">IF($B1399="","",TEXT($A1399,"YYYY-MM-DD")&amp;"|"&amp;$B1399)</f>
        <v/>
      </c>
      <c r="P1399" s="3"/>
      <c r="Q1399" s="3"/>
      <c r="R1399" s="3"/>
      <c r="S1399" s="3"/>
      <c r="T1399" s="3"/>
      <c r="U1399" s="3"/>
      <c r="V1399" s="3"/>
      <c r="W1399" s="3"/>
      <c r="X1399" s="3"/>
      <c r="Y1399" s="3"/>
      <c r="Z1399" s="3"/>
      <c r="AA1399" s="3"/>
      <c r="AB1399" s="3"/>
    </row>
    <row r="1400" customFormat="false" ht="15" hidden="false" customHeight="false" outlineLevel="0" collapsed="false">
      <c r="A1400" s="48"/>
      <c r="B1400" s="46"/>
      <c r="C1400" s="50"/>
      <c r="D1400" s="50"/>
      <c r="E1400" s="50"/>
      <c r="F1400" s="50"/>
      <c r="G1400" s="49"/>
      <c r="H1400" s="50"/>
      <c r="I1400" s="50"/>
      <c r="J1400" s="50"/>
      <c r="K1400" s="50"/>
      <c r="L1400" s="50"/>
      <c r="M1400" s="46"/>
      <c r="N1400" s="47"/>
      <c r="O1400" s="62" t="str">
        <f aca="false">IF($B1400="","",TEXT($A1400,"YYYY-MM-DD")&amp;"|"&amp;$B1400)</f>
        <v/>
      </c>
      <c r="P1400" s="3"/>
      <c r="Q1400" s="3"/>
      <c r="R1400" s="3"/>
      <c r="S1400" s="3"/>
      <c r="T1400" s="3"/>
      <c r="U1400" s="3"/>
      <c r="V1400" s="3"/>
      <c r="W1400" s="3"/>
      <c r="X1400" s="3"/>
      <c r="Y1400" s="3"/>
      <c r="Z1400" s="3"/>
      <c r="AA1400" s="3"/>
      <c r="AB1400" s="3"/>
    </row>
    <row r="1401" customFormat="false" ht="15" hidden="false" customHeight="false" outlineLevel="0" collapsed="false">
      <c r="A1401" s="54"/>
      <c r="B1401" s="52"/>
      <c r="C1401" s="56"/>
      <c r="D1401" s="56"/>
      <c r="E1401" s="56"/>
      <c r="F1401" s="56"/>
      <c r="G1401" s="55"/>
      <c r="H1401" s="56"/>
      <c r="I1401" s="56"/>
      <c r="J1401" s="56"/>
      <c r="K1401" s="56"/>
      <c r="L1401" s="56"/>
      <c r="M1401" s="52"/>
      <c r="N1401" s="53"/>
      <c r="O1401" s="62" t="str">
        <f aca="false">IF($B1401="","",TEXT($A1401,"YYYY-MM-DD")&amp;"|"&amp;$B1401)</f>
        <v/>
      </c>
      <c r="P1401" s="3"/>
      <c r="Q1401" s="3"/>
      <c r="R1401" s="3"/>
      <c r="S1401" s="3"/>
      <c r="T1401" s="3"/>
      <c r="U1401" s="3"/>
      <c r="V1401" s="3"/>
      <c r="W1401" s="3"/>
      <c r="X1401" s="3"/>
      <c r="Y1401" s="3"/>
      <c r="Z1401" s="3"/>
      <c r="AA1401" s="3"/>
      <c r="AB1401" s="3"/>
    </row>
    <row r="1402" customFormat="false" ht="15" hidden="false" customHeight="false" outlineLevel="0" collapsed="false">
      <c r="A1402" s="48"/>
      <c r="B1402" s="46"/>
      <c r="C1402" s="50"/>
      <c r="D1402" s="50"/>
      <c r="E1402" s="50"/>
      <c r="F1402" s="50"/>
      <c r="G1402" s="49"/>
      <c r="H1402" s="50"/>
      <c r="I1402" s="50"/>
      <c r="J1402" s="50"/>
      <c r="K1402" s="50"/>
      <c r="L1402" s="50"/>
      <c r="M1402" s="46"/>
      <c r="N1402" s="47"/>
      <c r="O1402" s="62" t="str">
        <f aca="false">IF($B1402="","",TEXT($A1402,"YYYY-MM-DD")&amp;"|"&amp;$B1402)</f>
        <v/>
      </c>
      <c r="P1402" s="3"/>
      <c r="Q1402" s="3"/>
      <c r="R1402" s="3"/>
      <c r="S1402" s="3"/>
      <c r="T1402" s="3"/>
      <c r="U1402" s="3"/>
      <c r="V1402" s="3"/>
      <c r="W1402" s="3"/>
      <c r="X1402" s="3"/>
      <c r="Y1402" s="3"/>
      <c r="Z1402" s="3"/>
      <c r="AA1402" s="3"/>
      <c r="AB1402" s="3"/>
    </row>
    <row r="1403" customFormat="false" ht="15" hidden="false" customHeight="false" outlineLevel="0" collapsed="false">
      <c r="A1403" s="54"/>
      <c r="B1403" s="52"/>
      <c r="C1403" s="56"/>
      <c r="D1403" s="56"/>
      <c r="E1403" s="56"/>
      <c r="F1403" s="56"/>
      <c r="G1403" s="55"/>
      <c r="H1403" s="56"/>
      <c r="I1403" s="56"/>
      <c r="J1403" s="56"/>
      <c r="K1403" s="56"/>
      <c r="L1403" s="56"/>
      <c r="M1403" s="52"/>
      <c r="N1403" s="53"/>
      <c r="O1403" s="62" t="str">
        <f aca="false">IF($B1403="","",TEXT($A1403,"YYYY-MM-DD")&amp;"|"&amp;$B1403)</f>
        <v/>
      </c>
      <c r="P1403" s="3"/>
      <c r="Q1403" s="3"/>
      <c r="R1403" s="3"/>
      <c r="S1403" s="3"/>
      <c r="T1403" s="3"/>
      <c r="U1403" s="3"/>
      <c r="V1403" s="3"/>
      <c r="W1403" s="3"/>
      <c r="X1403" s="3"/>
      <c r="Y1403" s="3"/>
      <c r="Z1403" s="3"/>
      <c r="AA1403" s="3"/>
      <c r="AB1403" s="3"/>
    </row>
    <row r="1404" customFormat="false" ht="15" hidden="false" customHeight="false" outlineLevel="0" collapsed="false">
      <c r="A1404" s="48"/>
      <c r="B1404" s="46"/>
      <c r="C1404" s="50"/>
      <c r="D1404" s="50"/>
      <c r="E1404" s="50"/>
      <c r="F1404" s="50"/>
      <c r="G1404" s="49"/>
      <c r="H1404" s="50"/>
      <c r="I1404" s="50"/>
      <c r="J1404" s="50"/>
      <c r="K1404" s="50"/>
      <c r="L1404" s="50"/>
      <c r="M1404" s="46"/>
      <c r="N1404" s="47"/>
      <c r="O1404" s="62" t="str">
        <f aca="false">IF($B1404="","",TEXT($A1404,"YYYY-MM-DD")&amp;"|"&amp;$B1404)</f>
        <v/>
      </c>
      <c r="P1404" s="3"/>
      <c r="Q1404" s="3"/>
      <c r="R1404" s="3"/>
      <c r="S1404" s="3"/>
      <c r="T1404" s="3"/>
      <c r="U1404" s="3"/>
      <c r="V1404" s="3"/>
      <c r="W1404" s="3"/>
      <c r="X1404" s="3"/>
      <c r="Y1404" s="3"/>
      <c r="Z1404" s="3"/>
      <c r="AA1404" s="3"/>
      <c r="AB1404" s="3"/>
    </row>
    <row r="1405" customFormat="false" ht="15" hidden="false" customHeight="false" outlineLevel="0" collapsed="false">
      <c r="A1405" s="54"/>
      <c r="B1405" s="52"/>
      <c r="C1405" s="56"/>
      <c r="D1405" s="56"/>
      <c r="E1405" s="56"/>
      <c r="F1405" s="56"/>
      <c r="G1405" s="55"/>
      <c r="H1405" s="56"/>
      <c r="I1405" s="56"/>
      <c r="J1405" s="56"/>
      <c r="K1405" s="56"/>
      <c r="L1405" s="56"/>
      <c r="M1405" s="52"/>
      <c r="N1405" s="53"/>
      <c r="O1405" s="62" t="str">
        <f aca="false">IF($B1405="","",TEXT($A1405,"YYYY-MM-DD")&amp;"|"&amp;$B1405)</f>
        <v/>
      </c>
      <c r="P1405" s="3"/>
      <c r="Q1405" s="3"/>
      <c r="R1405" s="3"/>
      <c r="S1405" s="3"/>
      <c r="T1405" s="3"/>
      <c r="U1405" s="3"/>
      <c r="V1405" s="3"/>
      <c r="W1405" s="3"/>
      <c r="X1405" s="3"/>
      <c r="Y1405" s="3"/>
      <c r="Z1405" s="3"/>
      <c r="AA1405" s="3"/>
      <c r="AB1405" s="3"/>
    </row>
    <row r="1406" customFormat="false" ht="15" hidden="false" customHeight="false" outlineLevel="0" collapsed="false">
      <c r="A1406" s="48"/>
      <c r="B1406" s="46"/>
      <c r="C1406" s="50"/>
      <c r="D1406" s="50"/>
      <c r="E1406" s="50"/>
      <c r="F1406" s="50"/>
      <c r="G1406" s="49"/>
      <c r="H1406" s="50"/>
      <c r="I1406" s="50"/>
      <c r="J1406" s="50"/>
      <c r="K1406" s="50"/>
      <c r="L1406" s="50"/>
      <c r="M1406" s="46"/>
      <c r="N1406" s="47"/>
      <c r="O1406" s="62" t="str">
        <f aca="false">IF($B1406="","",TEXT($A1406,"YYYY-MM-DD")&amp;"|"&amp;$B1406)</f>
        <v/>
      </c>
      <c r="P1406" s="3"/>
      <c r="Q1406" s="3"/>
      <c r="R1406" s="3"/>
      <c r="S1406" s="3"/>
      <c r="T1406" s="3"/>
      <c r="U1406" s="3"/>
      <c r="V1406" s="3"/>
      <c r="W1406" s="3"/>
      <c r="X1406" s="3"/>
      <c r="Y1406" s="3"/>
      <c r="Z1406" s="3"/>
      <c r="AA1406" s="3"/>
      <c r="AB1406" s="3"/>
    </row>
    <row r="1407" customFormat="false" ht="15" hidden="false" customHeight="false" outlineLevel="0" collapsed="false">
      <c r="A1407" s="54"/>
      <c r="B1407" s="52"/>
      <c r="C1407" s="56"/>
      <c r="D1407" s="56"/>
      <c r="E1407" s="56"/>
      <c r="F1407" s="56"/>
      <c r="G1407" s="55"/>
      <c r="H1407" s="56"/>
      <c r="I1407" s="56"/>
      <c r="J1407" s="56"/>
      <c r="K1407" s="56"/>
      <c r="L1407" s="56"/>
      <c r="M1407" s="52"/>
      <c r="N1407" s="53"/>
      <c r="O1407" s="62" t="str">
        <f aca="false">IF($B1407="","",TEXT($A1407,"YYYY-MM-DD")&amp;"|"&amp;$B1407)</f>
        <v/>
      </c>
      <c r="P1407" s="3"/>
      <c r="Q1407" s="3"/>
      <c r="R1407" s="3"/>
      <c r="S1407" s="3"/>
      <c r="T1407" s="3"/>
      <c r="U1407" s="3"/>
      <c r="V1407" s="3"/>
      <c r="W1407" s="3"/>
      <c r="X1407" s="3"/>
      <c r="Y1407" s="3"/>
      <c r="Z1407" s="3"/>
      <c r="AA1407" s="3"/>
      <c r="AB1407" s="3"/>
    </row>
    <row r="1408" customFormat="false" ht="15" hidden="false" customHeight="false" outlineLevel="0" collapsed="false">
      <c r="A1408" s="48"/>
      <c r="B1408" s="46"/>
      <c r="C1408" s="50"/>
      <c r="D1408" s="50"/>
      <c r="E1408" s="50"/>
      <c r="F1408" s="50"/>
      <c r="G1408" s="49"/>
      <c r="H1408" s="50"/>
      <c r="I1408" s="50"/>
      <c r="J1408" s="50"/>
      <c r="K1408" s="50"/>
      <c r="L1408" s="50"/>
      <c r="M1408" s="46"/>
      <c r="N1408" s="47"/>
      <c r="O1408" s="62" t="str">
        <f aca="false">IF($B1408="","",TEXT($A1408,"YYYY-MM-DD")&amp;"|"&amp;$B1408)</f>
        <v/>
      </c>
      <c r="P1408" s="3"/>
      <c r="Q1408" s="3"/>
      <c r="R1408" s="3"/>
      <c r="S1408" s="3"/>
      <c r="T1408" s="3"/>
      <c r="U1408" s="3"/>
      <c r="V1408" s="3"/>
      <c r="W1408" s="3"/>
      <c r="X1408" s="3"/>
      <c r="Y1408" s="3"/>
      <c r="Z1408" s="3"/>
      <c r="AA1408" s="3"/>
      <c r="AB1408" s="3"/>
    </row>
    <row r="1409" customFormat="false" ht="15" hidden="false" customHeight="false" outlineLevel="0" collapsed="false">
      <c r="A1409" s="54"/>
      <c r="B1409" s="52"/>
      <c r="C1409" s="56"/>
      <c r="D1409" s="56"/>
      <c r="E1409" s="56"/>
      <c r="F1409" s="56"/>
      <c r="G1409" s="55"/>
      <c r="H1409" s="56"/>
      <c r="I1409" s="56"/>
      <c r="J1409" s="56"/>
      <c r="K1409" s="56"/>
      <c r="L1409" s="56"/>
      <c r="M1409" s="52"/>
      <c r="N1409" s="53"/>
      <c r="O1409" s="62" t="str">
        <f aca="false">IF($B1409="","",TEXT($A1409,"YYYY-MM-DD")&amp;"|"&amp;$B1409)</f>
        <v/>
      </c>
      <c r="P1409" s="3"/>
      <c r="Q1409" s="3"/>
      <c r="R1409" s="3"/>
      <c r="S1409" s="3"/>
      <c r="T1409" s="3"/>
      <c r="U1409" s="3"/>
      <c r="V1409" s="3"/>
      <c r="W1409" s="3"/>
      <c r="X1409" s="3"/>
      <c r="Y1409" s="3"/>
      <c r="Z1409" s="3"/>
      <c r="AA1409" s="3"/>
      <c r="AB1409" s="3"/>
    </row>
    <row r="1410" customFormat="false" ht="15" hidden="false" customHeight="false" outlineLevel="0" collapsed="false">
      <c r="A1410" s="48"/>
      <c r="B1410" s="46"/>
      <c r="C1410" s="50"/>
      <c r="D1410" s="50"/>
      <c r="E1410" s="50"/>
      <c r="F1410" s="50"/>
      <c r="G1410" s="49"/>
      <c r="H1410" s="50"/>
      <c r="I1410" s="50"/>
      <c r="J1410" s="50"/>
      <c r="K1410" s="50"/>
      <c r="L1410" s="50"/>
      <c r="M1410" s="46"/>
      <c r="N1410" s="47"/>
      <c r="O1410" s="62" t="str">
        <f aca="false">IF($B1410="","",TEXT($A1410,"YYYY-MM-DD")&amp;"|"&amp;$B1410)</f>
        <v/>
      </c>
      <c r="P1410" s="3"/>
      <c r="Q1410" s="3"/>
      <c r="R1410" s="3"/>
      <c r="S1410" s="3"/>
      <c r="T1410" s="3"/>
      <c r="U1410" s="3"/>
      <c r="V1410" s="3"/>
      <c r="W1410" s="3"/>
      <c r="X1410" s="3"/>
      <c r="Y1410" s="3"/>
      <c r="Z1410" s="3"/>
      <c r="AA1410" s="3"/>
      <c r="AB1410" s="3"/>
    </row>
    <row r="1411" customFormat="false" ht="15" hidden="false" customHeight="false" outlineLevel="0" collapsed="false">
      <c r="A1411" s="54"/>
      <c r="B1411" s="52"/>
      <c r="C1411" s="56"/>
      <c r="D1411" s="56"/>
      <c r="E1411" s="56"/>
      <c r="F1411" s="56"/>
      <c r="G1411" s="55"/>
      <c r="H1411" s="56"/>
      <c r="I1411" s="56"/>
      <c r="J1411" s="56"/>
      <c r="K1411" s="56"/>
      <c r="L1411" s="56"/>
      <c r="M1411" s="52"/>
      <c r="N1411" s="53"/>
      <c r="O1411" s="62" t="str">
        <f aca="false">IF($B1411="","",TEXT($A1411,"YYYY-MM-DD")&amp;"|"&amp;$B1411)</f>
        <v/>
      </c>
      <c r="P1411" s="3"/>
      <c r="Q1411" s="3"/>
      <c r="R1411" s="3"/>
      <c r="S1411" s="3"/>
      <c r="T1411" s="3"/>
      <c r="U1411" s="3"/>
      <c r="V1411" s="3"/>
      <c r="W1411" s="3"/>
      <c r="X1411" s="3"/>
      <c r="Y1411" s="3"/>
      <c r="Z1411" s="3"/>
      <c r="AA1411" s="3"/>
      <c r="AB1411" s="3"/>
    </row>
    <row r="1412" customFormat="false" ht="15" hidden="false" customHeight="false" outlineLevel="0" collapsed="false">
      <c r="A1412" s="48"/>
      <c r="B1412" s="46"/>
      <c r="C1412" s="50"/>
      <c r="D1412" s="50"/>
      <c r="E1412" s="50"/>
      <c r="F1412" s="50"/>
      <c r="G1412" s="49"/>
      <c r="H1412" s="50"/>
      <c r="I1412" s="50"/>
      <c r="J1412" s="50"/>
      <c r="K1412" s="50"/>
      <c r="L1412" s="50"/>
      <c r="M1412" s="46"/>
      <c r="N1412" s="47"/>
      <c r="O1412" s="62" t="str">
        <f aca="false">IF($B1412="","",TEXT($A1412,"YYYY-MM-DD")&amp;"|"&amp;$B1412)</f>
        <v/>
      </c>
      <c r="P1412" s="3"/>
      <c r="Q1412" s="3"/>
      <c r="R1412" s="3"/>
      <c r="S1412" s="3"/>
      <c r="T1412" s="3"/>
      <c r="U1412" s="3"/>
      <c r="V1412" s="3"/>
      <c r="W1412" s="3"/>
      <c r="X1412" s="3"/>
      <c r="Y1412" s="3"/>
      <c r="Z1412" s="3"/>
      <c r="AA1412" s="3"/>
      <c r="AB1412" s="3"/>
    </row>
    <row r="1413" customFormat="false" ht="15" hidden="false" customHeight="false" outlineLevel="0" collapsed="false">
      <c r="A1413" s="54"/>
      <c r="B1413" s="52"/>
      <c r="C1413" s="56"/>
      <c r="D1413" s="56"/>
      <c r="E1413" s="56"/>
      <c r="F1413" s="56"/>
      <c r="G1413" s="55"/>
      <c r="H1413" s="56"/>
      <c r="I1413" s="56"/>
      <c r="J1413" s="56"/>
      <c r="K1413" s="56"/>
      <c r="L1413" s="56"/>
      <c r="M1413" s="52"/>
      <c r="N1413" s="53"/>
      <c r="O1413" s="62" t="str">
        <f aca="false">IF($B1413="","",TEXT($A1413,"YYYY-MM-DD")&amp;"|"&amp;$B1413)</f>
        <v/>
      </c>
      <c r="P1413" s="3"/>
      <c r="Q1413" s="3"/>
      <c r="R1413" s="3"/>
      <c r="S1413" s="3"/>
      <c r="T1413" s="3"/>
      <c r="U1413" s="3"/>
      <c r="V1413" s="3"/>
      <c r="W1413" s="3"/>
      <c r="X1413" s="3"/>
      <c r="Y1413" s="3"/>
      <c r="Z1413" s="3"/>
      <c r="AA1413" s="3"/>
      <c r="AB1413" s="3"/>
    </row>
    <row r="1414" customFormat="false" ht="15" hidden="false" customHeight="false" outlineLevel="0" collapsed="false">
      <c r="A1414" s="48"/>
      <c r="B1414" s="46"/>
      <c r="C1414" s="50"/>
      <c r="D1414" s="50"/>
      <c r="E1414" s="50"/>
      <c r="F1414" s="50"/>
      <c r="G1414" s="49"/>
      <c r="H1414" s="50"/>
      <c r="I1414" s="50"/>
      <c r="J1414" s="50"/>
      <c r="K1414" s="50"/>
      <c r="L1414" s="50"/>
      <c r="M1414" s="46"/>
      <c r="N1414" s="47"/>
      <c r="O1414" s="62" t="str">
        <f aca="false">IF($B1414="","",TEXT($A1414,"YYYY-MM-DD")&amp;"|"&amp;$B1414)</f>
        <v/>
      </c>
      <c r="P1414" s="3"/>
      <c r="Q1414" s="3"/>
      <c r="R1414" s="3"/>
      <c r="S1414" s="3"/>
      <c r="T1414" s="3"/>
      <c r="U1414" s="3"/>
      <c r="V1414" s="3"/>
      <c r="W1414" s="3"/>
      <c r="X1414" s="3"/>
      <c r="Y1414" s="3"/>
      <c r="Z1414" s="3"/>
      <c r="AA1414" s="3"/>
      <c r="AB1414" s="3"/>
    </row>
    <row r="1415" customFormat="false" ht="15" hidden="false" customHeight="false" outlineLevel="0" collapsed="false">
      <c r="A1415" s="54"/>
      <c r="B1415" s="52"/>
      <c r="C1415" s="56"/>
      <c r="D1415" s="56"/>
      <c r="E1415" s="56"/>
      <c r="F1415" s="56"/>
      <c r="G1415" s="55"/>
      <c r="H1415" s="56"/>
      <c r="I1415" s="56"/>
      <c r="J1415" s="56"/>
      <c r="K1415" s="56"/>
      <c r="L1415" s="56"/>
      <c r="M1415" s="52"/>
      <c r="N1415" s="53"/>
      <c r="O1415" s="62" t="str">
        <f aca="false">IF($B1415="","",TEXT($A1415,"YYYY-MM-DD")&amp;"|"&amp;$B1415)</f>
        <v/>
      </c>
      <c r="P1415" s="3"/>
      <c r="Q1415" s="3"/>
      <c r="R1415" s="3"/>
      <c r="S1415" s="3"/>
      <c r="T1415" s="3"/>
      <c r="U1415" s="3"/>
      <c r="V1415" s="3"/>
      <c r="W1415" s="3"/>
      <c r="X1415" s="3"/>
      <c r="Y1415" s="3"/>
      <c r="Z1415" s="3"/>
      <c r="AA1415" s="3"/>
      <c r="AB1415" s="3"/>
    </row>
    <row r="1416" customFormat="false" ht="15" hidden="false" customHeight="false" outlineLevel="0" collapsed="false">
      <c r="A1416" s="48"/>
      <c r="B1416" s="46"/>
      <c r="C1416" s="50"/>
      <c r="D1416" s="50"/>
      <c r="E1416" s="50"/>
      <c r="F1416" s="50"/>
      <c r="G1416" s="49"/>
      <c r="H1416" s="50"/>
      <c r="I1416" s="50"/>
      <c r="J1416" s="50"/>
      <c r="K1416" s="50"/>
      <c r="L1416" s="50"/>
      <c r="M1416" s="46"/>
      <c r="N1416" s="47"/>
      <c r="O1416" s="62" t="str">
        <f aca="false">IF($B1416="","",TEXT($A1416,"YYYY-MM-DD")&amp;"|"&amp;$B1416)</f>
        <v/>
      </c>
      <c r="P1416" s="3"/>
      <c r="Q1416" s="3"/>
      <c r="R1416" s="3"/>
      <c r="S1416" s="3"/>
      <c r="T1416" s="3"/>
      <c r="U1416" s="3"/>
      <c r="V1416" s="3"/>
      <c r="W1416" s="3"/>
      <c r="X1416" s="3"/>
      <c r="Y1416" s="3"/>
      <c r="Z1416" s="3"/>
      <c r="AA1416" s="3"/>
      <c r="AB1416" s="3"/>
    </row>
    <row r="1417" customFormat="false" ht="15" hidden="false" customHeight="false" outlineLevel="0" collapsed="false">
      <c r="A1417" s="54"/>
      <c r="B1417" s="52"/>
      <c r="C1417" s="56"/>
      <c r="D1417" s="56"/>
      <c r="E1417" s="56"/>
      <c r="F1417" s="56"/>
      <c r="G1417" s="55"/>
      <c r="H1417" s="56"/>
      <c r="I1417" s="56"/>
      <c r="J1417" s="56"/>
      <c r="K1417" s="56"/>
      <c r="L1417" s="56"/>
      <c r="M1417" s="52"/>
      <c r="N1417" s="53"/>
      <c r="O1417" s="62" t="str">
        <f aca="false">IF($B1417="","",TEXT($A1417,"YYYY-MM-DD")&amp;"|"&amp;$B1417)</f>
        <v/>
      </c>
      <c r="P1417" s="3"/>
      <c r="Q1417" s="3"/>
      <c r="R1417" s="3"/>
      <c r="S1417" s="3"/>
      <c r="T1417" s="3"/>
      <c r="U1417" s="3"/>
      <c r="V1417" s="3"/>
      <c r="W1417" s="3"/>
      <c r="X1417" s="3"/>
      <c r="Y1417" s="3"/>
      <c r="Z1417" s="3"/>
      <c r="AA1417" s="3"/>
      <c r="AB1417" s="3"/>
    </row>
    <row r="1418" customFormat="false" ht="15" hidden="false" customHeight="false" outlineLevel="0" collapsed="false">
      <c r="A1418" s="48"/>
      <c r="B1418" s="46"/>
      <c r="C1418" s="50"/>
      <c r="D1418" s="50"/>
      <c r="E1418" s="50"/>
      <c r="F1418" s="50"/>
      <c r="G1418" s="49"/>
      <c r="H1418" s="50"/>
      <c r="I1418" s="50"/>
      <c r="J1418" s="50"/>
      <c r="K1418" s="50"/>
      <c r="L1418" s="50"/>
      <c r="M1418" s="46"/>
      <c r="N1418" s="47"/>
      <c r="O1418" s="62" t="str">
        <f aca="false">IF($B1418="","",TEXT($A1418,"YYYY-MM-DD")&amp;"|"&amp;$B1418)</f>
        <v/>
      </c>
      <c r="P1418" s="3"/>
      <c r="Q1418" s="3"/>
      <c r="R1418" s="3"/>
      <c r="S1418" s="3"/>
      <c r="T1418" s="3"/>
      <c r="U1418" s="3"/>
      <c r="V1418" s="3"/>
      <c r="W1418" s="3"/>
      <c r="X1418" s="3"/>
      <c r="Y1418" s="3"/>
      <c r="Z1418" s="3"/>
      <c r="AA1418" s="3"/>
      <c r="AB1418" s="3"/>
    </row>
    <row r="1419" customFormat="false" ht="15" hidden="false" customHeight="false" outlineLevel="0" collapsed="false">
      <c r="A1419" s="54"/>
      <c r="B1419" s="52"/>
      <c r="C1419" s="56"/>
      <c r="D1419" s="56"/>
      <c r="E1419" s="56"/>
      <c r="F1419" s="56"/>
      <c r="G1419" s="55"/>
      <c r="H1419" s="56"/>
      <c r="I1419" s="56"/>
      <c r="J1419" s="56"/>
      <c r="K1419" s="56"/>
      <c r="L1419" s="56"/>
      <c r="M1419" s="52"/>
      <c r="N1419" s="53"/>
      <c r="O1419" s="62" t="str">
        <f aca="false">IF($B1419="","",TEXT($A1419,"YYYY-MM-DD")&amp;"|"&amp;$B1419)</f>
        <v/>
      </c>
      <c r="P1419" s="3"/>
      <c r="Q1419" s="3"/>
      <c r="R1419" s="3"/>
      <c r="S1419" s="3"/>
      <c r="T1419" s="3"/>
      <c r="U1419" s="3"/>
      <c r="V1419" s="3"/>
      <c r="W1419" s="3"/>
      <c r="X1419" s="3"/>
      <c r="Y1419" s="3"/>
      <c r="Z1419" s="3"/>
      <c r="AA1419" s="3"/>
      <c r="AB1419" s="3"/>
    </row>
    <row r="1420" customFormat="false" ht="15" hidden="false" customHeight="false" outlineLevel="0" collapsed="false">
      <c r="A1420" s="48"/>
      <c r="B1420" s="46"/>
      <c r="C1420" s="50"/>
      <c r="D1420" s="50"/>
      <c r="E1420" s="50"/>
      <c r="F1420" s="50"/>
      <c r="G1420" s="49"/>
      <c r="H1420" s="50"/>
      <c r="I1420" s="50"/>
      <c r="J1420" s="50"/>
      <c r="K1420" s="50"/>
      <c r="L1420" s="50"/>
      <c r="M1420" s="46"/>
      <c r="N1420" s="47"/>
      <c r="O1420" s="62" t="str">
        <f aca="false">IF($B1420="","",TEXT($A1420,"YYYY-MM-DD")&amp;"|"&amp;$B1420)</f>
        <v/>
      </c>
      <c r="P1420" s="3"/>
      <c r="Q1420" s="3"/>
      <c r="R1420" s="3"/>
      <c r="S1420" s="3"/>
      <c r="T1420" s="3"/>
      <c r="U1420" s="3"/>
      <c r="V1420" s="3"/>
      <c r="W1420" s="3"/>
      <c r="X1420" s="3"/>
      <c r="Y1420" s="3"/>
      <c r="Z1420" s="3"/>
      <c r="AA1420" s="3"/>
      <c r="AB1420" s="3"/>
    </row>
    <row r="1421" customFormat="false" ht="15" hidden="false" customHeight="false" outlineLevel="0" collapsed="false">
      <c r="A1421" s="54"/>
      <c r="B1421" s="52"/>
      <c r="C1421" s="56"/>
      <c r="D1421" s="56"/>
      <c r="E1421" s="56"/>
      <c r="F1421" s="56"/>
      <c r="G1421" s="55"/>
      <c r="H1421" s="56"/>
      <c r="I1421" s="56"/>
      <c r="J1421" s="56"/>
      <c r="K1421" s="56"/>
      <c r="L1421" s="56"/>
      <c r="M1421" s="52"/>
      <c r="N1421" s="53"/>
      <c r="O1421" s="62" t="str">
        <f aca="false">IF($B1421="","",TEXT($A1421,"YYYY-MM-DD")&amp;"|"&amp;$B1421)</f>
        <v/>
      </c>
      <c r="P1421" s="3"/>
      <c r="Q1421" s="3"/>
      <c r="R1421" s="3"/>
      <c r="S1421" s="3"/>
      <c r="T1421" s="3"/>
      <c r="U1421" s="3"/>
      <c r="V1421" s="3"/>
      <c r="W1421" s="3"/>
      <c r="X1421" s="3"/>
      <c r="Y1421" s="3"/>
      <c r="Z1421" s="3"/>
      <c r="AA1421" s="3"/>
      <c r="AB1421" s="3"/>
    </row>
    <row r="1422" customFormat="false" ht="15" hidden="false" customHeight="false" outlineLevel="0" collapsed="false">
      <c r="A1422" s="48"/>
      <c r="B1422" s="46"/>
      <c r="C1422" s="50"/>
      <c r="D1422" s="50"/>
      <c r="E1422" s="50"/>
      <c r="F1422" s="50"/>
      <c r="G1422" s="49"/>
      <c r="H1422" s="50"/>
      <c r="I1422" s="50"/>
      <c r="J1422" s="50"/>
      <c r="K1422" s="50"/>
      <c r="L1422" s="50"/>
      <c r="M1422" s="46"/>
      <c r="N1422" s="47"/>
      <c r="O1422" s="62" t="str">
        <f aca="false">IF($B1422="","",TEXT($A1422,"YYYY-MM-DD")&amp;"|"&amp;$B1422)</f>
        <v/>
      </c>
      <c r="P1422" s="3"/>
      <c r="Q1422" s="3"/>
      <c r="R1422" s="3"/>
      <c r="S1422" s="3"/>
      <c r="T1422" s="3"/>
      <c r="U1422" s="3"/>
      <c r="V1422" s="3"/>
      <c r="W1422" s="3"/>
      <c r="X1422" s="3"/>
      <c r="Y1422" s="3"/>
      <c r="Z1422" s="3"/>
      <c r="AA1422" s="3"/>
      <c r="AB1422" s="3"/>
    </row>
    <row r="1423" customFormat="false" ht="15" hidden="false" customHeight="false" outlineLevel="0" collapsed="false">
      <c r="A1423" s="54"/>
      <c r="B1423" s="52"/>
      <c r="C1423" s="56"/>
      <c r="D1423" s="56"/>
      <c r="E1423" s="56"/>
      <c r="F1423" s="56"/>
      <c r="G1423" s="55"/>
      <c r="H1423" s="56"/>
      <c r="I1423" s="56"/>
      <c r="J1423" s="56"/>
      <c r="K1423" s="56"/>
      <c r="L1423" s="56"/>
      <c r="M1423" s="52"/>
      <c r="N1423" s="53"/>
      <c r="O1423" s="62" t="str">
        <f aca="false">IF($B1423="","",TEXT($A1423,"YYYY-MM-DD")&amp;"|"&amp;$B1423)</f>
        <v/>
      </c>
      <c r="P1423" s="3"/>
      <c r="Q1423" s="3"/>
      <c r="R1423" s="3"/>
      <c r="S1423" s="3"/>
      <c r="T1423" s="3"/>
      <c r="U1423" s="3"/>
      <c r="V1423" s="3"/>
      <c r="W1423" s="3"/>
      <c r="X1423" s="3"/>
      <c r="Y1423" s="3"/>
      <c r="Z1423" s="3"/>
      <c r="AA1423" s="3"/>
      <c r="AB1423" s="3"/>
    </row>
    <row r="1424" customFormat="false" ht="15" hidden="false" customHeight="false" outlineLevel="0" collapsed="false">
      <c r="A1424" s="48"/>
      <c r="B1424" s="46"/>
      <c r="C1424" s="50"/>
      <c r="D1424" s="50"/>
      <c r="E1424" s="50"/>
      <c r="F1424" s="50"/>
      <c r="G1424" s="49"/>
      <c r="H1424" s="50"/>
      <c r="I1424" s="50"/>
      <c r="J1424" s="50"/>
      <c r="K1424" s="50"/>
      <c r="L1424" s="50"/>
      <c r="M1424" s="46"/>
      <c r="N1424" s="47"/>
      <c r="O1424" s="62" t="str">
        <f aca="false">IF($B1424="","",TEXT($A1424,"YYYY-MM-DD")&amp;"|"&amp;$B1424)</f>
        <v/>
      </c>
      <c r="P1424" s="3"/>
      <c r="Q1424" s="3"/>
      <c r="R1424" s="3"/>
      <c r="S1424" s="3"/>
      <c r="T1424" s="3"/>
      <c r="U1424" s="3"/>
      <c r="V1424" s="3"/>
      <c r="W1424" s="3"/>
      <c r="X1424" s="3"/>
      <c r="Y1424" s="3"/>
      <c r="Z1424" s="3"/>
      <c r="AA1424" s="3"/>
      <c r="AB1424" s="3"/>
    </row>
    <row r="1425" customFormat="false" ht="15" hidden="false" customHeight="false" outlineLevel="0" collapsed="false">
      <c r="A1425" s="54"/>
      <c r="B1425" s="52"/>
      <c r="C1425" s="56"/>
      <c r="D1425" s="56"/>
      <c r="E1425" s="56"/>
      <c r="F1425" s="56"/>
      <c r="G1425" s="55"/>
      <c r="H1425" s="56"/>
      <c r="I1425" s="56"/>
      <c r="J1425" s="56"/>
      <c r="K1425" s="56"/>
      <c r="L1425" s="56"/>
      <c r="M1425" s="52"/>
      <c r="N1425" s="53"/>
      <c r="O1425" s="62" t="str">
        <f aca="false">IF($B1425="","",TEXT($A1425,"YYYY-MM-DD")&amp;"|"&amp;$B1425)</f>
        <v/>
      </c>
      <c r="P1425" s="3"/>
      <c r="Q1425" s="3"/>
      <c r="R1425" s="3"/>
      <c r="S1425" s="3"/>
      <c r="T1425" s="3"/>
      <c r="U1425" s="3"/>
      <c r="V1425" s="3"/>
      <c r="W1425" s="3"/>
      <c r="X1425" s="3"/>
      <c r="Y1425" s="3"/>
      <c r="Z1425" s="3"/>
      <c r="AA1425" s="3"/>
      <c r="AB1425" s="3"/>
    </row>
    <row r="1426" customFormat="false" ht="15" hidden="false" customHeight="false" outlineLevel="0" collapsed="false">
      <c r="A1426" s="48"/>
      <c r="B1426" s="46"/>
      <c r="C1426" s="50"/>
      <c r="D1426" s="50"/>
      <c r="E1426" s="50"/>
      <c r="F1426" s="50"/>
      <c r="G1426" s="49"/>
      <c r="H1426" s="50"/>
      <c r="I1426" s="50"/>
      <c r="J1426" s="50"/>
      <c r="K1426" s="50"/>
      <c r="L1426" s="50"/>
      <c r="M1426" s="46"/>
      <c r="N1426" s="47"/>
      <c r="O1426" s="62" t="str">
        <f aca="false">IF($B1426="","",TEXT($A1426,"YYYY-MM-DD")&amp;"|"&amp;$B1426)</f>
        <v/>
      </c>
      <c r="P1426" s="3"/>
      <c r="Q1426" s="3"/>
      <c r="R1426" s="3"/>
      <c r="S1426" s="3"/>
      <c r="T1426" s="3"/>
      <c r="U1426" s="3"/>
      <c r="V1426" s="3"/>
      <c r="W1426" s="3"/>
      <c r="X1426" s="3"/>
      <c r="Y1426" s="3"/>
      <c r="Z1426" s="3"/>
      <c r="AA1426" s="3"/>
      <c r="AB1426" s="3"/>
    </row>
    <row r="1427" customFormat="false" ht="15" hidden="false" customHeight="false" outlineLevel="0" collapsed="false">
      <c r="A1427" s="54"/>
      <c r="B1427" s="52"/>
      <c r="C1427" s="56"/>
      <c r="D1427" s="56"/>
      <c r="E1427" s="56"/>
      <c r="F1427" s="56"/>
      <c r="G1427" s="55"/>
      <c r="H1427" s="56"/>
      <c r="I1427" s="56"/>
      <c r="J1427" s="56"/>
      <c r="K1427" s="56"/>
      <c r="L1427" s="56"/>
      <c r="M1427" s="52"/>
      <c r="N1427" s="53"/>
      <c r="O1427" s="62" t="str">
        <f aca="false">IF($B1427="","",TEXT($A1427,"YYYY-MM-DD")&amp;"|"&amp;$B1427)</f>
        <v/>
      </c>
      <c r="P1427" s="3"/>
      <c r="Q1427" s="3"/>
      <c r="R1427" s="3"/>
      <c r="S1427" s="3"/>
      <c r="T1427" s="3"/>
      <c r="U1427" s="3"/>
      <c r="V1427" s="3"/>
      <c r="W1427" s="3"/>
      <c r="X1427" s="3"/>
      <c r="Y1427" s="3"/>
      <c r="Z1427" s="3"/>
      <c r="AA1427" s="3"/>
      <c r="AB1427" s="3"/>
    </row>
    <row r="1428" customFormat="false" ht="15" hidden="false" customHeight="false" outlineLevel="0" collapsed="false">
      <c r="A1428" s="48"/>
      <c r="B1428" s="46"/>
      <c r="C1428" s="50"/>
      <c r="D1428" s="50"/>
      <c r="E1428" s="50"/>
      <c r="F1428" s="50"/>
      <c r="G1428" s="49"/>
      <c r="H1428" s="50"/>
      <c r="I1428" s="50"/>
      <c r="J1428" s="50"/>
      <c r="K1428" s="50"/>
      <c r="L1428" s="50"/>
      <c r="M1428" s="46"/>
      <c r="N1428" s="47"/>
      <c r="O1428" s="62" t="str">
        <f aca="false">IF($B1428="","",TEXT($A1428,"YYYY-MM-DD")&amp;"|"&amp;$B1428)</f>
        <v/>
      </c>
      <c r="P1428" s="3"/>
      <c r="Q1428" s="3"/>
      <c r="R1428" s="3"/>
      <c r="S1428" s="3"/>
      <c r="T1428" s="3"/>
      <c r="U1428" s="3"/>
      <c r="V1428" s="3"/>
      <c r="W1428" s="3"/>
      <c r="X1428" s="3"/>
      <c r="Y1428" s="3"/>
      <c r="Z1428" s="3"/>
      <c r="AA1428" s="3"/>
      <c r="AB1428" s="3"/>
    </row>
    <row r="1429" customFormat="false" ht="15" hidden="false" customHeight="false" outlineLevel="0" collapsed="false">
      <c r="A1429" s="54"/>
      <c r="B1429" s="52"/>
      <c r="C1429" s="56"/>
      <c r="D1429" s="56"/>
      <c r="E1429" s="56"/>
      <c r="F1429" s="56"/>
      <c r="G1429" s="55"/>
      <c r="H1429" s="56"/>
      <c r="I1429" s="56"/>
      <c r="J1429" s="56"/>
      <c r="K1429" s="56"/>
      <c r="L1429" s="56"/>
      <c r="M1429" s="52"/>
      <c r="N1429" s="53"/>
      <c r="O1429" s="62" t="str">
        <f aca="false">IF($B1429="","",TEXT($A1429,"YYYY-MM-DD")&amp;"|"&amp;$B1429)</f>
        <v/>
      </c>
      <c r="P1429" s="3"/>
      <c r="Q1429" s="3"/>
      <c r="R1429" s="3"/>
      <c r="S1429" s="3"/>
      <c r="T1429" s="3"/>
      <c r="U1429" s="3"/>
      <c r="V1429" s="3"/>
      <c r="W1429" s="3"/>
      <c r="X1429" s="3"/>
      <c r="Y1429" s="3"/>
      <c r="Z1429" s="3"/>
      <c r="AA1429" s="3"/>
      <c r="AB1429" s="3"/>
    </row>
    <row r="1430" customFormat="false" ht="15" hidden="false" customHeight="false" outlineLevel="0" collapsed="false">
      <c r="A1430" s="48"/>
      <c r="B1430" s="46"/>
      <c r="C1430" s="50"/>
      <c r="D1430" s="50"/>
      <c r="E1430" s="50"/>
      <c r="F1430" s="50"/>
      <c r="G1430" s="49"/>
      <c r="H1430" s="50"/>
      <c r="I1430" s="50"/>
      <c r="J1430" s="50"/>
      <c r="K1430" s="50"/>
      <c r="L1430" s="50"/>
      <c r="M1430" s="46"/>
      <c r="N1430" s="47"/>
      <c r="O1430" s="62" t="str">
        <f aca="false">IF($B1430="","",TEXT($A1430,"YYYY-MM-DD")&amp;"|"&amp;$B1430)</f>
        <v/>
      </c>
      <c r="P1430" s="3"/>
      <c r="Q1430" s="3"/>
      <c r="R1430" s="3"/>
      <c r="S1430" s="3"/>
      <c r="T1430" s="3"/>
      <c r="U1430" s="3"/>
      <c r="V1430" s="3"/>
      <c r="W1430" s="3"/>
      <c r="X1430" s="3"/>
      <c r="Y1430" s="3"/>
      <c r="Z1430" s="3"/>
      <c r="AA1430" s="3"/>
      <c r="AB1430" s="3"/>
    </row>
    <row r="1431" customFormat="false" ht="15" hidden="false" customHeight="false" outlineLevel="0" collapsed="false">
      <c r="A1431" s="54"/>
      <c r="B1431" s="52"/>
      <c r="C1431" s="56"/>
      <c r="D1431" s="56"/>
      <c r="E1431" s="56"/>
      <c r="F1431" s="56"/>
      <c r="G1431" s="55"/>
      <c r="H1431" s="56"/>
      <c r="I1431" s="56"/>
      <c r="J1431" s="56"/>
      <c r="K1431" s="56"/>
      <c r="L1431" s="56"/>
      <c r="M1431" s="52"/>
      <c r="N1431" s="53"/>
      <c r="O1431" s="62" t="str">
        <f aca="false">IF($B1431="","",TEXT($A1431,"YYYY-MM-DD")&amp;"|"&amp;$B1431)</f>
        <v/>
      </c>
      <c r="P1431" s="3"/>
      <c r="Q1431" s="3"/>
      <c r="R1431" s="3"/>
      <c r="S1431" s="3"/>
      <c r="T1431" s="3"/>
      <c r="U1431" s="3"/>
      <c r="V1431" s="3"/>
      <c r="W1431" s="3"/>
      <c r="X1431" s="3"/>
      <c r="Y1431" s="3"/>
      <c r="Z1431" s="3"/>
      <c r="AA1431" s="3"/>
      <c r="AB1431" s="3"/>
    </row>
    <row r="1432" customFormat="false" ht="15" hidden="false" customHeight="false" outlineLevel="0" collapsed="false">
      <c r="A1432" s="48"/>
      <c r="B1432" s="46"/>
      <c r="C1432" s="50"/>
      <c r="D1432" s="50"/>
      <c r="E1432" s="50"/>
      <c r="F1432" s="50"/>
      <c r="G1432" s="49"/>
      <c r="H1432" s="50"/>
      <c r="I1432" s="50"/>
      <c r="J1432" s="50"/>
      <c r="K1432" s="50"/>
      <c r="L1432" s="50"/>
      <c r="M1432" s="46"/>
      <c r="N1432" s="47"/>
      <c r="O1432" s="62" t="str">
        <f aca="false">IF($B1432="","",TEXT($A1432,"YYYY-MM-DD")&amp;"|"&amp;$B1432)</f>
        <v/>
      </c>
      <c r="P1432" s="3"/>
      <c r="Q1432" s="3"/>
      <c r="R1432" s="3"/>
      <c r="S1432" s="3"/>
      <c r="T1432" s="3"/>
      <c r="U1432" s="3"/>
      <c r="V1432" s="3"/>
      <c r="W1432" s="3"/>
      <c r="X1432" s="3"/>
      <c r="Y1432" s="3"/>
      <c r="Z1432" s="3"/>
      <c r="AA1432" s="3"/>
      <c r="AB1432" s="3"/>
    </row>
    <row r="1433" customFormat="false" ht="15" hidden="false" customHeight="false" outlineLevel="0" collapsed="false">
      <c r="A1433" s="54"/>
      <c r="B1433" s="52"/>
      <c r="C1433" s="56"/>
      <c r="D1433" s="56"/>
      <c r="E1433" s="56"/>
      <c r="F1433" s="56"/>
      <c r="G1433" s="55"/>
      <c r="H1433" s="56"/>
      <c r="I1433" s="56"/>
      <c r="J1433" s="56"/>
      <c r="K1433" s="56"/>
      <c r="L1433" s="56"/>
      <c r="M1433" s="52"/>
      <c r="N1433" s="53"/>
      <c r="O1433" s="62" t="str">
        <f aca="false">IF($B1433="","",TEXT($A1433,"YYYY-MM-DD")&amp;"|"&amp;$B1433)</f>
        <v/>
      </c>
      <c r="P1433" s="3"/>
      <c r="Q1433" s="3"/>
      <c r="R1433" s="3"/>
      <c r="S1433" s="3"/>
      <c r="T1433" s="3"/>
      <c r="U1433" s="3"/>
      <c r="V1433" s="3"/>
      <c r="W1433" s="3"/>
      <c r="X1433" s="3"/>
      <c r="Y1433" s="3"/>
      <c r="Z1433" s="3"/>
      <c r="AA1433" s="3"/>
      <c r="AB1433" s="3"/>
    </row>
    <row r="1434" customFormat="false" ht="15" hidden="false" customHeight="false" outlineLevel="0" collapsed="false">
      <c r="A1434" s="48"/>
      <c r="B1434" s="46"/>
      <c r="C1434" s="50"/>
      <c r="D1434" s="50"/>
      <c r="E1434" s="50"/>
      <c r="F1434" s="50"/>
      <c r="G1434" s="49"/>
      <c r="H1434" s="50"/>
      <c r="I1434" s="50"/>
      <c r="J1434" s="50"/>
      <c r="K1434" s="50"/>
      <c r="L1434" s="50"/>
      <c r="M1434" s="46"/>
      <c r="N1434" s="47"/>
      <c r="O1434" s="62" t="str">
        <f aca="false">IF($B1434="","",TEXT($A1434,"YYYY-MM-DD")&amp;"|"&amp;$B1434)</f>
        <v/>
      </c>
      <c r="P1434" s="3"/>
      <c r="Q1434" s="3"/>
      <c r="R1434" s="3"/>
      <c r="S1434" s="3"/>
      <c r="T1434" s="3"/>
      <c r="U1434" s="3"/>
      <c r="V1434" s="3"/>
      <c r="W1434" s="3"/>
      <c r="X1434" s="3"/>
      <c r="Y1434" s="3"/>
      <c r="Z1434" s="3"/>
      <c r="AA1434" s="3"/>
      <c r="AB1434" s="3"/>
    </row>
    <row r="1435" customFormat="false" ht="15" hidden="false" customHeight="false" outlineLevel="0" collapsed="false">
      <c r="A1435" s="54"/>
      <c r="B1435" s="52"/>
      <c r="C1435" s="56"/>
      <c r="D1435" s="56"/>
      <c r="E1435" s="56"/>
      <c r="F1435" s="56"/>
      <c r="G1435" s="55"/>
      <c r="H1435" s="56"/>
      <c r="I1435" s="56"/>
      <c r="J1435" s="56"/>
      <c r="K1435" s="56"/>
      <c r="L1435" s="56"/>
      <c r="M1435" s="52"/>
      <c r="N1435" s="53"/>
      <c r="O1435" s="62" t="str">
        <f aca="false">IF($B1435="","",TEXT($A1435,"YYYY-MM-DD")&amp;"|"&amp;$B1435)</f>
        <v/>
      </c>
      <c r="P1435" s="3"/>
      <c r="Q1435" s="3"/>
      <c r="R1435" s="3"/>
      <c r="S1435" s="3"/>
      <c r="T1435" s="3"/>
      <c r="U1435" s="3"/>
      <c r="V1435" s="3"/>
      <c r="W1435" s="3"/>
      <c r="X1435" s="3"/>
      <c r="Y1435" s="3"/>
      <c r="Z1435" s="3"/>
      <c r="AA1435" s="3"/>
      <c r="AB1435" s="3"/>
    </row>
    <row r="1436" customFormat="false" ht="15" hidden="false" customHeight="false" outlineLevel="0" collapsed="false">
      <c r="A1436" s="48"/>
      <c r="B1436" s="46"/>
      <c r="C1436" s="50"/>
      <c r="D1436" s="50"/>
      <c r="E1436" s="50"/>
      <c r="F1436" s="50"/>
      <c r="G1436" s="49"/>
      <c r="H1436" s="50"/>
      <c r="I1436" s="50"/>
      <c r="J1436" s="50"/>
      <c r="K1436" s="50"/>
      <c r="L1436" s="50"/>
      <c r="M1436" s="46"/>
      <c r="N1436" s="47"/>
      <c r="O1436" s="62" t="str">
        <f aca="false">IF($B1436="","",TEXT($A1436,"YYYY-MM-DD")&amp;"|"&amp;$B1436)</f>
        <v/>
      </c>
      <c r="P1436" s="3"/>
      <c r="Q1436" s="3"/>
      <c r="R1436" s="3"/>
      <c r="S1436" s="3"/>
      <c r="T1436" s="3"/>
      <c r="U1436" s="3"/>
      <c r="V1436" s="3"/>
      <c r="W1436" s="3"/>
      <c r="X1436" s="3"/>
      <c r="Y1436" s="3"/>
      <c r="Z1436" s="3"/>
      <c r="AA1436" s="3"/>
      <c r="AB1436" s="3"/>
    </row>
    <row r="1437" customFormat="false" ht="15" hidden="false" customHeight="false" outlineLevel="0" collapsed="false">
      <c r="A1437" s="54"/>
      <c r="B1437" s="52"/>
      <c r="C1437" s="56"/>
      <c r="D1437" s="56"/>
      <c r="E1437" s="56"/>
      <c r="F1437" s="56"/>
      <c r="G1437" s="55"/>
      <c r="H1437" s="56"/>
      <c r="I1437" s="56"/>
      <c r="J1437" s="56"/>
      <c r="K1437" s="56"/>
      <c r="L1437" s="56"/>
      <c r="M1437" s="52"/>
      <c r="N1437" s="53"/>
      <c r="O1437" s="62" t="str">
        <f aca="false">IF($B1437="","",TEXT($A1437,"YYYY-MM-DD")&amp;"|"&amp;$B1437)</f>
        <v/>
      </c>
      <c r="P1437" s="3"/>
      <c r="Q1437" s="3"/>
      <c r="R1437" s="3"/>
      <c r="S1437" s="3"/>
      <c r="T1437" s="3"/>
      <c r="U1437" s="3"/>
      <c r="V1437" s="3"/>
      <c r="W1437" s="3"/>
      <c r="X1437" s="3"/>
      <c r="Y1437" s="3"/>
      <c r="Z1437" s="3"/>
      <c r="AA1437" s="3"/>
      <c r="AB1437" s="3"/>
    </row>
    <row r="1438" customFormat="false" ht="15" hidden="false" customHeight="false" outlineLevel="0" collapsed="false">
      <c r="A1438" s="48"/>
      <c r="B1438" s="46"/>
      <c r="C1438" s="50"/>
      <c r="D1438" s="50"/>
      <c r="E1438" s="50"/>
      <c r="F1438" s="50"/>
      <c r="G1438" s="49"/>
      <c r="H1438" s="50"/>
      <c r="I1438" s="50"/>
      <c r="J1438" s="50"/>
      <c r="K1438" s="50"/>
      <c r="L1438" s="50"/>
      <c r="M1438" s="46"/>
      <c r="N1438" s="47"/>
      <c r="O1438" s="62" t="str">
        <f aca="false">IF($B1438="","",TEXT($A1438,"YYYY-MM-DD")&amp;"|"&amp;$B1438)</f>
        <v/>
      </c>
      <c r="P1438" s="3"/>
      <c r="Q1438" s="3"/>
      <c r="R1438" s="3"/>
      <c r="S1438" s="3"/>
      <c r="T1438" s="3"/>
      <c r="U1438" s="3"/>
      <c r="V1438" s="3"/>
      <c r="W1438" s="3"/>
      <c r="X1438" s="3"/>
      <c r="Y1438" s="3"/>
      <c r="Z1438" s="3"/>
      <c r="AA1438" s="3"/>
      <c r="AB1438" s="3"/>
    </row>
    <row r="1439" customFormat="false" ht="15" hidden="false" customHeight="false" outlineLevel="0" collapsed="false">
      <c r="A1439" s="54"/>
      <c r="B1439" s="52"/>
      <c r="C1439" s="56"/>
      <c r="D1439" s="56"/>
      <c r="E1439" s="56"/>
      <c r="F1439" s="56"/>
      <c r="G1439" s="55"/>
      <c r="H1439" s="56"/>
      <c r="I1439" s="56"/>
      <c r="J1439" s="56"/>
      <c r="K1439" s="56"/>
      <c r="L1439" s="56"/>
      <c r="M1439" s="52"/>
      <c r="N1439" s="53"/>
      <c r="O1439" s="62" t="str">
        <f aca="false">IF($B1439="","",TEXT($A1439,"YYYY-MM-DD")&amp;"|"&amp;$B1439)</f>
        <v/>
      </c>
      <c r="P1439" s="3"/>
      <c r="Q1439" s="3"/>
      <c r="R1439" s="3"/>
      <c r="S1439" s="3"/>
      <c r="T1439" s="3"/>
      <c r="U1439" s="3"/>
      <c r="V1439" s="3"/>
      <c r="W1439" s="3"/>
      <c r="X1439" s="3"/>
      <c r="Y1439" s="3"/>
      <c r="Z1439" s="3"/>
      <c r="AA1439" s="3"/>
      <c r="AB1439" s="3"/>
    </row>
    <row r="1440" customFormat="false" ht="15" hidden="false" customHeight="false" outlineLevel="0" collapsed="false">
      <c r="A1440" s="48"/>
      <c r="B1440" s="46"/>
      <c r="C1440" s="50"/>
      <c r="D1440" s="50"/>
      <c r="E1440" s="50"/>
      <c r="F1440" s="50"/>
      <c r="G1440" s="49"/>
      <c r="H1440" s="50"/>
      <c r="I1440" s="50"/>
      <c r="J1440" s="50"/>
      <c r="K1440" s="50"/>
      <c r="L1440" s="50"/>
      <c r="M1440" s="46"/>
      <c r="N1440" s="47"/>
      <c r="O1440" s="62" t="str">
        <f aca="false">IF($B1440="","",TEXT($A1440,"YYYY-MM-DD")&amp;"|"&amp;$B1440)</f>
        <v/>
      </c>
      <c r="P1440" s="3"/>
      <c r="Q1440" s="3"/>
      <c r="R1440" s="3"/>
      <c r="S1440" s="3"/>
      <c r="T1440" s="3"/>
      <c r="U1440" s="3"/>
      <c r="V1440" s="3"/>
      <c r="W1440" s="3"/>
      <c r="X1440" s="3"/>
      <c r="Y1440" s="3"/>
      <c r="Z1440" s="3"/>
      <c r="AA1440" s="3"/>
      <c r="AB1440" s="3"/>
    </row>
    <row r="1441" customFormat="false" ht="15" hidden="false" customHeight="false" outlineLevel="0" collapsed="false">
      <c r="A1441" s="54"/>
      <c r="B1441" s="52"/>
      <c r="C1441" s="56"/>
      <c r="D1441" s="56"/>
      <c r="E1441" s="56"/>
      <c r="F1441" s="56"/>
      <c r="G1441" s="55"/>
      <c r="H1441" s="56"/>
      <c r="I1441" s="56"/>
      <c r="J1441" s="56"/>
      <c r="K1441" s="56"/>
      <c r="L1441" s="56"/>
      <c r="M1441" s="52"/>
      <c r="N1441" s="53"/>
      <c r="O1441" s="62" t="str">
        <f aca="false">IF($B1441="","",TEXT($A1441,"YYYY-MM-DD")&amp;"|"&amp;$B1441)</f>
        <v/>
      </c>
      <c r="P1441" s="3"/>
      <c r="Q1441" s="3"/>
      <c r="R1441" s="3"/>
      <c r="S1441" s="3"/>
      <c r="T1441" s="3"/>
      <c r="U1441" s="3"/>
      <c r="V1441" s="3"/>
      <c r="W1441" s="3"/>
      <c r="X1441" s="3"/>
      <c r="Y1441" s="3"/>
      <c r="Z1441" s="3"/>
      <c r="AA1441" s="3"/>
      <c r="AB1441" s="3"/>
    </row>
    <row r="1442" customFormat="false" ht="15" hidden="false" customHeight="false" outlineLevel="0" collapsed="false">
      <c r="A1442" s="48"/>
      <c r="B1442" s="46"/>
      <c r="C1442" s="50"/>
      <c r="D1442" s="50"/>
      <c r="E1442" s="50"/>
      <c r="F1442" s="50"/>
      <c r="G1442" s="49"/>
      <c r="H1442" s="50"/>
      <c r="I1442" s="50"/>
      <c r="J1442" s="50"/>
      <c r="K1442" s="50"/>
      <c r="L1442" s="50"/>
      <c r="M1442" s="46"/>
      <c r="N1442" s="47"/>
      <c r="O1442" s="62" t="str">
        <f aca="false">IF($B1442="","",TEXT($A1442,"YYYY-MM-DD")&amp;"|"&amp;$B1442)</f>
        <v/>
      </c>
      <c r="P1442" s="3"/>
      <c r="Q1442" s="3"/>
      <c r="R1442" s="3"/>
      <c r="S1442" s="3"/>
      <c r="T1442" s="3"/>
      <c r="U1442" s="3"/>
      <c r="V1442" s="3"/>
      <c r="W1442" s="3"/>
      <c r="X1442" s="3"/>
      <c r="Y1442" s="3"/>
      <c r="Z1442" s="3"/>
      <c r="AA1442" s="3"/>
      <c r="AB1442" s="3"/>
    </row>
    <row r="1443" customFormat="false" ht="15" hidden="false" customHeight="false" outlineLevel="0" collapsed="false">
      <c r="A1443" s="54"/>
      <c r="B1443" s="52"/>
      <c r="C1443" s="56"/>
      <c r="D1443" s="56"/>
      <c r="E1443" s="56"/>
      <c r="F1443" s="56"/>
      <c r="G1443" s="55"/>
      <c r="H1443" s="56"/>
      <c r="I1443" s="56"/>
      <c r="J1443" s="56"/>
      <c r="K1443" s="56"/>
      <c r="L1443" s="56"/>
      <c r="M1443" s="52"/>
      <c r="N1443" s="53"/>
      <c r="O1443" s="62" t="str">
        <f aca="false">IF($B1443="","",TEXT($A1443,"YYYY-MM-DD")&amp;"|"&amp;$B1443)</f>
        <v/>
      </c>
      <c r="P1443" s="3"/>
      <c r="Q1443" s="3"/>
      <c r="R1443" s="3"/>
      <c r="S1443" s="3"/>
      <c r="T1443" s="3"/>
      <c r="U1443" s="3"/>
      <c r="V1443" s="3"/>
      <c r="W1443" s="3"/>
      <c r="X1443" s="3"/>
      <c r="Y1443" s="3"/>
      <c r="Z1443" s="3"/>
      <c r="AA1443" s="3"/>
      <c r="AB1443" s="3"/>
    </row>
    <row r="1444" customFormat="false" ht="15" hidden="false" customHeight="false" outlineLevel="0" collapsed="false">
      <c r="A1444" s="48"/>
      <c r="B1444" s="46"/>
      <c r="C1444" s="50"/>
      <c r="D1444" s="50"/>
      <c r="E1444" s="50"/>
      <c r="F1444" s="50"/>
      <c r="G1444" s="49"/>
      <c r="H1444" s="50"/>
      <c r="I1444" s="50"/>
      <c r="J1444" s="50"/>
      <c r="K1444" s="50"/>
      <c r="L1444" s="50"/>
      <c r="M1444" s="46"/>
      <c r="N1444" s="47"/>
      <c r="O1444" s="62" t="str">
        <f aca="false">IF($B1444="","",TEXT($A1444,"YYYY-MM-DD")&amp;"|"&amp;$B1444)</f>
        <v/>
      </c>
      <c r="P1444" s="3"/>
      <c r="Q1444" s="3"/>
      <c r="R1444" s="3"/>
      <c r="S1444" s="3"/>
      <c r="T1444" s="3"/>
      <c r="U1444" s="3"/>
      <c r="V1444" s="3"/>
      <c r="W1444" s="3"/>
      <c r="X1444" s="3"/>
      <c r="Y1444" s="3"/>
      <c r="Z1444" s="3"/>
      <c r="AA1444" s="3"/>
      <c r="AB1444" s="3"/>
    </row>
    <row r="1445" customFormat="false" ht="15" hidden="false" customHeight="false" outlineLevel="0" collapsed="false">
      <c r="A1445" s="54"/>
      <c r="B1445" s="52"/>
      <c r="C1445" s="56"/>
      <c r="D1445" s="56"/>
      <c r="E1445" s="56"/>
      <c r="F1445" s="56"/>
      <c r="G1445" s="55"/>
      <c r="H1445" s="56"/>
      <c r="I1445" s="56"/>
      <c r="J1445" s="56"/>
      <c r="K1445" s="56"/>
      <c r="L1445" s="56"/>
      <c r="M1445" s="52"/>
      <c r="N1445" s="53"/>
      <c r="O1445" s="62" t="str">
        <f aca="false">IF($B1445="","",TEXT($A1445,"YYYY-MM-DD")&amp;"|"&amp;$B1445)</f>
        <v/>
      </c>
      <c r="P1445" s="3"/>
      <c r="Q1445" s="3"/>
      <c r="R1445" s="3"/>
      <c r="S1445" s="3"/>
      <c r="T1445" s="3"/>
      <c r="U1445" s="3"/>
      <c r="V1445" s="3"/>
      <c r="W1445" s="3"/>
      <c r="X1445" s="3"/>
      <c r="Y1445" s="3"/>
      <c r="Z1445" s="3"/>
      <c r="AA1445" s="3"/>
      <c r="AB1445" s="3"/>
    </row>
    <row r="1446" customFormat="false" ht="15" hidden="false" customHeight="false" outlineLevel="0" collapsed="false">
      <c r="A1446" s="48"/>
      <c r="B1446" s="46"/>
      <c r="C1446" s="50"/>
      <c r="D1446" s="50"/>
      <c r="E1446" s="50"/>
      <c r="F1446" s="50"/>
      <c r="G1446" s="49"/>
      <c r="H1446" s="50"/>
      <c r="I1446" s="50"/>
      <c r="J1446" s="50"/>
      <c r="K1446" s="50"/>
      <c r="L1446" s="50"/>
      <c r="M1446" s="46"/>
      <c r="N1446" s="47"/>
      <c r="O1446" s="62" t="str">
        <f aca="false">IF($B1446="","",TEXT($A1446,"YYYY-MM-DD")&amp;"|"&amp;$B1446)</f>
        <v/>
      </c>
      <c r="P1446" s="3"/>
      <c r="Q1446" s="3"/>
      <c r="R1446" s="3"/>
      <c r="S1446" s="3"/>
      <c r="T1446" s="3"/>
      <c r="U1446" s="3"/>
      <c r="V1446" s="3"/>
      <c r="W1446" s="3"/>
      <c r="X1446" s="3"/>
      <c r="Y1446" s="3"/>
      <c r="Z1446" s="3"/>
      <c r="AA1446" s="3"/>
      <c r="AB1446" s="3"/>
    </row>
    <row r="1447" customFormat="false" ht="15" hidden="false" customHeight="false" outlineLevel="0" collapsed="false">
      <c r="A1447" s="54"/>
      <c r="B1447" s="52"/>
      <c r="C1447" s="56"/>
      <c r="D1447" s="56"/>
      <c r="E1447" s="56"/>
      <c r="F1447" s="56"/>
      <c r="G1447" s="55"/>
      <c r="H1447" s="56"/>
      <c r="I1447" s="56"/>
      <c r="J1447" s="56"/>
      <c r="K1447" s="56"/>
      <c r="L1447" s="56"/>
      <c r="M1447" s="52"/>
      <c r="N1447" s="53"/>
      <c r="O1447" s="62" t="str">
        <f aca="false">IF($B1447="","",TEXT($A1447,"YYYY-MM-DD")&amp;"|"&amp;$B1447)</f>
        <v/>
      </c>
      <c r="P1447" s="3"/>
      <c r="Q1447" s="3"/>
      <c r="R1447" s="3"/>
      <c r="S1447" s="3"/>
      <c r="T1447" s="3"/>
      <c r="U1447" s="3"/>
      <c r="V1447" s="3"/>
      <c r="W1447" s="3"/>
      <c r="X1447" s="3"/>
      <c r="Y1447" s="3"/>
      <c r="Z1447" s="3"/>
      <c r="AA1447" s="3"/>
      <c r="AB1447" s="3"/>
    </row>
    <row r="1448" customFormat="false" ht="15" hidden="false" customHeight="false" outlineLevel="0" collapsed="false">
      <c r="A1448" s="48"/>
      <c r="B1448" s="46"/>
      <c r="C1448" s="50"/>
      <c r="D1448" s="50"/>
      <c r="E1448" s="50"/>
      <c r="F1448" s="50"/>
      <c r="G1448" s="49"/>
      <c r="H1448" s="50"/>
      <c r="I1448" s="50"/>
      <c r="J1448" s="50"/>
      <c r="K1448" s="50"/>
      <c r="L1448" s="50"/>
      <c r="M1448" s="46"/>
      <c r="N1448" s="47"/>
      <c r="O1448" s="62" t="str">
        <f aca="false">IF($B1448="","",TEXT($A1448,"YYYY-MM-DD")&amp;"|"&amp;$B1448)</f>
        <v/>
      </c>
      <c r="P1448" s="3"/>
      <c r="Q1448" s="3"/>
      <c r="R1448" s="3"/>
      <c r="S1448" s="3"/>
      <c r="T1448" s="3"/>
      <c r="U1448" s="3"/>
      <c r="V1448" s="3"/>
      <c r="W1448" s="3"/>
      <c r="X1448" s="3"/>
      <c r="Y1448" s="3"/>
      <c r="Z1448" s="3"/>
      <c r="AA1448" s="3"/>
      <c r="AB1448" s="3"/>
    </row>
    <row r="1449" customFormat="false" ht="15" hidden="false" customHeight="false" outlineLevel="0" collapsed="false">
      <c r="A1449" s="54"/>
      <c r="B1449" s="52"/>
      <c r="C1449" s="56"/>
      <c r="D1449" s="56"/>
      <c r="E1449" s="56"/>
      <c r="F1449" s="56"/>
      <c r="G1449" s="55"/>
      <c r="H1449" s="56"/>
      <c r="I1449" s="56"/>
      <c r="J1449" s="56"/>
      <c r="K1449" s="56"/>
      <c r="L1449" s="56"/>
      <c r="M1449" s="52"/>
      <c r="N1449" s="53"/>
      <c r="O1449" s="62" t="str">
        <f aca="false">IF($B1449="","",TEXT($A1449,"YYYY-MM-DD")&amp;"|"&amp;$B1449)</f>
        <v/>
      </c>
      <c r="P1449" s="3"/>
      <c r="Q1449" s="3"/>
      <c r="R1449" s="3"/>
      <c r="S1449" s="3"/>
      <c r="T1449" s="3"/>
      <c r="U1449" s="3"/>
      <c r="V1449" s="3"/>
      <c r="W1449" s="3"/>
      <c r="X1449" s="3"/>
      <c r="Y1449" s="3"/>
      <c r="Z1449" s="3"/>
      <c r="AA1449" s="3"/>
      <c r="AB1449" s="3"/>
    </row>
    <row r="1450" customFormat="false" ht="15" hidden="false" customHeight="false" outlineLevel="0" collapsed="false">
      <c r="A1450" s="48"/>
      <c r="B1450" s="46"/>
      <c r="C1450" s="50"/>
      <c r="D1450" s="50"/>
      <c r="E1450" s="50"/>
      <c r="F1450" s="50"/>
      <c r="G1450" s="49"/>
      <c r="H1450" s="50"/>
      <c r="I1450" s="50"/>
      <c r="J1450" s="50"/>
      <c r="K1450" s="50"/>
      <c r="L1450" s="50"/>
      <c r="M1450" s="46"/>
      <c r="N1450" s="47"/>
      <c r="O1450" s="62" t="str">
        <f aca="false">IF($B1450="","",TEXT($A1450,"YYYY-MM-DD")&amp;"|"&amp;$B1450)</f>
        <v/>
      </c>
      <c r="P1450" s="3"/>
      <c r="Q1450" s="3"/>
      <c r="R1450" s="3"/>
      <c r="S1450" s="3"/>
      <c r="T1450" s="3"/>
      <c r="U1450" s="3"/>
      <c r="V1450" s="3"/>
      <c r="W1450" s="3"/>
      <c r="X1450" s="3"/>
      <c r="Y1450" s="3"/>
      <c r="Z1450" s="3"/>
      <c r="AA1450" s="3"/>
      <c r="AB1450" s="3"/>
    </row>
    <row r="1451" customFormat="false" ht="15" hidden="false" customHeight="false" outlineLevel="0" collapsed="false">
      <c r="A1451" s="54"/>
      <c r="B1451" s="52"/>
      <c r="C1451" s="56"/>
      <c r="D1451" s="56"/>
      <c r="E1451" s="56"/>
      <c r="F1451" s="56"/>
      <c r="G1451" s="55"/>
      <c r="H1451" s="56"/>
      <c r="I1451" s="56"/>
      <c r="J1451" s="56"/>
      <c r="K1451" s="56"/>
      <c r="L1451" s="56"/>
      <c r="M1451" s="52"/>
      <c r="N1451" s="53"/>
      <c r="O1451" s="62" t="str">
        <f aca="false">IF($B1451="","",TEXT($A1451,"YYYY-MM-DD")&amp;"|"&amp;$B1451)</f>
        <v/>
      </c>
      <c r="P1451" s="3"/>
      <c r="Q1451" s="3"/>
      <c r="R1451" s="3"/>
      <c r="S1451" s="3"/>
      <c r="T1451" s="3"/>
      <c r="U1451" s="3"/>
      <c r="V1451" s="3"/>
      <c r="W1451" s="3"/>
      <c r="X1451" s="3"/>
      <c r="Y1451" s="3"/>
      <c r="Z1451" s="3"/>
      <c r="AA1451" s="3"/>
      <c r="AB1451" s="3"/>
    </row>
    <row r="1452" customFormat="false" ht="15" hidden="false" customHeight="false" outlineLevel="0" collapsed="false">
      <c r="A1452" s="48"/>
      <c r="B1452" s="46"/>
      <c r="C1452" s="50"/>
      <c r="D1452" s="50"/>
      <c r="E1452" s="50"/>
      <c r="F1452" s="50"/>
      <c r="G1452" s="49"/>
      <c r="H1452" s="50"/>
      <c r="I1452" s="50"/>
      <c r="J1452" s="50"/>
      <c r="K1452" s="50"/>
      <c r="L1452" s="50"/>
      <c r="M1452" s="46"/>
      <c r="N1452" s="47"/>
      <c r="O1452" s="62" t="str">
        <f aca="false">IF($B1452="","",TEXT($A1452,"YYYY-MM-DD")&amp;"|"&amp;$B1452)</f>
        <v/>
      </c>
      <c r="P1452" s="3"/>
      <c r="Q1452" s="3"/>
      <c r="R1452" s="3"/>
      <c r="S1452" s="3"/>
      <c r="T1452" s="3"/>
      <c r="U1452" s="3"/>
      <c r="V1452" s="3"/>
      <c r="W1452" s="3"/>
      <c r="X1452" s="3"/>
      <c r="Y1452" s="3"/>
      <c r="Z1452" s="3"/>
      <c r="AA1452" s="3"/>
      <c r="AB1452" s="3"/>
    </row>
    <row r="1453" customFormat="false" ht="15" hidden="false" customHeight="false" outlineLevel="0" collapsed="false">
      <c r="A1453" s="54"/>
      <c r="B1453" s="52"/>
      <c r="C1453" s="56"/>
      <c r="D1453" s="56"/>
      <c r="E1453" s="56"/>
      <c r="F1453" s="56"/>
      <c r="G1453" s="55"/>
      <c r="H1453" s="56"/>
      <c r="I1453" s="56"/>
      <c r="J1453" s="56"/>
      <c r="K1453" s="56"/>
      <c r="L1453" s="56"/>
      <c r="M1453" s="52"/>
      <c r="N1453" s="53"/>
      <c r="O1453" s="62" t="str">
        <f aca="false">IF($B1453="","",TEXT($A1453,"YYYY-MM-DD")&amp;"|"&amp;$B1453)</f>
        <v/>
      </c>
      <c r="P1453" s="3"/>
      <c r="Q1453" s="3"/>
      <c r="R1453" s="3"/>
      <c r="S1453" s="3"/>
      <c r="T1453" s="3"/>
      <c r="U1453" s="3"/>
      <c r="V1453" s="3"/>
      <c r="W1453" s="3"/>
      <c r="X1453" s="3"/>
      <c r="Y1453" s="3"/>
      <c r="Z1453" s="3"/>
      <c r="AA1453" s="3"/>
      <c r="AB1453" s="3"/>
    </row>
    <row r="1454" customFormat="false" ht="15" hidden="false" customHeight="false" outlineLevel="0" collapsed="false">
      <c r="A1454" s="48"/>
      <c r="B1454" s="46"/>
      <c r="C1454" s="50"/>
      <c r="D1454" s="50"/>
      <c r="E1454" s="50"/>
      <c r="F1454" s="50"/>
      <c r="G1454" s="49"/>
      <c r="H1454" s="50"/>
      <c r="I1454" s="50"/>
      <c r="J1454" s="50"/>
      <c r="K1454" s="50"/>
      <c r="L1454" s="50"/>
      <c r="M1454" s="46"/>
      <c r="N1454" s="47"/>
      <c r="O1454" s="62" t="str">
        <f aca="false">IF($B1454="","",TEXT($A1454,"YYYY-MM-DD")&amp;"|"&amp;$B1454)</f>
        <v/>
      </c>
      <c r="P1454" s="3"/>
      <c r="Q1454" s="3"/>
      <c r="R1454" s="3"/>
      <c r="S1454" s="3"/>
      <c r="T1454" s="3"/>
      <c r="U1454" s="3"/>
      <c r="V1454" s="3"/>
      <c r="W1454" s="3"/>
      <c r="X1454" s="3"/>
      <c r="Y1454" s="3"/>
      <c r="Z1454" s="3"/>
      <c r="AA1454" s="3"/>
      <c r="AB1454" s="3"/>
    </row>
    <row r="1455" customFormat="false" ht="15" hidden="false" customHeight="false" outlineLevel="0" collapsed="false">
      <c r="A1455" s="54"/>
      <c r="B1455" s="52"/>
      <c r="C1455" s="56"/>
      <c r="D1455" s="56"/>
      <c r="E1455" s="56"/>
      <c r="F1455" s="56"/>
      <c r="G1455" s="55"/>
      <c r="H1455" s="56"/>
      <c r="I1455" s="56"/>
      <c r="J1455" s="56"/>
      <c r="K1455" s="56"/>
      <c r="L1455" s="56"/>
      <c r="M1455" s="52"/>
      <c r="N1455" s="53"/>
      <c r="O1455" s="62" t="str">
        <f aca="false">IF($B1455="","",TEXT($A1455,"YYYY-MM-DD")&amp;"|"&amp;$B1455)</f>
        <v/>
      </c>
      <c r="P1455" s="3"/>
      <c r="Q1455" s="3"/>
      <c r="R1455" s="3"/>
      <c r="S1455" s="3"/>
      <c r="T1455" s="3"/>
      <c r="U1455" s="3"/>
      <c r="V1455" s="3"/>
      <c r="W1455" s="3"/>
      <c r="X1455" s="3"/>
      <c r="Y1455" s="3"/>
      <c r="Z1455" s="3"/>
      <c r="AA1455" s="3"/>
      <c r="AB1455" s="3"/>
    </row>
    <row r="1456" customFormat="false" ht="15" hidden="false" customHeight="false" outlineLevel="0" collapsed="false">
      <c r="A1456" s="48"/>
      <c r="B1456" s="46"/>
      <c r="C1456" s="50"/>
      <c r="D1456" s="50"/>
      <c r="E1456" s="50"/>
      <c r="F1456" s="50"/>
      <c r="G1456" s="49"/>
      <c r="H1456" s="50"/>
      <c r="I1456" s="50"/>
      <c r="J1456" s="50"/>
      <c r="K1456" s="50"/>
      <c r="L1456" s="50"/>
      <c r="M1456" s="46"/>
      <c r="N1456" s="47"/>
      <c r="O1456" s="62" t="str">
        <f aca="false">IF($B1456="","",TEXT($A1456,"YYYY-MM-DD")&amp;"|"&amp;$B1456)</f>
        <v/>
      </c>
      <c r="P1456" s="3"/>
      <c r="Q1456" s="3"/>
      <c r="R1456" s="3"/>
      <c r="S1456" s="3"/>
      <c r="T1456" s="3"/>
      <c r="U1456" s="3"/>
      <c r="V1456" s="3"/>
      <c r="W1456" s="3"/>
      <c r="X1456" s="3"/>
      <c r="Y1456" s="3"/>
      <c r="Z1456" s="3"/>
      <c r="AA1456" s="3"/>
      <c r="AB1456" s="3"/>
    </row>
    <row r="1457" customFormat="false" ht="15" hidden="false" customHeight="false" outlineLevel="0" collapsed="false">
      <c r="A1457" s="54"/>
      <c r="B1457" s="52"/>
      <c r="C1457" s="56"/>
      <c r="D1457" s="56"/>
      <c r="E1457" s="56"/>
      <c r="F1457" s="56"/>
      <c r="G1457" s="55"/>
      <c r="H1457" s="56"/>
      <c r="I1457" s="56"/>
      <c r="J1457" s="56"/>
      <c r="K1457" s="56"/>
      <c r="L1457" s="56"/>
      <c r="M1457" s="52"/>
      <c r="N1457" s="53"/>
      <c r="O1457" s="62" t="str">
        <f aca="false">IF($B1457="","",TEXT($A1457,"YYYY-MM-DD")&amp;"|"&amp;$B1457)</f>
        <v/>
      </c>
      <c r="P1457" s="3"/>
      <c r="Q1457" s="3"/>
      <c r="R1457" s="3"/>
      <c r="S1457" s="3"/>
      <c r="T1457" s="3"/>
      <c r="U1457" s="3"/>
      <c r="V1457" s="3"/>
      <c r="W1457" s="3"/>
      <c r="X1457" s="3"/>
      <c r="Y1457" s="3"/>
      <c r="Z1457" s="3"/>
      <c r="AA1457" s="3"/>
      <c r="AB1457" s="3"/>
    </row>
    <row r="1458" customFormat="false" ht="15" hidden="false" customHeight="false" outlineLevel="0" collapsed="false">
      <c r="A1458" s="48"/>
      <c r="B1458" s="46"/>
      <c r="C1458" s="50"/>
      <c r="D1458" s="50"/>
      <c r="E1458" s="50"/>
      <c r="F1458" s="50"/>
      <c r="G1458" s="49"/>
      <c r="H1458" s="50"/>
      <c r="I1458" s="50"/>
      <c r="J1458" s="50"/>
      <c r="K1458" s="50"/>
      <c r="L1458" s="50"/>
      <c r="M1458" s="46"/>
      <c r="N1458" s="47"/>
      <c r="O1458" s="62" t="str">
        <f aca="false">IF($B1458="","",TEXT($A1458,"YYYY-MM-DD")&amp;"|"&amp;$B1458)</f>
        <v/>
      </c>
      <c r="P1458" s="3"/>
      <c r="Q1458" s="3"/>
      <c r="R1458" s="3"/>
      <c r="S1458" s="3"/>
      <c r="T1458" s="3"/>
      <c r="U1458" s="3"/>
      <c r="V1458" s="3"/>
      <c r="W1458" s="3"/>
      <c r="X1458" s="3"/>
      <c r="Y1458" s="3"/>
      <c r="Z1458" s="3"/>
      <c r="AA1458" s="3"/>
      <c r="AB1458" s="3"/>
    </row>
    <row r="1459" customFormat="false" ht="15" hidden="false" customHeight="false" outlineLevel="0" collapsed="false">
      <c r="A1459" s="54"/>
      <c r="B1459" s="52"/>
      <c r="C1459" s="56"/>
      <c r="D1459" s="56"/>
      <c r="E1459" s="56"/>
      <c r="F1459" s="56"/>
      <c r="G1459" s="55"/>
      <c r="H1459" s="56"/>
      <c r="I1459" s="56"/>
      <c r="J1459" s="56"/>
      <c r="K1459" s="56"/>
      <c r="L1459" s="56"/>
      <c r="M1459" s="52"/>
      <c r="N1459" s="53"/>
      <c r="O1459" s="62" t="str">
        <f aca="false">IF($B1459="","",TEXT($A1459,"YYYY-MM-DD")&amp;"|"&amp;$B1459)</f>
        <v/>
      </c>
      <c r="P1459" s="3"/>
      <c r="Q1459" s="3"/>
      <c r="R1459" s="3"/>
      <c r="S1459" s="3"/>
      <c r="T1459" s="3"/>
      <c r="U1459" s="3"/>
      <c r="V1459" s="3"/>
      <c r="W1459" s="3"/>
      <c r="X1459" s="3"/>
      <c r="Y1459" s="3"/>
      <c r="Z1459" s="3"/>
      <c r="AA1459" s="3"/>
      <c r="AB1459" s="3"/>
    </row>
    <row r="1460" customFormat="false" ht="15" hidden="false" customHeight="false" outlineLevel="0" collapsed="false">
      <c r="A1460" s="48"/>
      <c r="B1460" s="46"/>
      <c r="C1460" s="50"/>
      <c r="D1460" s="50"/>
      <c r="E1460" s="50"/>
      <c r="F1460" s="50"/>
      <c r="G1460" s="49"/>
      <c r="H1460" s="50"/>
      <c r="I1460" s="50"/>
      <c r="J1460" s="50"/>
      <c r="K1460" s="50"/>
      <c r="L1460" s="50"/>
      <c r="M1460" s="46"/>
      <c r="N1460" s="47"/>
      <c r="O1460" s="62" t="str">
        <f aca="false">IF($B1460="","",TEXT($A1460,"YYYY-MM-DD")&amp;"|"&amp;$B1460)</f>
        <v/>
      </c>
      <c r="P1460" s="3"/>
      <c r="Q1460" s="3"/>
      <c r="R1460" s="3"/>
      <c r="S1460" s="3"/>
      <c r="T1460" s="3"/>
      <c r="U1460" s="3"/>
      <c r="V1460" s="3"/>
      <c r="W1460" s="3"/>
      <c r="X1460" s="3"/>
      <c r="Y1460" s="3"/>
      <c r="Z1460" s="3"/>
      <c r="AA1460" s="3"/>
      <c r="AB1460" s="3"/>
    </row>
    <row r="1461" customFormat="false" ht="15" hidden="false" customHeight="false" outlineLevel="0" collapsed="false">
      <c r="A1461" s="54"/>
      <c r="B1461" s="52"/>
      <c r="C1461" s="56"/>
      <c r="D1461" s="56"/>
      <c r="E1461" s="56"/>
      <c r="F1461" s="56"/>
      <c r="G1461" s="55"/>
      <c r="H1461" s="56"/>
      <c r="I1461" s="56"/>
      <c r="J1461" s="56"/>
      <c r="K1461" s="56"/>
      <c r="L1461" s="56"/>
      <c r="M1461" s="52"/>
      <c r="N1461" s="53"/>
      <c r="O1461" s="62" t="str">
        <f aca="false">IF($B1461="","",TEXT($A1461,"YYYY-MM-DD")&amp;"|"&amp;$B1461)</f>
        <v/>
      </c>
      <c r="P1461" s="3"/>
      <c r="Q1461" s="3"/>
      <c r="R1461" s="3"/>
      <c r="S1461" s="3"/>
      <c r="T1461" s="3"/>
      <c r="U1461" s="3"/>
      <c r="V1461" s="3"/>
      <c r="W1461" s="3"/>
      <c r="X1461" s="3"/>
      <c r="Y1461" s="3"/>
      <c r="Z1461" s="3"/>
      <c r="AA1461" s="3"/>
      <c r="AB1461" s="3"/>
    </row>
    <row r="1462" customFormat="false" ht="15" hidden="false" customHeight="false" outlineLevel="0" collapsed="false">
      <c r="A1462" s="48"/>
      <c r="B1462" s="46"/>
      <c r="C1462" s="50"/>
      <c r="D1462" s="50"/>
      <c r="E1462" s="50"/>
      <c r="F1462" s="50"/>
      <c r="G1462" s="49"/>
      <c r="H1462" s="50"/>
      <c r="I1462" s="50"/>
      <c r="J1462" s="50"/>
      <c r="K1462" s="50"/>
      <c r="L1462" s="50"/>
      <c r="M1462" s="46"/>
      <c r="N1462" s="47"/>
      <c r="O1462" s="62" t="str">
        <f aca="false">IF($B1462="","",TEXT($A1462,"YYYY-MM-DD")&amp;"|"&amp;$B1462)</f>
        <v/>
      </c>
      <c r="P1462" s="3"/>
      <c r="Q1462" s="3"/>
      <c r="R1462" s="3"/>
      <c r="S1462" s="3"/>
      <c r="T1462" s="3"/>
      <c r="U1462" s="3"/>
      <c r="V1462" s="3"/>
      <c r="W1462" s="3"/>
      <c r="X1462" s="3"/>
      <c r="Y1462" s="3"/>
      <c r="Z1462" s="3"/>
      <c r="AA1462" s="3"/>
      <c r="AB1462" s="3"/>
    </row>
    <row r="1463" customFormat="false" ht="15" hidden="false" customHeight="false" outlineLevel="0" collapsed="false">
      <c r="A1463" s="54"/>
      <c r="B1463" s="52"/>
      <c r="C1463" s="56"/>
      <c r="D1463" s="56"/>
      <c r="E1463" s="56"/>
      <c r="F1463" s="56"/>
      <c r="G1463" s="55"/>
      <c r="H1463" s="56"/>
      <c r="I1463" s="56"/>
      <c r="J1463" s="56"/>
      <c r="K1463" s="56"/>
      <c r="L1463" s="56"/>
      <c r="M1463" s="52"/>
      <c r="N1463" s="53"/>
      <c r="O1463" s="62" t="str">
        <f aca="false">IF($B1463="","",TEXT($A1463,"YYYY-MM-DD")&amp;"|"&amp;$B1463)</f>
        <v/>
      </c>
      <c r="P1463" s="3"/>
      <c r="Q1463" s="3"/>
      <c r="R1463" s="3"/>
      <c r="S1463" s="3"/>
      <c r="T1463" s="3"/>
      <c r="U1463" s="3"/>
      <c r="V1463" s="3"/>
      <c r="W1463" s="3"/>
      <c r="X1463" s="3"/>
      <c r="Y1463" s="3"/>
      <c r="Z1463" s="3"/>
      <c r="AA1463" s="3"/>
      <c r="AB1463" s="3"/>
    </row>
    <row r="1464" customFormat="false" ht="15" hidden="false" customHeight="false" outlineLevel="0" collapsed="false">
      <c r="A1464" s="48"/>
      <c r="B1464" s="46"/>
      <c r="C1464" s="50"/>
      <c r="D1464" s="50"/>
      <c r="E1464" s="50"/>
      <c r="F1464" s="50"/>
      <c r="G1464" s="49"/>
      <c r="H1464" s="50"/>
      <c r="I1464" s="50"/>
      <c r="J1464" s="50"/>
      <c r="K1464" s="50"/>
      <c r="L1464" s="50"/>
      <c r="M1464" s="46"/>
      <c r="N1464" s="47"/>
      <c r="O1464" s="62" t="str">
        <f aca="false">IF($B1464="","",TEXT($A1464,"YYYY-MM-DD")&amp;"|"&amp;$B1464)</f>
        <v/>
      </c>
      <c r="P1464" s="3"/>
      <c r="Q1464" s="3"/>
      <c r="R1464" s="3"/>
      <c r="S1464" s="3"/>
      <c r="T1464" s="3"/>
      <c r="U1464" s="3"/>
      <c r="V1464" s="3"/>
      <c r="W1464" s="3"/>
      <c r="X1464" s="3"/>
      <c r="Y1464" s="3"/>
      <c r="Z1464" s="3"/>
      <c r="AA1464" s="3"/>
      <c r="AB1464" s="3"/>
    </row>
    <row r="1465" customFormat="false" ht="15" hidden="false" customHeight="false" outlineLevel="0" collapsed="false">
      <c r="A1465" s="54"/>
      <c r="B1465" s="52"/>
      <c r="C1465" s="56"/>
      <c r="D1465" s="56"/>
      <c r="E1465" s="56"/>
      <c r="F1465" s="56"/>
      <c r="G1465" s="55"/>
      <c r="H1465" s="56"/>
      <c r="I1465" s="56"/>
      <c r="J1465" s="56"/>
      <c r="K1465" s="56"/>
      <c r="L1465" s="56"/>
      <c r="M1465" s="52"/>
      <c r="N1465" s="53"/>
      <c r="O1465" s="62" t="str">
        <f aca="false">IF($B1465="","",TEXT($A1465,"YYYY-MM-DD")&amp;"|"&amp;$B1465)</f>
        <v/>
      </c>
      <c r="P1465" s="3"/>
      <c r="Q1465" s="3"/>
      <c r="R1465" s="3"/>
      <c r="S1465" s="3"/>
      <c r="T1465" s="3"/>
      <c r="U1465" s="3"/>
      <c r="V1465" s="3"/>
      <c r="W1465" s="3"/>
      <c r="X1465" s="3"/>
      <c r="Y1465" s="3"/>
      <c r="Z1465" s="3"/>
      <c r="AA1465" s="3"/>
      <c r="AB1465" s="3"/>
    </row>
    <row r="1466" customFormat="false" ht="15" hidden="false" customHeight="false" outlineLevel="0" collapsed="false">
      <c r="A1466" s="48"/>
      <c r="B1466" s="46"/>
      <c r="C1466" s="50"/>
      <c r="D1466" s="50"/>
      <c r="E1466" s="50"/>
      <c r="F1466" s="50"/>
      <c r="G1466" s="49"/>
      <c r="H1466" s="50"/>
      <c r="I1466" s="50"/>
      <c r="J1466" s="50"/>
      <c r="K1466" s="50"/>
      <c r="L1466" s="50"/>
      <c r="M1466" s="46"/>
      <c r="N1466" s="47"/>
      <c r="O1466" s="62" t="str">
        <f aca="false">IF($B1466="","",TEXT($A1466,"YYYY-MM-DD")&amp;"|"&amp;$B1466)</f>
        <v/>
      </c>
      <c r="P1466" s="3"/>
      <c r="Q1466" s="3"/>
      <c r="R1466" s="3"/>
      <c r="S1466" s="3"/>
      <c r="T1466" s="3"/>
      <c r="U1466" s="3"/>
      <c r="V1466" s="3"/>
      <c r="W1466" s="3"/>
      <c r="X1466" s="3"/>
      <c r="Y1466" s="3"/>
      <c r="Z1466" s="3"/>
      <c r="AA1466" s="3"/>
      <c r="AB1466" s="3"/>
    </row>
    <row r="1467" customFormat="false" ht="15" hidden="false" customHeight="false" outlineLevel="0" collapsed="false">
      <c r="A1467" s="54"/>
      <c r="B1467" s="52"/>
      <c r="C1467" s="56"/>
      <c r="D1467" s="56"/>
      <c r="E1467" s="56"/>
      <c r="F1467" s="56"/>
      <c r="G1467" s="55"/>
      <c r="H1467" s="56"/>
      <c r="I1467" s="56"/>
      <c r="J1467" s="56"/>
      <c r="K1467" s="56"/>
      <c r="L1467" s="56"/>
      <c r="M1467" s="52"/>
      <c r="N1467" s="53"/>
      <c r="O1467" s="62" t="str">
        <f aca="false">IF($B1467="","",TEXT($A1467,"YYYY-MM-DD")&amp;"|"&amp;$B1467)</f>
        <v/>
      </c>
      <c r="P1467" s="3"/>
      <c r="Q1467" s="3"/>
      <c r="R1467" s="3"/>
      <c r="S1467" s="3"/>
      <c r="T1467" s="3"/>
      <c r="U1467" s="3"/>
      <c r="V1467" s="3"/>
      <c r="W1467" s="3"/>
      <c r="X1467" s="3"/>
      <c r="Y1467" s="3"/>
      <c r="Z1467" s="3"/>
      <c r="AA1467" s="3"/>
      <c r="AB1467" s="3"/>
    </row>
    <row r="1468" customFormat="false" ht="15" hidden="false" customHeight="false" outlineLevel="0" collapsed="false">
      <c r="A1468" s="48"/>
      <c r="B1468" s="46"/>
      <c r="C1468" s="50"/>
      <c r="D1468" s="50"/>
      <c r="E1468" s="50"/>
      <c r="F1468" s="50"/>
      <c r="G1468" s="49"/>
      <c r="H1468" s="50"/>
      <c r="I1468" s="50"/>
      <c r="J1468" s="50"/>
      <c r="K1468" s="50"/>
      <c r="L1468" s="50"/>
      <c r="M1468" s="46"/>
      <c r="N1468" s="47"/>
      <c r="O1468" s="62" t="str">
        <f aca="false">IF($B1468="","",TEXT($A1468,"YYYY-MM-DD")&amp;"|"&amp;$B1468)</f>
        <v/>
      </c>
      <c r="P1468" s="3"/>
      <c r="Q1468" s="3"/>
      <c r="R1468" s="3"/>
      <c r="S1468" s="3"/>
      <c r="T1468" s="3"/>
      <c r="U1468" s="3"/>
      <c r="V1468" s="3"/>
      <c r="W1468" s="3"/>
      <c r="X1468" s="3"/>
      <c r="Y1468" s="3"/>
      <c r="Z1468" s="3"/>
      <c r="AA1468" s="3"/>
      <c r="AB1468" s="3"/>
    </row>
    <row r="1469" customFormat="false" ht="15" hidden="false" customHeight="false" outlineLevel="0" collapsed="false">
      <c r="A1469" s="54"/>
      <c r="B1469" s="52"/>
      <c r="C1469" s="56"/>
      <c r="D1469" s="56"/>
      <c r="E1469" s="56"/>
      <c r="F1469" s="56"/>
      <c r="G1469" s="55"/>
      <c r="H1469" s="56"/>
      <c r="I1469" s="56"/>
      <c r="J1469" s="56"/>
      <c r="K1469" s="56"/>
      <c r="L1469" s="56"/>
      <c r="M1469" s="52"/>
      <c r="N1469" s="53"/>
      <c r="O1469" s="62" t="str">
        <f aca="false">IF($B1469="","",TEXT($A1469,"YYYY-MM-DD")&amp;"|"&amp;$B1469)</f>
        <v/>
      </c>
      <c r="P1469" s="3"/>
      <c r="Q1469" s="3"/>
      <c r="R1469" s="3"/>
      <c r="S1469" s="3"/>
      <c r="T1469" s="3"/>
      <c r="U1469" s="3"/>
      <c r="V1469" s="3"/>
      <c r="W1469" s="3"/>
      <c r="X1469" s="3"/>
      <c r="Y1469" s="3"/>
      <c r="Z1469" s="3"/>
      <c r="AA1469" s="3"/>
      <c r="AB1469" s="3"/>
    </row>
    <row r="1470" customFormat="false" ht="15" hidden="false" customHeight="false" outlineLevel="0" collapsed="false">
      <c r="A1470" s="48"/>
      <c r="B1470" s="46"/>
      <c r="C1470" s="50"/>
      <c r="D1470" s="50"/>
      <c r="E1470" s="50"/>
      <c r="F1470" s="50"/>
      <c r="G1470" s="49"/>
      <c r="H1470" s="50"/>
      <c r="I1470" s="50"/>
      <c r="J1470" s="50"/>
      <c r="K1470" s="50"/>
      <c r="L1470" s="50"/>
      <c r="M1470" s="46"/>
      <c r="N1470" s="47"/>
      <c r="O1470" s="62" t="str">
        <f aca="false">IF($B1470="","",TEXT($A1470,"YYYY-MM-DD")&amp;"|"&amp;$B1470)</f>
        <v/>
      </c>
      <c r="P1470" s="3"/>
      <c r="Q1470" s="3"/>
      <c r="R1470" s="3"/>
      <c r="S1470" s="3"/>
      <c r="T1470" s="3"/>
      <c r="U1470" s="3"/>
      <c r="V1470" s="3"/>
      <c r="W1470" s="3"/>
      <c r="X1470" s="3"/>
      <c r="Y1470" s="3"/>
      <c r="Z1470" s="3"/>
      <c r="AA1470" s="3"/>
      <c r="AB1470" s="3"/>
    </row>
    <row r="1471" customFormat="false" ht="15" hidden="false" customHeight="false" outlineLevel="0" collapsed="false">
      <c r="A1471" s="54"/>
      <c r="B1471" s="52"/>
      <c r="C1471" s="56"/>
      <c r="D1471" s="56"/>
      <c r="E1471" s="56"/>
      <c r="F1471" s="56"/>
      <c r="G1471" s="55"/>
      <c r="H1471" s="56"/>
      <c r="I1471" s="56"/>
      <c r="J1471" s="56"/>
      <c r="K1471" s="56"/>
      <c r="L1471" s="56"/>
      <c r="M1471" s="52"/>
      <c r="N1471" s="53"/>
      <c r="O1471" s="62" t="str">
        <f aca="false">IF($B1471="","",TEXT($A1471,"YYYY-MM-DD")&amp;"|"&amp;$B1471)</f>
        <v/>
      </c>
      <c r="P1471" s="3"/>
      <c r="Q1471" s="3"/>
      <c r="R1471" s="3"/>
      <c r="S1471" s="3"/>
      <c r="T1471" s="3"/>
      <c r="U1471" s="3"/>
      <c r="V1471" s="3"/>
      <c r="W1471" s="3"/>
      <c r="X1471" s="3"/>
      <c r="Y1471" s="3"/>
      <c r="Z1471" s="3"/>
      <c r="AA1471" s="3"/>
      <c r="AB1471" s="3"/>
    </row>
    <row r="1472" customFormat="false" ht="15" hidden="false" customHeight="false" outlineLevel="0" collapsed="false">
      <c r="A1472" s="48"/>
      <c r="B1472" s="46"/>
      <c r="C1472" s="50"/>
      <c r="D1472" s="50"/>
      <c r="E1472" s="50"/>
      <c r="F1472" s="50"/>
      <c r="G1472" s="49"/>
      <c r="H1472" s="50"/>
      <c r="I1472" s="50"/>
      <c r="J1472" s="50"/>
      <c r="K1472" s="50"/>
      <c r="L1472" s="50"/>
      <c r="M1472" s="46"/>
      <c r="N1472" s="47"/>
      <c r="O1472" s="62" t="str">
        <f aca="false">IF($B1472="","",TEXT($A1472,"YYYY-MM-DD")&amp;"|"&amp;$B1472)</f>
        <v/>
      </c>
      <c r="P1472" s="3"/>
      <c r="Q1472" s="3"/>
      <c r="R1472" s="3"/>
      <c r="S1472" s="3"/>
      <c r="T1472" s="3"/>
      <c r="U1472" s="3"/>
      <c r="V1472" s="3"/>
      <c r="W1472" s="3"/>
      <c r="X1472" s="3"/>
      <c r="Y1472" s="3"/>
      <c r="Z1472" s="3"/>
      <c r="AA1472" s="3"/>
      <c r="AB1472" s="3"/>
    </row>
    <row r="1473" customFormat="false" ht="15" hidden="false" customHeight="false" outlineLevel="0" collapsed="false">
      <c r="A1473" s="54"/>
      <c r="B1473" s="52"/>
      <c r="C1473" s="56"/>
      <c r="D1473" s="56"/>
      <c r="E1473" s="56"/>
      <c r="F1473" s="56"/>
      <c r="G1473" s="55"/>
      <c r="H1473" s="56"/>
      <c r="I1473" s="56"/>
      <c r="J1473" s="56"/>
      <c r="K1473" s="56"/>
      <c r="L1473" s="56"/>
      <c r="M1473" s="52"/>
      <c r="N1473" s="53"/>
      <c r="O1473" s="62" t="str">
        <f aca="false">IF($B1473="","",TEXT($A1473,"YYYY-MM-DD")&amp;"|"&amp;$B1473)</f>
        <v/>
      </c>
      <c r="P1473" s="3"/>
      <c r="Q1473" s="3"/>
      <c r="R1473" s="3"/>
      <c r="S1473" s="3"/>
      <c r="T1473" s="3"/>
      <c r="U1473" s="3"/>
      <c r="V1473" s="3"/>
      <c r="W1473" s="3"/>
      <c r="X1473" s="3"/>
      <c r="Y1473" s="3"/>
      <c r="Z1473" s="3"/>
      <c r="AA1473" s="3"/>
      <c r="AB1473" s="3"/>
    </row>
    <row r="1474" customFormat="false" ht="15" hidden="false" customHeight="false" outlineLevel="0" collapsed="false">
      <c r="A1474" s="48"/>
      <c r="B1474" s="46"/>
      <c r="C1474" s="50"/>
      <c r="D1474" s="50"/>
      <c r="E1474" s="50"/>
      <c r="F1474" s="50"/>
      <c r="G1474" s="49"/>
      <c r="H1474" s="50"/>
      <c r="I1474" s="50"/>
      <c r="J1474" s="50"/>
      <c r="K1474" s="50"/>
      <c r="L1474" s="50"/>
      <c r="M1474" s="46"/>
      <c r="N1474" s="47"/>
      <c r="O1474" s="62" t="str">
        <f aca="false">IF($B1474="","",TEXT($A1474,"YYYY-MM-DD")&amp;"|"&amp;$B1474)</f>
        <v/>
      </c>
      <c r="P1474" s="3"/>
      <c r="Q1474" s="3"/>
      <c r="R1474" s="3"/>
      <c r="S1474" s="3"/>
      <c r="T1474" s="3"/>
      <c r="U1474" s="3"/>
      <c r="V1474" s="3"/>
      <c r="W1474" s="3"/>
      <c r="X1474" s="3"/>
      <c r="Y1474" s="3"/>
      <c r="Z1474" s="3"/>
      <c r="AA1474" s="3"/>
      <c r="AB1474" s="3"/>
    </row>
    <row r="1475" customFormat="false" ht="15" hidden="false" customHeight="false" outlineLevel="0" collapsed="false">
      <c r="A1475" s="54"/>
      <c r="B1475" s="52"/>
      <c r="C1475" s="56"/>
      <c r="D1475" s="56"/>
      <c r="E1475" s="56"/>
      <c r="F1475" s="56"/>
      <c r="G1475" s="55"/>
      <c r="H1475" s="56"/>
      <c r="I1475" s="56"/>
      <c r="J1475" s="56"/>
      <c r="K1475" s="56"/>
      <c r="L1475" s="56"/>
      <c r="M1475" s="52"/>
      <c r="N1475" s="53"/>
      <c r="O1475" s="62" t="str">
        <f aca="false">IF($B1475="","",TEXT($A1475,"YYYY-MM-DD")&amp;"|"&amp;$B1475)</f>
        <v/>
      </c>
      <c r="P1475" s="3"/>
      <c r="Q1475" s="3"/>
      <c r="R1475" s="3"/>
      <c r="S1475" s="3"/>
      <c r="T1475" s="3"/>
      <c r="U1475" s="3"/>
      <c r="V1475" s="3"/>
      <c r="W1475" s="3"/>
      <c r="X1475" s="3"/>
      <c r="Y1475" s="3"/>
      <c r="Z1475" s="3"/>
      <c r="AA1475" s="3"/>
      <c r="AB1475" s="3"/>
    </row>
    <row r="1476" customFormat="false" ht="15" hidden="false" customHeight="false" outlineLevel="0" collapsed="false">
      <c r="A1476" s="48"/>
      <c r="B1476" s="46"/>
      <c r="C1476" s="50"/>
      <c r="D1476" s="50"/>
      <c r="E1476" s="50"/>
      <c r="F1476" s="50"/>
      <c r="G1476" s="49"/>
      <c r="H1476" s="50"/>
      <c r="I1476" s="50"/>
      <c r="J1476" s="50"/>
      <c r="K1476" s="50"/>
      <c r="L1476" s="50"/>
      <c r="M1476" s="46"/>
      <c r="N1476" s="47"/>
      <c r="O1476" s="62" t="str">
        <f aca="false">IF($B1476="","",TEXT($A1476,"YYYY-MM-DD")&amp;"|"&amp;$B1476)</f>
        <v/>
      </c>
      <c r="P1476" s="3"/>
      <c r="Q1476" s="3"/>
      <c r="R1476" s="3"/>
      <c r="S1476" s="3"/>
      <c r="T1476" s="3"/>
      <c r="U1476" s="3"/>
      <c r="V1476" s="3"/>
      <c r="W1476" s="3"/>
      <c r="X1476" s="3"/>
      <c r="Y1476" s="3"/>
      <c r="Z1476" s="3"/>
      <c r="AA1476" s="3"/>
      <c r="AB1476" s="3"/>
    </row>
    <row r="1477" customFormat="false" ht="15" hidden="false" customHeight="false" outlineLevel="0" collapsed="false">
      <c r="A1477" s="54"/>
      <c r="B1477" s="52"/>
      <c r="C1477" s="56"/>
      <c r="D1477" s="56"/>
      <c r="E1477" s="56"/>
      <c r="F1477" s="56"/>
      <c r="G1477" s="55"/>
      <c r="H1477" s="56"/>
      <c r="I1477" s="56"/>
      <c r="J1477" s="56"/>
      <c r="K1477" s="56"/>
      <c r="L1477" s="56"/>
      <c r="M1477" s="52"/>
      <c r="N1477" s="53"/>
      <c r="O1477" s="62" t="str">
        <f aca="false">IF($B1477="","",TEXT($A1477,"YYYY-MM-DD")&amp;"|"&amp;$B1477)</f>
        <v/>
      </c>
      <c r="P1477" s="3"/>
      <c r="Q1477" s="3"/>
      <c r="R1477" s="3"/>
      <c r="S1477" s="3"/>
      <c r="T1477" s="3"/>
      <c r="U1477" s="3"/>
      <c r="V1477" s="3"/>
      <c r="W1477" s="3"/>
      <c r="X1477" s="3"/>
      <c r="Y1477" s="3"/>
      <c r="Z1477" s="3"/>
      <c r="AA1477" s="3"/>
      <c r="AB1477" s="3"/>
    </row>
    <row r="1478" customFormat="false" ht="15" hidden="false" customHeight="false" outlineLevel="0" collapsed="false">
      <c r="A1478" s="48"/>
      <c r="B1478" s="46"/>
      <c r="C1478" s="50"/>
      <c r="D1478" s="50"/>
      <c r="E1478" s="50"/>
      <c r="F1478" s="50"/>
      <c r="G1478" s="49"/>
      <c r="H1478" s="50"/>
      <c r="I1478" s="50"/>
      <c r="J1478" s="50"/>
      <c r="K1478" s="50"/>
      <c r="L1478" s="50"/>
      <c r="M1478" s="46"/>
      <c r="N1478" s="47"/>
      <c r="O1478" s="62" t="str">
        <f aca="false">IF($B1478="","",TEXT($A1478,"YYYY-MM-DD")&amp;"|"&amp;$B1478)</f>
        <v/>
      </c>
      <c r="P1478" s="3"/>
      <c r="Q1478" s="3"/>
      <c r="R1478" s="3"/>
      <c r="S1478" s="3"/>
      <c r="T1478" s="3"/>
      <c r="U1478" s="3"/>
      <c r="V1478" s="3"/>
      <c r="W1478" s="3"/>
      <c r="X1478" s="3"/>
      <c r="Y1478" s="3"/>
      <c r="Z1478" s="3"/>
      <c r="AA1478" s="3"/>
      <c r="AB1478" s="3"/>
    </row>
    <row r="1479" customFormat="false" ht="15" hidden="false" customHeight="false" outlineLevel="0" collapsed="false">
      <c r="A1479" s="54"/>
      <c r="B1479" s="52"/>
      <c r="C1479" s="56"/>
      <c r="D1479" s="56"/>
      <c r="E1479" s="56"/>
      <c r="F1479" s="56"/>
      <c r="G1479" s="55"/>
      <c r="H1479" s="56"/>
      <c r="I1479" s="56"/>
      <c r="J1479" s="56"/>
      <c r="K1479" s="56"/>
      <c r="L1479" s="56"/>
      <c r="M1479" s="52"/>
      <c r="N1479" s="53"/>
      <c r="O1479" s="62" t="str">
        <f aca="false">IF($B1479="","",TEXT($A1479,"YYYY-MM-DD")&amp;"|"&amp;$B1479)</f>
        <v/>
      </c>
      <c r="P1479" s="3"/>
      <c r="Q1479" s="3"/>
      <c r="R1479" s="3"/>
      <c r="S1479" s="3"/>
      <c r="T1479" s="3"/>
      <c r="U1479" s="3"/>
      <c r="V1479" s="3"/>
      <c r="W1479" s="3"/>
      <c r="X1479" s="3"/>
      <c r="Y1479" s="3"/>
      <c r="Z1479" s="3"/>
      <c r="AA1479" s="3"/>
      <c r="AB1479" s="3"/>
    </row>
    <row r="1480" customFormat="false" ht="15" hidden="false" customHeight="false" outlineLevel="0" collapsed="false">
      <c r="A1480" s="48"/>
      <c r="B1480" s="46"/>
      <c r="C1480" s="50"/>
      <c r="D1480" s="50"/>
      <c r="E1480" s="50"/>
      <c r="F1480" s="50"/>
      <c r="G1480" s="49"/>
      <c r="H1480" s="50"/>
      <c r="I1480" s="50"/>
      <c r="J1480" s="50"/>
      <c r="K1480" s="50"/>
      <c r="L1480" s="50"/>
      <c r="M1480" s="46"/>
      <c r="N1480" s="47"/>
      <c r="O1480" s="62" t="str">
        <f aca="false">IF($B1480="","",TEXT($A1480,"YYYY-MM-DD")&amp;"|"&amp;$B1480)</f>
        <v/>
      </c>
      <c r="P1480" s="3"/>
      <c r="Q1480" s="3"/>
      <c r="R1480" s="3"/>
      <c r="S1480" s="3"/>
      <c r="T1480" s="3"/>
      <c r="U1480" s="3"/>
      <c r="V1480" s="3"/>
      <c r="W1480" s="3"/>
      <c r="X1480" s="3"/>
      <c r="Y1480" s="3"/>
      <c r="Z1480" s="3"/>
      <c r="AA1480" s="3"/>
      <c r="AB1480" s="3"/>
    </row>
    <row r="1481" customFormat="false" ht="15" hidden="false" customHeight="false" outlineLevel="0" collapsed="false">
      <c r="A1481" s="54"/>
      <c r="B1481" s="52"/>
      <c r="C1481" s="56"/>
      <c r="D1481" s="56"/>
      <c r="E1481" s="56"/>
      <c r="F1481" s="56"/>
      <c r="G1481" s="55"/>
      <c r="H1481" s="56"/>
      <c r="I1481" s="56"/>
      <c r="J1481" s="56"/>
      <c r="K1481" s="56"/>
      <c r="L1481" s="56"/>
      <c r="M1481" s="52"/>
      <c r="N1481" s="53"/>
      <c r="O1481" s="62" t="str">
        <f aca="false">IF($B1481="","",TEXT($A1481,"YYYY-MM-DD")&amp;"|"&amp;$B1481)</f>
        <v/>
      </c>
      <c r="P1481" s="3"/>
      <c r="Q1481" s="3"/>
      <c r="R1481" s="3"/>
      <c r="S1481" s="3"/>
      <c r="T1481" s="3"/>
      <c r="U1481" s="3"/>
      <c r="V1481" s="3"/>
      <c r="W1481" s="3"/>
      <c r="X1481" s="3"/>
      <c r="Y1481" s="3"/>
      <c r="Z1481" s="3"/>
      <c r="AA1481" s="3"/>
      <c r="AB1481" s="3"/>
    </row>
    <row r="1482" customFormat="false" ht="15" hidden="false" customHeight="false" outlineLevel="0" collapsed="false">
      <c r="A1482" s="48"/>
      <c r="B1482" s="46"/>
      <c r="C1482" s="50"/>
      <c r="D1482" s="50"/>
      <c r="E1482" s="50"/>
      <c r="F1482" s="50"/>
      <c r="G1482" s="49"/>
      <c r="H1482" s="50"/>
      <c r="I1482" s="50"/>
      <c r="J1482" s="50"/>
      <c r="K1482" s="50"/>
      <c r="L1482" s="50"/>
      <c r="M1482" s="46"/>
      <c r="N1482" s="47"/>
      <c r="O1482" s="62" t="str">
        <f aca="false">IF($B1482="","",TEXT($A1482,"YYYY-MM-DD")&amp;"|"&amp;$B1482)</f>
        <v/>
      </c>
      <c r="P1482" s="3"/>
      <c r="Q1482" s="3"/>
      <c r="R1482" s="3"/>
      <c r="S1482" s="3"/>
      <c r="T1482" s="3"/>
      <c r="U1482" s="3"/>
      <c r="V1482" s="3"/>
      <c r="W1482" s="3"/>
      <c r="X1482" s="3"/>
      <c r="Y1482" s="3"/>
      <c r="Z1482" s="3"/>
      <c r="AA1482" s="3"/>
      <c r="AB1482" s="3"/>
    </row>
    <row r="1483" customFormat="false" ht="15" hidden="false" customHeight="false" outlineLevel="0" collapsed="false">
      <c r="A1483" s="54"/>
      <c r="B1483" s="52"/>
      <c r="C1483" s="56"/>
      <c r="D1483" s="56"/>
      <c r="E1483" s="56"/>
      <c r="F1483" s="56"/>
      <c r="G1483" s="55"/>
      <c r="H1483" s="56"/>
      <c r="I1483" s="56"/>
      <c r="J1483" s="56"/>
      <c r="K1483" s="56"/>
      <c r="L1483" s="56"/>
      <c r="M1483" s="52"/>
      <c r="N1483" s="53"/>
      <c r="O1483" s="62" t="str">
        <f aca="false">IF($B1483="","",TEXT($A1483,"YYYY-MM-DD")&amp;"|"&amp;$B1483)</f>
        <v/>
      </c>
      <c r="P1483" s="3"/>
      <c r="Q1483" s="3"/>
      <c r="R1483" s="3"/>
      <c r="S1483" s="3"/>
      <c r="T1483" s="3"/>
      <c r="U1483" s="3"/>
      <c r="V1483" s="3"/>
      <c r="W1483" s="3"/>
      <c r="X1483" s="3"/>
      <c r="Y1483" s="3"/>
      <c r="Z1483" s="3"/>
      <c r="AA1483" s="3"/>
      <c r="AB1483" s="3"/>
    </row>
    <row r="1484" customFormat="false" ht="15" hidden="false" customHeight="false" outlineLevel="0" collapsed="false">
      <c r="A1484" s="48"/>
      <c r="B1484" s="46"/>
      <c r="C1484" s="50"/>
      <c r="D1484" s="50"/>
      <c r="E1484" s="50"/>
      <c r="F1484" s="50"/>
      <c r="G1484" s="49"/>
      <c r="H1484" s="50"/>
      <c r="I1484" s="50"/>
      <c r="J1484" s="50"/>
      <c r="K1484" s="50"/>
      <c r="L1484" s="50"/>
      <c r="M1484" s="46"/>
      <c r="N1484" s="47"/>
      <c r="O1484" s="62" t="str">
        <f aca="false">IF($B1484="","",TEXT($A1484,"YYYY-MM-DD")&amp;"|"&amp;$B1484)</f>
        <v/>
      </c>
      <c r="P1484" s="3"/>
      <c r="Q1484" s="3"/>
      <c r="R1484" s="3"/>
      <c r="S1484" s="3"/>
      <c r="T1484" s="3"/>
      <c r="U1484" s="3"/>
      <c r="V1484" s="3"/>
      <c r="W1484" s="3"/>
      <c r="X1484" s="3"/>
      <c r="Y1484" s="3"/>
      <c r="Z1484" s="3"/>
      <c r="AA1484" s="3"/>
      <c r="AB1484" s="3"/>
    </row>
    <row r="1485" customFormat="false" ht="15" hidden="false" customHeight="false" outlineLevel="0" collapsed="false">
      <c r="A1485" s="54"/>
      <c r="B1485" s="52"/>
      <c r="C1485" s="56"/>
      <c r="D1485" s="56"/>
      <c r="E1485" s="56"/>
      <c r="F1485" s="56"/>
      <c r="G1485" s="55"/>
      <c r="H1485" s="56"/>
      <c r="I1485" s="56"/>
      <c r="J1485" s="56"/>
      <c r="K1485" s="56"/>
      <c r="L1485" s="56"/>
      <c r="M1485" s="52"/>
      <c r="N1485" s="53"/>
      <c r="O1485" s="62" t="str">
        <f aca="false">IF($B1485="","",TEXT($A1485,"YYYY-MM-DD")&amp;"|"&amp;$B1485)</f>
        <v/>
      </c>
      <c r="P1485" s="3"/>
      <c r="Q1485" s="3"/>
      <c r="R1485" s="3"/>
      <c r="S1485" s="3"/>
      <c r="T1485" s="3"/>
      <c r="U1485" s="3"/>
      <c r="V1485" s="3"/>
      <c r="W1485" s="3"/>
      <c r="X1485" s="3"/>
      <c r="Y1485" s="3"/>
      <c r="Z1485" s="3"/>
      <c r="AA1485" s="3"/>
      <c r="AB1485" s="3"/>
    </row>
    <row r="1486" customFormat="false" ht="15" hidden="false" customHeight="false" outlineLevel="0" collapsed="false">
      <c r="A1486" s="48"/>
      <c r="B1486" s="46"/>
      <c r="C1486" s="50"/>
      <c r="D1486" s="50"/>
      <c r="E1486" s="50"/>
      <c r="F1486" s="50"/>
      <c r="G1486" s="49"/>
      <c r="H1486" s="50"/>
      <c r="I1486" s="50"/>
      <c r="J1486" s="50"/>
      <c r="K1486" s="50"/>
      <c r="L1486" s="50"/>
      <c r="M1486" s="46"/>
      <c r="N1486" s="47"/>
      <c r="O1486" s="62" t="str">
        <f aca="false">IF($B1486="","",TEXT($A1486,"YYYY-MM-DD")&amp;"|"&amp;$B1486)</f>
        <v/>
      </c>
      <c r="P1486" s="3"/>
      <c r="Q1486" s="3"/>
      <c r="R1486" s="3"/>
      <c r="S1486" s="3"/>
      <c r="T1486" s="3"/>
      <c r="U1486" s="3"/>
      <c r="V1486" s="3"/>
      <c r="W1486" s="3"/>
      <c r="X1486" s="3"/>
      <c r="Y1486" s="3"/>
      <c r="Z1486" s="3"/>
      <c r="AA1486" s="3"/>
      <c r="AB1486" s="3"/>
    </row>
    <row r="1487" customFormat="false" ht="15" hidden="false" customHeight="false" outlineLevel="0" collapsed="false">
      <c r="A1487" s="54"/>
      <c r="B1487" s="52"/>
      <c r="C1487" s="56"/>
      <c r="D1487" s="56"/>
      <c r="E1487" s="56"/>
      <c r="F1487" s="56"/>
      <c r="G1487" s="55"/>
      <c r="H1487" s="56"/>
      <c r="I1487" s="56"/>
      <c r="J1487" s="56"/>
      <c r="K1487" s="56"/>
      <c r="L1487" s="56"/>
      <c r="M1487" s="52"/>
      <c r="N1487" s="53"/>
      <c r="O1487" s="62" t="str">
        <f aca="false">IF($B1487="","",TEXT($A1487,"YYYY-MM-DD")&amp;"|"&amp;$B1487)</f>
        <v/>
      </c>
      <c r="P1487" s="3"/>
      <c r="Q1487" s="3"/>
      <c r="R1487" s="3"/>
      <c r="S1487" s="3"/>
      <c r="T1487" s="3"/>
      <c r="U1487" s="3"/>
      <c r="V1487" s="3"/>
      <c r="W1487" s="3"/>
      <c r="X1487" s="3"/>
      <c r="Y1487" s="3"/>
      <c r="Z1487" s="3"/>
      <c r="AA1487" s="3"/>
      <c r="AB1487" s="3"/>
    </row>
    <row r="1488" customFormat="false" ht="15" hidden="false" customHeight="false" outlineLevel="0" collapsed="false">
      <c r="A1488" s="48"/>
      <c r="B1488" s="46"/>
      <c r="C1488" s="50"/>
      <c r="D1488" s="50"/>
      <c r="E1488" s="50"/>
      <c r="F1488" s="50"/>
      <c r="G1488" s="49"/>
      <c r="H1488" s="50"/>
      <c r="I1488" s="50"/>
      <c r="J1488" s="50"/>
      <c r="K1488" s="50"/>
      <c r="L1488" s="50"/>
      <c r="M1488" s="46"/>
      <c r="N1488" s="47"/>
      <c r="O1488" s="62" t="str">
        <f aca="false">IF($B1488="","",TEXT($A1488,"YYYY-MM-DD")&amp;"|"&amp;$B1488)</f>
        <v/>
      </c>
      <c r="P1488" s="3"/>
      <c r="Q1488" s="3"/>
      <c r="R1488" s="3"/>
      <c r="S1488" s="3"/>
      <c r="T1488" s="3"/>
      <c r="U1488" s="3"/>
      <c r="V1488" s="3"/>
      <c r="W1488" s="3"/>
      <c r="X1488" s="3"/>
      <c r="Y1488" s="3"/>
      <c r="Z1488" s="3"/>
      <c r="AA1488" s="3"/>
      <c r="AB1488" s="3"/>
    </row>
    <row r="1489" customFormat="false" ht="15" hidden="false" customHeight="false" outlineLevel="0" collapsed="false">
      <c r="A1489" s="54"/>
      <c r="B1489" s="52"/>
      <c r="C1489" s="56"/>
      <c r="D1489" s="56"/>
      <c r="E1489" s="56"/>
      <c r="F1489" s="56"/>
      <c r="G1489" s="55"/>
      <c r="H1489" s="56"/>
      <c r="I1489" s="56"/>
      <c r="J1489" s="56"/>
      <c r="K1489" s="56"/>
      <c r="L1489" s="56"/>
      <c r="M1489" s="52"/>
      <c r="N1489" s="53"/>
      <c r="O1489" s="62" t="str">
        <f aca="false">IF($B1489="","",TEXT($A1489,"YYYY-MM-DD")&amp;"|"&amp;$B1489)</f>
        <v/>
      </c>
      <c r="P1489" s="3"/>
      <c r="Q1489" s="3"/>
      <c r="R1489" s="3"/>
      <c r="S1489" s="3"/>
      <c r="T1489" s="3"/>
      <c r="U1489" s="3"/>
      <c r="V1489" s="3"/>
      <c r="W1489" s="3"/>
      <c r="X1489" s="3"/>
      <c r="Y1489" s="3"/>
      <c r="Z1489" s="3"/>
      <c r="AA1489" s="3"/>
      <c r="AB1489" s="3"/>
    </row>
    <row r="1490" customFormat="false" ht="15" hidden="false" customHeight="false" outlineLevel="0" collapsed="false">
      <c r="A1490" s="48"/>
      <c r="B1490" s="46"/>
      <c r="C1490" s="50"/>
      <c r="D1490" s="50"/>
      <c r="E1490" s="50"/>
      <c r="F1490" s="50"/>
      <c r="G1490" s="49"/>
      <c r="H1490" s="50"/>
      <c r="I1490" s="50"/>
      <c r="J1490" s="50"/>
      <c r="K1490" s="50"/>
      <c r="L1490" s="50"/>
      <c r="M1490" s="46"/>
      <c r="N1490" s="47"/>
      <c r="O1490" s="62" t="str">
        <f aca="false">IF($B1490="","",TEXT($A1490,"YYYY-MM-DD")&amp;"|"&amp;$B1490)</f>
        <v/>
      </c>
      <c r="P1490" s="3"/>
      <c r="Q1490" s="3"/>
      <c r="R1490" s="3"/>
      <c r="S1490" s="3"/>
      <c r="T1490" s="3"/>
      <c r="U1490" s="3"/>
      <c r="V1490" s="3"/>
      <c r="W1490" s="3"/>
      <c r="X1490" s="3"/>
      <c r="Y1490" s="3"/>
      <c r="Z1490" s="3"/>
      <c r="AA1490" s="3"/>
      <c r="AB1490" s="3"/>
    </row>
    <row r="1491" customFormat="false" ht="15" hidden="false" customHeight="false" outlineLevel="0" collapsed="false">
      <c r="A1491" s="54"/>
      <c r="B1491" s="52"/>
      <c r="C1491" s="56"/>
      <c r="D1491" s="56"/>
      <c r="E1491" s="56"/>
      <c r="F1491" s="56"/>
      <c r="G1491" s="55"/>
      <c r="H1491" s="56"/>
      <c r="I1491" s="56"/>
      <c r="J1491" s="56"/>
      <c r="K1491" s="56"/>
      <c r="L1491" s="56"/>
      <c r="M1491" s="52"/>
      <c r="N1491" s="53"/>
      <c r="O1491" s="62" t="str">
        <f aca="false">IF($B1491="","",TEXT($A1491,"YYYY-MM-DD")&amp;"|"&amp;$B1491)</f>
        <v/>
      </c>
      <c r="P1491" s="3"/>
      <c r="Q1491" s="3"/>
      <c r="R1491" s="3"/>
      <c r="S1491" s="3"/>
      <c r="T1491" s="3"/>
      <c r="U1491" s="3"/>
      <c r="V1491" s="3"/>
      <c r="W1491" s="3"/>
      <c r="X1491" s="3"/>
      <c r="Y1491" s="3"/>
      <c r="Z1491" s="3"/>
      <c r="AA1491" s="3"/>
      <c r="AB1491" s="3"/>
    </row>
    <row r="1492" customFormat="false" ht="15" hidden="false" customHeight="false" outlineLevel="0" collapsed="false">
      <c r="A1492" s="48"/>
      <c r="B1492" s="46"/>
      <c r="C1492" s="50"/>
      <c r="D1492" s="50"/>
      <c r="E1492" s="50"/>
      <c r="F1492" s="50"/>
      <c r="G1492" s="49"/>
      <c r="H1492" s="50"/>
      <c r="I1492" s="50"/>
      <c r="J1492" s="50"/>
      <c r="K1492" s="50"/>
      <c r="L1492" s="50"/>
      <c r="M1492" s="46"/>
      <c r="N1492" s="47"/>
      <c r="O1492" s="62" t="str">
        <f aca="false">IF($B1492="","",TEXT($A1492,"YYYY-MM-DD")&amp;"|"&amp;$B1492)</f>
        <v/>
      </c>
      <c r="P1492" s="3"/>
      <c r="Q1492" s="3"/>
      <c r="R1492" s="3"/>
      <c r="S1492" s="3"/>
      <c r="T1492" s="3"/>
      <c r="U1492" s="3"/>
      <c r="V1492" s="3"/>
      <c r="W1492" s="3"/>
      <c r="X1492" s="3"/>
      <c r="Y1492" s="3"/>
      <c r="Z1492" s="3"/>
      <c r="AA1492" s="3"/>
      <c r="AB1492" s="3"/>
    </row>
    <row r="1493" customFormat="false" ht="15" hidden="false" customHeight="false" outlineLevel="0" collapsed="false">
      <c r="A1493" s="54"/>
      <c r="B1493" s="52"/>
      <c r="C1493" s="56"/>
      <c r="D1493" s="56"/>
      <c r="E1493" s="56"/>
      <c r="F1493" s="56"/>
      <c r="G1493" s="55"/>
      <c r="H1493" s="56"/>
      <c r="I1493" s="56"/>
      <c r="J1493" s="56"/>
      <c r="K1493" s="56"/>
      <c r="L1493" s="56"/>
      <c r="M1493" s="52"/>
      <c r="N1493" s="53"/>
      <c r="O1493" s="62" t="str">
        <f aca="false">IF($B1493="","",TEXT($A1493,"YYYY-MM-DD")&amp;"|"&amp;$B1493)</f>
        <v/>
      </c>
      <c r="P1493" s="3"/>
      <c r="Q1493" s="3"/>
      <c r="R1493" s="3"/>
      <c r="S1493" s="3"/>
      <c r="T1493" s="3"/>
      <c r="U1493" s="3"/>
      <c r="V1493" s="3"/>
      <c r="W1493" s="3"/>
      <c r="X1493" s="3"/>
      <c r="Y1493" s="3"/>
      <c r="Z1493" s="3"/>
      <c r="AA1493" s="3"/>
      <c r="AB1493" s="3"/>
    </row>
    <row r="1494" customFormat="false" ht="15" hidden="false" customHeight="false" outlineLevel="0" collapsed="false">
      <c r="A1494" s="48"/>
      <c r="B1494" s="46"/>
      <c r="C1494" s="50"/>
      <c r="D1494" s="50"/>
      <c r="E1494" s="50"/>
      <c r="F1494" s="50"/>
      <c r="G1494" s="49"/>
      <c r="H1494" s="50"/>
      <c r="I1494" s="50"/>
      <c r="J1494" s="50"/>
      <c r="K1494" s="50"/>
      <c r="L1494" s="50"/>
      <c r="M1494" s="46"/>
      <c r="N1494" s="47"/>
      <c r="O1494" s="62" t="str">
        <f aca="false">IF($B1494="","",TEXT($A1494,"YYYY-MM-DD")&amp;"|"&amp;$B1494)</f>
        <v/>
      </c>
      <c r="P1494" s="3"/>
      <c r="Q1494" s="3"/>
      <c r="R1494" s="3"/>
      <c r="S1494" s="3"/>
      <c r="T1494" s="3"/>
      <c r="U1494" s="3"/>
      <c r="V1494" s="3"/>
      <c r="W1494" s="3"/>
      <c r="X1494" s="3"/>
      <c r="Y1494" s="3"/>
      <c r="Z1494" s="3"/>
      <c r="AA1494" s="3"/>
      <c r="AB1494" s="3"/>
    </row>
    <row r="1495" customFormat="false" ht="15" hidden="false" customHeight="false" outlineLevel="0" collapsed="false">
      <c r="A1495" s="54"/>
      <c r="B1495" s="52"/>
      <c r="C1495" s="56"/>
      <c r="D1495" s="56"/>
      <c r="E1495" s="56"/>
      <c r="F1495" s="56"/>
      <c r="G1495" s="55"/>
      <c r="H1495" s="56"/>
      <c r="I1495" s="56"/>
      <c r="J1495" s="56"/>
      <c r="K1495" s="56"/>
      <c r="L1495" s="56"/>
      <c r="M1495" s="52"/>
      <c r="N1495" s="53"/>
      <c r="O1495" s="62" t="str">
        <f aca="false">IF($B1495="","",TEXT($A1495,"YYYY-MM-DD")&amp;"|"&amp;$B1495)</f>
        <v/>
      </c>
      <c r="P1495" s="3"/>
      <c r="Q1495" s="3"/>
      <c r="R1495" s="3"/>
      <c r="S1495" s="3"/>
      <c r="T1495" s="3"/>
      <c r="U1495" s="3"/>
      <c r="V1495" s="3"/>
      <c r="W1495" s="3"/>
      <c r="X1495" s="3"/>
      <c r="Y1495" s="3"/>
      <c r="Z1495" s="3"/>
      <c r="AA1495" s="3"/>
      <c r="AB1495" s="3"/>
    </row>
    <row r="1496" customFormat="false" ht="15" hidden="false" customHeight="false" outlineLevel="0" collapsed="false">
      <c r="A1496" s="48"/>
      <c r="B1496" s="46"/>
      <c r="C1496" s="50"/>
      <c r="D1496" s="50"/>
      <c r="E1496" s="50"/>
      <c r="F1496" s="50"/>
      <c r="G1496" s="49"/>
      <c r="H1496" s="50"/>
      <c r="I1496" s="50"/>
      <c r="J1496" s="50"/>
      <c r="K1496" s="50"/>
      <c r="L1496" s="50"/>
      <c r="M1496" s="46"/>
      <c r="N1496" s="47"/>
      <c r="O1496" s="62" t="str">
        <f aca="false">IF($B1496="","",TEXT($A1496,"YYYY-MM-DD")&amp;"|"&amp;$B1496)</f>
        <v/>
      </c>
      <c r="P1496" s="3"/>
      <c r="Q1496" s="3"/>
      <c r="R1496" s="3"/>
      <c r="S1496" s="3"/>
      <c r="T1496" s="3"/>
      <c r="U1496" s="3"/>
      <c r="V1496" s="3"/>
      <c r="W1496" s="3"/>
      <c r="X1496" s="3"/>
      <c r="Y1496" s="3"/>
      <c r="Z1496" s="3"/>
      <c r="AA1496" s="3"/>
      <c r="AB1496" s="3"/>
    </row>
    <row r="1497" customFormat="false" ht="15" hidden="false" customHeight="false" outlineLevel="0" collapsed="false">
      <c r="A1497" s="54"/>
      <c r="B1497" s="52"/>
      <c r="C1497" s="56"/>
      <c r="D1497" s="56"/>
      <c r="E1497" s="56"/>
      <c r="F1497" s="56"/>
      <c r="G1497" s="55"/>
      <c r="H1497" s="56"/>
      <c r="I1497" s="56"/>
      <c r="J1497" s="56"/>
      <c r="K1497" s="56"/>
      <c r="L1497" s="56"/>
      <c r="M1497" s="52"/>
      <c r="N1497" s="53"/>
      <c r="O1497" s="62" t="str">
        <f aca="false">IF($B1497="","",TEXT($A1497,"YYYY-MM-DD")&amp;"|"&amp;$B1497)</f>
        <v/>
      </c>
      <c r="P1497" s="3"/>
      <c r="Q1497" s="3"/>
      <c r="R1497" s="3"/>
      <c r="S1497" s="3"/>
      <c r="T1497" s="3"/>
      <c r="U1497" s="3"/>
      <c r="V1497" s="3"/>
      <c r="W1497" s="3"/>
      <c r="X1497" s="3"/>
      <c r="Y1497" s="3"/>
      <c r="Z1497" s="3"/>
      <c r="AA1497" s="3"/>
      <c r="AB1497" s="3"/>
    </row>
    <row r="1498" customFormat="false" ht="15" hidden="false" customHeight="false" outlineLevel="0" collapsed="false">
      <c r="A1498" s="48"/>
      <c r="B1498" s="46"/>
      <c r="C1498" s="50"/>
      <c r="D1498" s="50"/>
      <c r="E1498" s="50"/>
      <c r="F1498" s="50"/>
      <c r="G1498" s="49"/>
      <c r="H1498" s="50"/>
      <c r="I1498" s="50"/>
      <c r="J1498" s="50"/>
      <c r="K1498" s="50"/>
      <c r="L1498" s="50"/>
      <c r="M1498" s="46"/>
      <c r="N1498" s="47"/>
      <c r="O1498" s="62" t="str">
        <f aca="false">IF($B1498="","",TEXT($A1498,"YYYY-MM-DD")&amp;"|"&amp;$B1498)</f>
        <v/>
      </c>
      <c r="P1498" s="3"/>
      <c r="Q1498" s="3"/>
      <c r="R1498" s="3"/>
      <c r="S1498" s="3"/>
      <c r="T1498" s="3"/>
      <c r="U1498" s="3"/>
      <c r="V1498" s="3"/>
      <c r="W1498" s="3"/>
      <c r="X1498" s="3"/>
      <c r="Y1498" s="3"/>
      <c r="Z1498" s="3"/>
      <c r="AA1498" s="3"/>
      <c r="AB1498" s="3"/>
    </row>
    <row r="1499" customFormat="false" ht="15" hidden="false" customHeight="false" outlineLevel="0" collapsed="false">
      <c r="A1499" s="54"/>
      <c r="B1499" s="52"/>
      <c r="C1499" s="56"/>
      <c r="D1499" s="56"/>
      <c r="E1499" s="56"/>
      <c r="F1499" s="56"/>
      <c r="G1499" s="55"/>
      <c r="H1499" s="56"/>
      <c r="I1499" s="56"/>
      <c r="J1499" s="56"/>
      <c r="K1499" s="56"/>
      <c r="L1499" s="56"/>
      <c r="M1499" s="52"/>
      <c r="N1499" s="53"/>
      <c r="O1499" s="62" t="str">
        <f aca="false">IF($B1499="","",TEXT($A1499,"YYYY-MM-DD")&amp;"|"&amp;$B1499)</f>
        <v/>
      </c>
      <c r="P1499" s="3"/>
      <c r="Q1499" s="3"/>
      <c r="R1499" s="3"/>
      <c r="S1499" s="3"/>
      <c r="T1499" s="3"/>
      <c r="U1499" s="3"/>
      <c r="V1499" s="3"/>
      <c r="W1499" s="3"/>
      <c r="X1499" s="3"/>
      <c r="Y1499" s="3"/>
      <c r="Z1499" s="3"/>
      <c r="AA1499" s="3"/>
      <c r="AB1499" s="3"/>
    </row>
    <row r="1500" customFormat="false" ht="15" hidden="false" customHeight="false" outlineLevel="0" collapsed="false">
      <c r="A1500" s="48"/>
      <c r="B1500" s="46"/>
      <c r="C1500" s="50"/>
      <c r="D1500" s="50"/>
      <c r="E1500" s="50"/>
      <c r="F1500" s="50"/>
      <c r="G1500" s="49"/>
      <c r="H1500" s="50"/>
      <c r="I1500" s="50"/>
      <c r="J1500" s="50"/>
      <c r="K1500" s="50"/>
      <c r="L1500" s="50"/>
      <c r="M1500" s="46"/>
      <c r="N1500" s="47"/>
      <c r="O1500" s="62" t="str">
        <f aca="false">IF($B1500="","",TEXT($A1500,"YYYY-MM-DD")&amp;"|"&amp;$B1500)</f>
        <v/>
      </c>
      <c r="P1500" s="3"/>
      <c r="Q1500" s="3"/>
      <c r="R1500" s="3"/>
      <c r="S1500" s="3"/>
      <c r="T1500" s="3"/>
      <c r="U1500" s="3"/>
      <c r="V1500" s="3"/>
      <c r="W1500" s="3"/>
      <c r="X1500" s="3"/>
      <c r="Y1500" s="3"/>
      <c r="Z1500" s="3"/>
      <c r="AA1500" s="3"/>
      <c r="AB1500" s="3"/>
    </row>
    <row r="1501" customFormat="false" ht="15" hidden="false" customHeight="false" outlineLevel="0" collapsed="false">
      <c r="A1501" s="54"/>
      <c r="B1501" s="52"/>
      <c r="C1501" s="56"/>
      <c r="D1501" s="56"/>
      <c r="E1501" s="56"/>
      <c r="F1501" s="56"/>
      <c r="G1501" s="55"/>
      <c r="H1501" s="56"/>
      <c r="I1501" s="56"/>
      <c r="J1501" s="56"/>
      <c r="K1501" s="56"/>
      <c r="L1501" s="56"/>
      <c r="M1501" s="52"/>
      <c r="N1501" s="53"/>
      <c r="O1501" s="62" t="str">
        <f aca="false">IF($B1501="","",TEXT($A1501,"YYYY-MM-DD")&amp;"|"&amp;$B1501)</f>
        <v/>
      </c>
      <c r="P1501" s="3"/>
      <c r="Q1501" s="3"/>
      <c r="R1501" s="3"/>
      <c r="S1501" s="3"/>
      <c r="T1501" s="3"/>
      <c r="U1501" s="3"/>
      <c r="V1501" s="3"/>
      <c r="W1501" s="3"/>
      <c r="X1501" s="3"/>
      <c r="Y1501" s="3"/>
      <c r="Z1501" s="3"/>
      <c r="AA1501" s="3"/>
      <c r="AB1501" s="3"/>
    </row>
    <row r="1502" customFormat="false" ht="15" hidden="false" customHeight="false" outlineLevel="0" collapsed="false">
      <c r="A1502" s="48"/>
      <c r="B1502" s="46"/>
      <c r="C1502" s="50"/>
      <c r="D1502" s="50"/>
      <c r="E1502" s="50"/>
      <c r="F1502" s="50"/>
      <c r="G1502" s="49"/>
      <c r="H1502" s="50"/>
      <c r="I1502" s="50"/>
      <c r="J1502" s="50"/>
      <c r="K1502" s="50"/>
      <c r="L1502" s="50"/>
      <c r="M1502" s="46"/>
      <c r="N1502" s="47"/>
      <c r="O1502" s="62" t="str">
        <f aca="false">IF($B1502="","",TEXT($A1502,"YYYY-MM-DD")&amp;"|"&amp;$B1502)</f>
        <v/>
      </c>
      <c r="P1502" s="3"/>
      <c r="Q1502" s="3"/>
      <c r="R1502" s="3"/>
      <c r="S1502" s="3"/>
      <c r="T1502" s="3"/>
      <c r="U1502" s="3"/>
      <c r="V1502" s="3"/>
      <c r="W1502" s="3"/>
      <c r="X1502" s="3"/>
      <c r="Y1502" s="3"/>
      <c r="Z1502" s="3"/>
      <c r="AA1502" s="3"/>
      <c r="AB1502" s="3"/>
    </row>
    <row r="1503" customFormat="false" ht="15" hidden="false" customHeight="false" outlineLevel="0" collapsed="false">
      <c r="A1503" s="54"/>
      <c r="B1503" s="52"/>
      <c r="C1503" s="56"/>
      <c r="D1503" s="56"/>
      <c r="E1503" s="56"/>
      <c r="F1503" s="56"/>
      <c r="G1503" s="55"/>
      <c r="H1503" s="56"/>
      <c r="I1503" s="56"/>
      <c r="J1503" s="56"/>
      <c r="K1503" s="56"/>
      <c r="L1503" s="56"/>
      <c r="M1503" s="52"/>
      <c r="N1503" s="53"/>
      <c r="O1503" s="62" t="str">
        <f aca="false">IF($B1503="","",TEXT($A1503,"YYYY-MM-DD")&amp;"|"&amp;$B1503)</f>
        <v/>
      </c>
      <c r="P1503" s="3"/>
      <c r="Q1503" s="3"/>
      <c r="R1503" s="3"/>
      <c r="S1503" s="3"/>
      <c r="T1503" s="3"/>
      <c r="U1503" s="3"/>
      <c r="V1503" s="3"/>
      <c r="W1503" s="3"/>
      <c r="X1503" s="3"/>
      <c r="Y1503" s="3"/>
      <c r="Z1503" s="3"/>
      <c r="AA1503" s="3"/>
      <c r="AB1503" s="3"/>
    </row>
  </sheetData>
  <autoFilter ref="A3:N1503"/>
  <mergeCells count="2">
    <mergeCell ref="A1:O1"/>
    <mergeCell ref="A2:O2"/>
  </mergeCells>
  <dataValidations count="2">
    <dataValidation allowBlank="true" error="Pick a value from the list on the Lists tab." errorStyle="stop" errorTitle="Not a valid entry" operator="between" showDropDown="false" showErrorMessage="true" showInputMessage="false" sqref="M4:M1503" type="list">
      <formula1>Lists!$A$4:$A$6</formula1>
      <formula2>0</formula2>
    </dataValidation>
    <dataValidation allowBlank="true" errorStyle="stop" operator="between" showDropDown="false" showErrorMessage="false" showInputMessage="false" sqref="B4:B1503" type="list">
      <formula1>'TOR Register'!$A$4:$A$43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546A"/>
    <pageSetUpPr fitToPage="false"/>
  </sheetPr>
  <dimension ref="A1:O3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0"/>
    <col collapsed="false" customWidth="true" hidden="false" outlineLevel="0" max="6" min="3" style="0" width="12"/>
    <col collapsed="false" customWidth="true" hidden="false" outlineLevel="0" max="7" min="7" style="0" width="16"/>
    <col collapsed="false" customWidth="true" hidden="false" outlineLevel="0" max="9" min="8" style="0" width="12"/>
    <col collapsed="false" customWidth="true" hidden="false" outlineLevel="0" max="10" min="10" style="0" width="11"/>
    <col collapsed="false" customWidth="true" hidden="false" outlineLevel="0" max="12" min="11" style="0" width="10"/>
    <col collapsed="false" customWidth="true" hidden="false" outlineLevel="0" max="13" min="13" style="0" width="9"/>
    <col collapsed="false" customWidth="true" hidden="false" outlineLevel="0" max="14" min="14" style="0" width="52"/>
    <col collapsed="false" customWidth="true" hidden="false" outlineLevel="0" max="15" min="15" style="0" width="18"/>
  </cols>
  <sheetData>
    <row r="1" customFormat="false" ht="25.5" hidden="false" customHeight="true" outlineLevel="0" collapsed="false">
      <c r="A1" s="1" t="s">
        <v>222</v>
      </c>
      <c r="B1" s="1"/>
      <c r="C1" s="1"/>
      <c r="D1" s="1"/>
      <c r="E1" s="1"/>
      <c r="F1" s="1"/>
      <c r="G1" s="1"/>
      <c r="H1" s="1"/>
      <c r="I1" s="1"/>
      <c r="J1" s="1"/>
      <c r="K1" s="1"/>
      <c r="L1" s="1"/>
      <c r="M1" s="1"/>
      <c r="N1" s="1"/>
      <c r="O1" s="1"/>
    </row>
    <row r="2" customFormat="false" ht="15" hidden="false" customHeight="false" outlineLevel="0" collapsed="false">
      <c r="A2" s="2" t="s">
        <v>223</v>
      </c>
      <c r="B2" s="2"/>
      <c r="C2" s="2"/>
      <c r="D2" s="2"/>
      <c r="E2" s="2"/>
      <c r="F2" s="2"/>
      <c r="G2" s="2"/>
      <c r="H2" s="2"/>
      <c r="I2" s="2"/>
      <c r="J2" s="2"/>
      <c r="K2" s="2"/>
      <c r="L2" s="2"/>
      <c r="M2" s="2"/>
      <c r="N2" s="2"/>
      <c r="O2" s="2"/>
    </row>
    <row r="3" customFormat="false" ht="31.5" hidden="false" customHeight="true" outlineLevel="0" collapsed="false">
      <c r="A3" s="45" t="s">
        <v>224</v>
      </c>
      <c r="B3" s="45" t="s">
        <v>185</v>
      </c>
      <c r="C3" s="45" t="s">
        <v>186</v>
      </c>
      <c r="D3" s="45" t="s">
        <v>187</v>
      </c>
      <c r="E3" s="45" t="s">
        <v>188</v>
      </c>
      <c r="F3" s="45" t="s">
        <v>189</v>
      </c>
      <c r="G3" s="45" t="s">
        <v>190</v>
      </c>
      <c r="H3" s="45" t="s">
        <v>191</v>
      </c>
      <c r="I3" s="45" t="s">
        <v>192</v>
      </c>
      <c r="J3" s="45" t="s">
        <v>193</v>
      </c>
      <c r="K3" s="45" t="s">
        <v>194</v>
      </c>
      <c r="L3" s="45" t="s">
        <v>195</v>
      </c>
      <c r="M3" s="45" t="s">
        <v>196</v>
      </c>
      <c r="N3" s="45" t="s">
        <v>197</v>
      </c>
      <c r="O3" s="3"/>
    </row>
    <row r="4" customFormat="false" ht="15" hidden="false" customHeight="false" outlineLevel="0" collapsed="false">
      <c r="A4" s="63" t="n">
        <v>46082</v>
      </c>
      <c r="B4" s="46" t="s">
        <v>143</v>
      </c>
      <c r="C4" s="50" t="n">
        <v>2</v>
      </c>
      <c r="D4" s="50" t="n">
        <v>2</v>
      </c>
      <c r="E4" s="50" t="n">
        <v>2</v>
      </c>
      <c r="F4" s="50" t="n">
        <v>2</v>
      </c>
      <c r="G4" s="49" t="n">
        <v>72000</v>
      </c>
      <c r="H4" s="50" t="n">
        <v>0</v>
      </c>
      <c r="I4" s="50" t="n">
        <v>0</v>
      </c>
      <c r="J4" s="50" t="n">
        <v>3</v>
      </c>
      <c r="K4" s="50" t="n">
        <v>0</v>
      </c>
      <c r="L4" s="50" t="n">
        <v>1</v>
      </c>
      <c r="M4" s="46" t="s">
        <v>211</v>
      </c>
      <c r="N4" s="51" t="s">
        <v>225</v>
      </c>
      <c r="O4" s="62" t="str">
        <f aca="false">IF($B4="","",TEXT($A4,"YYYY-MM")&amp;"|"&amp;$B4)</f>
        <v>2026-03|P-001</v>
      </c>
    </row>
    <row r="5" customFormat="false" ht="15" hidden="false" customHeight="false" outlineLevel="0" collapsed="false">
      <c r="A5" s="64" t="n">
        <v>46082</v>
      </c>
      <c r="B5" s="52" t="s">
        <v>151</v>
      </c>
      <c r="C5" s="56" t="n">
        <v>1</v>
      </c>
      <c r="D5" s="56" t="n">
        <v>1</v>
      </c>
      <c r="E5" s="56" t="n">
        <v>1</v>
      </c>
      <c r="F5" s="56" t="n">
        <v>1</v>
      </c>
      <c r="G5" s="55" t="n">
        <v>95000</v>
      </c>
      <c r="H5" s="56" t="n">
        <v>1</v>
      </c>
      <c r="I5" s="56" t="n">
        <v>0</v>
      </c>
      <c r="J5" s="56" t="n">
        <v>5</v>
      </c>
      <c r="K5" s="56" t="n">
        <v>1</v>
      </c>
      <c r="L5" s="56" t="n">
        <v>2</v>
      </c>
      <c r="M5" s="52" t="s">
        <v>199</v>
      </c>
      <c r="N5" s="57" t="s">
        <v>226</v>
      </c>
      <c r="O5" s="62" t="str">
        <f aca="false">IF($B5="","",TEXT($A5,"YYYY-MM")&amp;"|"&amp;$B5)</f>
        <v>2026-03|P-002</v>
      </c>
    </row>
    <row r="6" customFormat="false" ht="15" hidden="false" customHeight="false" outlineLevel="0" collapsed="false">
      <c r="A6" s="63" t="n">
        <v>46082</v>
      </c>
      <c r="B6" s="46" t="s">
        <v>159</v>
      </c>
      <c r="C6" s="50" t="n">
        <v>2</v>
      </c>
      <c r="D6" s="50" t="n">
        <v>2</v>
      </c>
      <c r="E6" s="50" t="n">
        <v>2</v>
      </c>
      <c r="F6" s="50" t="n">
        <v>2</v>
      </c>
      <c r="G6" s="49" t="n">
        <v>58000</v>
      </c>
      <c r="H6" s="50" t="n">
        <v>0</v>
      </c>
      <c r="I6" s="50" t="n">
        <v>0</v>
      </c>
      <c r="J6" s="50" t="n">
        <v>4</v>
      </c>
      <c r="K6" s="50" t="n">
        <v>1</v>
      </c>
      <c r="L6" s="50" t="n">
        <v>0</v>
      </c>
      <c r="M6" s="46" t="s">
        <v>211</v>
      </c>
      <c r="N6" s="51" t="s">
        <v>227</v>
      </c>
      <c r="O6" s="62" t="str">
        <f aca="false">IF($B6="","",TEXT($A6,"YYYY-MM")&amp;"|"&amp;$B6)</f>
        <v>2026-03|P-003</v>
      </c>
    </row>
    <row r="7" customFormat="false" ht="15" hidden="false" customHeight="false" outlineLevel="0" collapsed="false">
      <c r="A7" s="64" t="n">
        <v>46082</v>
      </c>
      <c r="B7" s="52" t="s">
        <v>167</v>
      </c>
      <c r="C7" s="56" t="n">
        <v>1</v>
      </c>
      <c r="D7" s="56" t="n">
        <v>1</v>
      </c>
      <c r="E7" s="56" t="n">
        <v>1</v>
      </c>
      <c r="F7" s="56" t="n">
        <v>1</v>
      </c>
      <c r="G7" s="55" t="n">
        <v>60000</v>
      </c>
      <c r="H7" s="56" t="n">
        <v>0</v>
      </c>
      <c r="I7" s="56" t="n">
        <v>0</v>
      </c>
      <c r="J7" s="56" t="n">
        <v>2</v>
      </c>
      <c r="K7" s="56" t="n">
        <v>0</v>
      </c>
      <c r="L7" s="56" t="n">
        <v>0</v>
      </c>
      <c r="M7" s="52" t="s">
        <v>211</v>
      </c>
      <c r="N7" s="57" t="s">
        <v>228</v>
      </c>
      <c r="O7" s="62" t="str">
        <f aca="false">IF($B7="","",TEXT($A7,"YYYY-MM")&amp;"|"&amp;$B7)</f>
        <v>2026-03|P-004</v>
      </c>
    </row>
    <row r="8" customFormat="false" ht="15" hidden="false" customHeight="false" outlineLevel="0" collapsed="false">
      <c r="A8" s="63" t="n">
        <v>46082</v>
      </c>
      <c r="B8" s="46" t="s">
        <v>174</v>
      </c>
      <c r="C8" s="50" t="n">
        <v>1</v>
      </c>
      <c r="D8" s="50" t="n">
        <v>1</v>
      </c>
      <c r="E8" s="50" t="n">
        <v>1</v>
      </c>
      <c r="F8" s="50" t="n">
        <v>1</v>
      </c>
      <c r="G8" s="49" t="n">
        <v>30000</v>
      </c>
      <c r="H8" s="50" t="n">
        <v>0</v>
      </c>
      <c r="I8" s="50" t="n">
        <v>0</v>
      </c>
      <c r="J8" s="50" t="n">
        <v>3</v>
      </c>
      <c r="K8" s="50" t="n">
        <v>0</v>
      </c>
      <c r="L8" s="50" t="n">
        <v>1</v>
      </c>
      <c r="M8" s="46" t="s">
        <v>211</v>
      </c>
      <c r="N8" s="51" t="s">
        <v>229</v>
      </c>
      <c r="O8" s="62" t="str">
        <f aca="false">IF($B8="","",TEXT($A8,"YYYY-MM")&amp;"|"&amp;$B8)</f>
        <v>2026-03|P-005</v>
      </c>
    </row>
    <row r="9" customFormat="false" ht="15" hidden="false" customHeight="false" outlineLevel="0" collapsed="false">
      <c r="A9" s="64" t="n">
        <v>46113</v>
      </c>
      <c r="B9" s="52" t="s">
        <v>143</v>
      </c>
      <c r="C9" s="56" t="n">
        <v>3</v>
      </c>
      <c r="D9" s="56" t="n">
        <v>3</v>
      </c>
      <c r="E9" s="56" t="n">
        <v>4</v>
      </c>
      <c r="F9" s="56" t="n">
        <v>4</v>
      </c>
      <c r="G9" s="55" t="n">
        <v>140000</v>
      </c>
      <c r="H9" s="56" t="n">
        <v>1</v>
      </c>
      <c r="I9" s="56" t="n">
        <v>1</v>
      </c>
      <c r="J9" s="56" t="n">
        <v>4</v>
      </c>
      <c r="K9" s="56" t="n">
        <v>1</v>
      </c>
      <c r="L9" s="56" t="n">
        <v>1</v>
      </c>
      <c r="M9" s="52" t="s">
        <v>211</v>
      </c>
      <c r="N9" s="57" t="s">
        <v>230</v>
      </c>
      <c r="O9" s="62" t="str">
        <f aca="false">IF($B9="","",TEXT($A9,"YYYY-MM")&amp;"|"&amp;$B9)</f>
        <v>2026-04|P-001</v>
      </c>
    </row>
    <row r="10" customFormat="false" ht="15" hidden="false" customHeight="false" outlineLevel="0" collapsed="false">
      <c r="A10" s="63" t="n">
        <v>46113</v>
      </c>
      <c r="B10" s="46" t="s">
        <v>151</v>
      </c>
      <c r="C10" s="50" t="n">
        <v>2</v>
      </c>
      <c r="D10" s="50" t="n">
        <v>2</v>
      </c>
      <c r="E10" s="50" t="n">
        <v>3</v>
      </c>
      <c r="F10" s="50" t="n">
        <v>3</v>
      </c>
      <c r="G10" s="49" t="n">
        <v>190000</v>
      </c>
      <c r="H10" s="50" t="n">
        <v>1</v>
      </c>
      <c r="I10" s="50" t="n">
        <v>1</v>
      </c>
      <c r="J10" s="50" t="n">
        <v>5</v>
      </c>
      <c r="K10" s="50" t="n">
        <v>1</v>
      </c>
      <c r="L10" s="50" t="n">
        <v>1</v>
      </c>
      <c r="M10" s="46" t="s">
        <v>199</v>
      </c>
      <c r="N10" s="51" t="s">
        <v>231</v>
      </c>
      <c r="O10" s="62" t="str">
        <f aca="false">IF($B10="","",TEXT($A10,"YYYY-MM")&amp;"|"&amp;$B10)</f>
        <v>2026-04|P-002</v>
      </c>
    </row>
    <row r="11" customFormat="false" ht="15" hidden="false" customHeight="false" outlineLevel="0" collapsed="false">
      <c r="A11" s="64" t="n">
        <v>46113</v>
      </c>
      <c r="B11" s="52" t="s">
        <v>159</v>
      </c>
      <c r="C11" s="56" t="n">
        <v>3</v>
      </c>
      <c r="D11" s="56" t="n">
        <v>3</v>
      </c>
      <c r="E11" s="56" t="n">
        <v>3</v>
      </c>
      <c r="F11" s="56" t="n">
        <v>3</v>
      </c>
      <c r="G11" s="55" t="n">
        <v>112000</v>
      </c>
      <c r="H11" s="56" t="n">
        <v>0</v>
      </c>
      <c r="I11" s="56" t="n">
        <v>0</v>
      </c>
      <c r="J11" s="56" t="n">
        <v>5</v>
      </c>
      <c r="K11" s="56" t="n">
        <v>1</v>
      </c>
      <c r="L11" s="56" t="n">
        <v>1</v>
      </c>
      <c r="M11" s="52" t="s">
        <v>199</v>
      </c>
      <c r="N11" s="57" t="s">
        <v>232</v>
      </c>
      <c r="O11" s="62" t="str">
        <f aca="false">IF($B11="","",TEXT($A11,"YYYY-MM")&amp;"|"&amp;$B11)</f>
        <v>2026-04|P-003</v>
      </c>
    </row>
    <row r="12" customFormat="false" ht="15" hidden="false" customHeight="false" outlineLevel="0" collapsed="false">
      <c r="A12" s="63" t="n">
        <v>46113</v>
      </c>
      <c r="B12" s="46" t="s">
        <v>167</v>
      </c>
      <c r="C12" s="50" t="n">
        <v>2</v>
      </c>
      <c r="D12" s="50" t="n">
        <v>2</v>
      </c>
      <c r="E12" s="50" t="n">
        <v>2</v>
      </c>
      <c r="F12" s="50" t="n">
        <v>2</v>
      </c>
      <c r="G12" s="49" t="n">
        <v>125000</v>
      </c>
      <c r="H12" s="50" t="n">
        <v>0</v>
      </c>
      <c r="I12" s="50" t="n">
        <v>0</v>
      </c>
      <c r="J12" s="50" t="n">
        <v>2</v>
      </c>
      <c r="K12" s="50" t="n">
        <v>0</v>
      </c>
      <c r="L12" s="50" t="n">
        <v>0</v>
      </c>
      <c r="M12" s="46" t="s">
        <v>211</v>
      </c>
      <c r="N12" s="51" t="s">
        <v>233</v>
      </c>
      <c r="O12" s="62" t="str">
        <f aca="false">IF($B12="","",TEXT($A12,"YYYY-MM")&amp;"|"&amp;$B12)</f>
        <v>2026-04|P-004</v>
      </c>
    </row>
    <row r="13" customFormat="false" ht="15" hidden="false" customHeight="false" outlineLevel="0" collapsed="false">
      <c r="A13" s="64" t="n">
        <v>46113</v>
      </c>
      <c r="B13" s="52" t="s">
        <v>174</v>
      </c>
      <c r="C13" s="56" t="n">
        <v>2</v>
      </c>
      <c r="D13" s="56" t="n">
        <v>2</v>
      </c>
      <c r="E13" s="56" t="n">
        <v>2</v>
      </c>
      <c r="F13" s="56" t="n">
        <v>2</v>
      </c>
      <c r="G13" s="55" t="n">
        <v>62000</v>
      </c>
      <c r="H13" s="56" t="n">
        <v>1</v>
      </c>
      <c r="I13" s="56" t="n">
        <v>0</v>
      </c>
      <c r="J13" s="56" t="n">
        <v>3</v>
      </c>
      <c r="K13" s="56" t="n">
        <v>0</v>
      </c>
      <c r="L13" s="56" t="n">
        <v>1</v>
      </c>
      <c r="M13" s="52" t="s">
        <v>211</v>
      </c>
      <c r="N13" s="57" t="s">
        <v>234</v>
      </c>
      <c r="O13" s="62" t="str">
        <f aca="false">IF($B13="","",TEXT($A13,"YYYY-MM")&amp;"|"&amp;$B13)</f>
        <v>2026-04|P-005</v>
      </c>
    </row>
    <row r="14" customFormat="false" ht="15" hidden="false" customHeight="false" outlineLevel="0" collapsed="false">
      <c r="A14" s="63" t="n">
        <v>46143</v>
      </c>
      <c r="B14" s="46" t="s">
        <v>143</v>
      </c>
      <c r="C14" s="50" t="n">
        <v>5</v>
      </c>
      <c r="D14" s="50" t="n">
        <v>4</v>
      </c>
      <c r="E14" s="50" t="n">
        <v>5</v>
      </c>
      <c r="F14" s="50" t="n">
        <v>4</v>
      </c>
      <c r="G14" s="49" t="n">
        <v>205000</v>
      </c>
      <c r="H14" s="50" t="n">
        <v>1</v>
      </c>
      <c r="I14" s="50" t="n">
        <v>1</v>
      </c>
      <c r="J14" s="50" t="n">
        <v>4</v>
      </c>
      <c r="K14" s="50" t="n">
        <v>1</v>
      </c>
      <c r="L14" s="50" t="n">
        <v>0</v>
      </c>
      <c r="M14" s="46" t="s">
        <v>199</v>
      </c>
      <c r="N14" s="51" t="s">
        <v>235</v>
      </c>
      <c r="O14" s="62" t="str">
        <f aca="false">IF($B14="","",TEXT($A14,"YYYY-MM")&amp;"|"&amp;$B14)</f>
        <v>2026-05|P-001</v>
      </c>
    </row>
    <row r="15" customFormat="false" ht="15" hidden="false" customHeight="false" outlineLevel="0" collapsed="false">
      <c r="A15" s="64" t="n">
        <v>46143</v>
      </c>
      <c r="B15" s="52" t="s">
        <v>151</v>
      </c>
      <c r="C15" s="56" t="n">
        <v>4</v>
      </c>
      <c r="D15" s="56" t="n">
        <v>4</v>
      </c>
      <c r="E15" s="56" t="n">
        <v>4</v>
      </c>
      <c r="F15" s="56" t="n">
        <v>4</v>
      </c>
      <c r="G15" s="55" t="n">
        <v>300000</v>
      </c>
      <c r="H15" s="56" t="n">
        <v>2</v>
      </c>
      <c r="I15" s="56" t="n">
        <v>1</v>
      </c>
      <c r="J15" s="56" t="n">
        <v>6</v>
      </c>
      <c r="K15" s="56" t="n">
        <v>2</v>
      </c>
      <c r="L15" s="56" t="n">
        <v>1</v>
      </c>
      <c r="M15" s="52" t="s">
        <v>199</v>
      </c>
      <c r="N15" s="57" t="s">
        <v>236</v>
      </c>
      <c r="O15" s="62" t="str">
        <f aca="false">IF($B15="","",TEXT($A15,"YYYY-MM")&amp;"|"&amp;$B15)</f>
        <v>2026-05|P-002</v>
      </c>
    </row>
    <row r="16" customFormat="false" ht="15" hidden="false" customHeight="false" outlineLevel="0" collapsed="false">
      <c r="A16" s="63" t="n">
        <v>46143</v>
      </c>
      <c r="B16" s="46" t="s">
        <v>159</v>
      </c>
      <c r="C16" s="50" t="n">
        <v>4</v>
      </c>
      <c r="D16" s="50" t="n">
        <v>3</v>
      </c>
      <c r="E16" s="50" t="n">
        <v>4</v>
      </c>
      <c r="F16" s="50" t="n">
        <v>3</v>
      </c>
      <c r="G16" s="49" t="n">
        <v>168000</v>
      </c>
      <c r="H16" s="50" t="n">
        <v>1</v>
      </c>
      <c r="I16" s="50" t="n">
        <v>1</v>
      </c>
      <c r="J16" s="50" t="n">
        <v>7</v>
      </c>
      <c r="K16" s="50" t="n">
        <v>2</v>
      </c>
      <c r="L16" s="50" t="n">
        <v>2</v>
      </c>
      <c r="M16" s="46" t="s">
        <v>199</v>
      </c>
      <c r="N16" s="51" t="s">
        <v>237</v>
      </c>
      <c r="O16" s="62" t="str">
        <f aca="false">IF($B16="","",TEXT($A16,"YYYY-MM")&amp;"|"&amp;$B16)</f>
        <v>2026-05|P-003</v>
      </c>
    </row>
    <row r="17" customFormat="false" ht="15" hidden="false" customHeight="false" outlineLevel="0" collapsed="false">
      <c r="A17" s="64" t="n">
        <v>46143</v>
      </c>
      <c r="B17" s="52" t="s">
        <v>167</v>
      </c>
      <c r="C17" s="56" t="n">
        <v>3</v>
      </c>
      <c r="D17" s="56" t="n">
        <v>3</v>
      </c>
      <c r="E17" s="56" t="n">
        <v>3</v>
      </c>
      <c r="F17" s="56" t="n">
        <v>3</v>
      </c>
      <c r="G17" s="55" t="n">
        <v>190000</v>
      </c>
      <c r="H17" s="56" t="n">
        <v>0</v>
      </c>
      <c r="I17" s="56" t="n">
        <v>0</v>
      </c>
      <c r="J17" s="56" t="n">
        <v>3</v>
      </c>
      <c r="K17" s="56" t="n">
        <v>0</v>
      </c>
      <c r="L17" s="56" t="n">
        <v>0</v>
      </c>
      <c r="M17" s="52" t="s">
        <v>211</v>
      </c>
      <c r="N17" s="57" t="s">
        <v>238</v>
      </c>
      <c r="O17" s="62" t="str">
        <f aca="false">IF($B17="","",TEXT($A17,"YYYY-MM")&amp;"|"&amp;$B17)</f>
        <v>2026-05|P-004</v>
      </c>
    </row>
    <row r="18" customFormat="false" ht="15" hidden="false" customHeight="false" outlineLevel="0" collapsed="false">
      <c r="A18" s="63" t="n">
        <v>46143</v>
      </c>
      <c r="B18" s="46" t="s">
        <v>174</v>
      </c>
      <c r="C18" s="50" t="n">
        <v>3</v>
      </c>
      <c r="D18" s="50" t="n">
        <v>3</v>
      </c>
      <c r="E18" s="50" t="n">
        <v>3</v>
      </c>
      <c r="F18" s="50" t="n">
        <v>3</v>
      </c>
      <c r="G18" s="49" t="n">
        <v>95000</v>
      </c>
      <c r="H18" s="50" t="n">
        <v>1</v>
      </c>
      <c r="I18" s="50" t="n">
        <v>0</v>
      </c>
      <c r="J18" s="50" t="n">
        <v>3</v>
      </c>
      <c r="K18" s="50" t="n">
        <v>1</v>
      </c>
      <c r="L18" s="50" t="n">
        <v>1</v>
      </c>
      <c r="M18" s="46" t="s">
        <v>199</v>
      </c>
      <c r="N18" s="51" t="s">
        <v>239</v>
      </c>
      <c r="O18" s="62" t="str">
        <f aca="false">IF($B18="","",TEXT($A18,"YYYY-MM")&amp;"|"&amp;$B18)</f>
        <v>2026-05|P-005</v>
      </c>
    </row>
    <row r="19" customFormat="false" ht="15" hidden="false" customHeight="false" outlineLevel="0" collapsed="false">
      <c r="A19" s="64" t="n">
        <v>46174</v>
      </c>
      <c r="B19" s="52" t="s">
        <v>143</v>
      </c>
      <c r="C19" s="56" t="n">
        <v>6</v>
      </c>
      <c r="D19" s="56" t="n">
        <v>5</v>
      </c>
      <c r="E19" s="56" t="n">
        <v>7</v>
      </c>
      <c r="F19" s="56" t="n">
        <v>6</v>
      </c>
      <c r="G19" s="55" t="n">
        <v>286000</v>
      </c>
      <c r="H19" s="56" t="n">
        <v>2</v>
      </c>
      <c r="I19" s="56" t="n">
        <v>1</v>
      </c>
      <c r="J19" s="56" t="n">
        <v>5</v>
      </c>
      <c r="K19" s="56" t="n">
        <v>1</v>
      </c>
      <c r="L19" s="56" t="n">
        <v>0</v>
      </c>
      <c r="M19" s="52" t="s">
        <v>199</v>
      </c>
      <c r="N19" s="57" t="s">
        <v>240</v>
      </c>
      <c r="O19" s="62" t="str">
        <f aca="false">IF($B19="","",TEXT($A19,"YYYY-MM")&amp;"|"&amp;$B19)</f>
        <v>2026-06|P-001</v>
      </c>
    </row>
    <row r="20" customFormat="false" ht="15" hidden="false" customHeight="false" outlineLevel="0" collapsed="false">
      <c r="A20" s="63" t="n">
        <v>46174</v>
      </c>
      <c r="B20" s="46" t="s">
        <v>151</v>
      </c>
      <c r="C20" s="50" t="n">
        <v>6</v>
      </c>
      <c r="D20" s="50" t="n">
        <v>6</v>
      </c>
      <c r="E20" s="50" t="n">
        <v>6</v>
      </c>
      <c r="F20" s="50" t="n">
        <v>5</v>
      </c>
      <c r="G20" s="49" t="n">
        <v>430000</v>
      </c>
      <c r="H20" s="50" t="n">
        <v>2</v>
      </c>
      <c r="I20" s="50" t="n">
        <v>1</v>
      </c>
      <c r="J20" s="50" t="n">
        <v>6</v>
      </c>
      <c r="K20" s="50" t="n">
        <v>1</v>
      </c>
      <c r="L20" s="50" t="n">
        <v>0</v>
      </c>
      <c r="M20" s="46" t="s">
        <v>211</v>
      </c>
      <c r="N20" s="51" t="s">
        <v>241</v>
      </c>
      <c r="O20" s="62" t="str">
        <f aca="false">IF($B20="","",TEXT($A20,"YYYY-MM")&amp;"|"&amp;$B20)</f>
        <v>2026-06|P-002</v>
      </c>
    </row>
    <row r="21" customFormat="false" ht="15" hidden="false" customHeight="false" outlineLevel="0" collapsed="false">
      <c r="A21" s="64" t="n">
        <v>46174</v>
      </c>
      <c r="B21" s="52" t="s">
        <v>159</v>
      </c>
      <c r="C21" s="56" t="n">
        <v>5</v>
      </c>
      <c r="D21" s="56" t="n">
        <v>3</v>
      </c>
      <c r="E21" s="56" t="n">
        <v>6</v>
      </c>
      <c r="F21" s="56" t="n">
        <v>4</v>
      </c>
      <c r="G21" s="55" t="n">
        <v>232000</v>
      </c>
      <c r="H21" s="56" t="n">
        <v>3</v>
      </c>
      <c r="I21" s="56" t="n">
        <v>2</v>
      </c>
      <c r="J21" s="56" t="n">
        <v>8</v>
      </c>
      <c r="K21" s="56" t="n">
        <v>3</v>
      </c>
      <c r="L21" s="56" t="n">
        <v>3</v>
      </c>
      <c r="M21" s="52" t="s">
        <v>213</v>
      </c>
      <c r="N21" s="57" t="s">
        <v>242</v>
      </c>
      <c r="O21" s="62" t="str">
        <f aca="false">IF($B21="","",TEXT($A21,"YYYY-MM")&amp;"|"&amp;$B21)</f>
        <v>2026-06|P-003</v>
      </c>
    </row>
    <row r="22" customFormat="false" ht="15" hidden="false" customHeight="false" outlineLevel="0" collapsed="false">
      <c r="A22" s="63" t="n">
        <v>46174</v>
      </c>
      <c r="B22" s="46" t="s">
        <v>167</v>
      </c>
      <c r="C22" s="50" t="n">
        <v>5</v>
      </c>
      <c r="D22" s="50" t="n">
        <v>5</v>
      </c>
      <c r="E22" s="50" t="n">
        <v>4</v>
      </c>
      <c r="F22" s="50" t="n">
        <v>4</v>
      </c>
      <c r="G22" s="49" t="n">
        <v>268000</v>
      </c>
      <c r="H22" s="50" t="n">
        <v>1</v>
      </c>
      <c r="I22" s="50" t="n">
        <v>1</v>
      </c>
      <c r="J22" s="50" t="n">
        <v>3</v>
      </c>
      <c r="K22" s="50" t="n">
        <v>0</v>
      </c>
      <c r="L22" s="50" t="n">
        <v>0</v>
      </c>
      <c r="M22" s="46" t="s">
        <v>211</v>
      </c>
      <c r="N22" s="51" t="s">
        <v>243</v>
      </c>
      <c r="O22" s="62" t="str">
        <f aca="false">IF($B22="","",TEXT($A22,"YYYY-MM")&amp;"|"&amp;$B22)</f>
        <v>2026-06|P-004</v>
      </c>
    </row>
    <row r="23" customFormat="false" ht="15" hidden="false" customHeight="false" outlineLevel="0" collapsed="false">
      <c r="A23" s="64" t="n">
        <v>46174</v>
      </c>
      <c r="B23" s="52" t="s">
        <v>174</v>
      </c>
      <c r="C23" s="56" t="n">
        <v>4</v>
      </c>
      <c r="D23" s="56" t="n">
        <v>4</v>
      </c>
      <c r="E23" s="56" t="n">
        <v>5</v>
      </c>
      <c r="F23" s="56" t="n">
        <v>4</v>
      </c>
      <c r="G23" s="55" t="n">
        <v>138000</v>
      </c>
      <c r="H23" s="56" t="n">
        <v>1</v>
      </c>
      <c r="I23" s="56" t="n">
        <v>0</v>
      </c>
      <c r="J23" s="56" t="n">
        <v>4</v>
      </c>
      <c r="K23" s="56" t="n">
        <v>1</v>
      </c>
      <c r="L23" s="56" t="n">
        <v>0</v>
      </c>
      <c r="M23" s="52" t="s">
        <v>199</v>
      </c>
      <c r="N23" s="57" t="s">
        <v>244</v>
      </c>
      <c r="O23" s="62" t="str">
        <f aca="false">IF($B23="","",TEXT($A23,"YYYY-MM")&amp;"|"&amp;$B23)</f>
        <v>2026-06|P-005</v>
      </c>
    </row>
    <row r="24" customFormat="false" ht="15" hidden="false" customHeight="false" outlineLevel="0" collapsed="false">
      <c r="A24" s="63" t="n">
        <v>46204</v>
      </c>
      <c r="B24" s="46" t="s">
        <v>143</v>
      </c>
      <c r="C24" s="50" t="n">
        <v>8</v>
      </c>
      <c r="D24" s="50" t="n">
        <v>7</v>
      </c>
      <c r="E24" s="50" t="n">
        <v>9</v>
      </c>
      <c r="F24" s="50" t="n">
        <v>8</v>
      </c>
      <c r="G24" s="49" t="n">
        <v>352000</v>
      </c>
      <c r="H24" s="50" t="n">
        <v>3</v>
      </c>
      <c r="I24" s="50" t="n">
        <v>2</v>
      </c>
      <c r="J24" s="50" t="n">
        <v>4</v>
      </c>
      <c r="K24" s="50" t="n">
        <v>1</v>
      </c>
      <c r="L24" s="50" t="n">
        <v>2</v>
      </c>
      <c r="M24" s="46" t="s">
        <v>199</v>
      </c>
      <c r="N24" s="51" t="s">
        <v>245</v>
      </c>
      <c r="O24" s="62" t="str">
        <f aca="false">IF($B24="","",TEXT($A24,"YYYY-MM")&amp;"|"&amp;$B24)</f>
        <v>2026-07|P-001</v>
      </c>
    </row>
    <row r="25" customFormat="false" ht="15" hidden="false" customHeight="false" outlineLevel="0" collapsed="false">
      <c r="A25" s="64" t="n">
        <v>46204</v>
      </c>
      <c r="B25" s="52" t="s">
        <v>151</v>
      </c>
      <c r="C25" s="56" t="n">
        <v>8</v>
      </c>
      <c r="D25" s="56" t="n">
        <v>7</v>
      </c>
      <c r="E25" s="56" t="n">
        <v>8</v>
      </c>
      <c r="F25" s="56" t="n">
        <v>7</v>
      </c>
      <c r="G25" s="55" t="n">
        <v>560000</v>
      </c>
      <c r="H25" s="56" t="n">
        <v>2</v>
      </c>
      <c r="I25" s="56" t="n">
        <v>1</v>
      </c>
      <c r="J25" s="56" t="n">
        <v>5</v>
      </c>
      <c r="K25" s="56" t="n">
        <v>1</v>
      </c>
      <c r="L25" s="56" t="n">
        <v>0</v>
      </c>
      <c r="M25" s="52" t="s">
        <v>211</v>
      </c>
      <c r="N25" s="57" t="s">
        <v>246</v>
      </c>
      <c r="O25" s="62" t="str">
        <f aca="false">IF($B25="","",TEXT($A25,"YYYY-MM")&amp;"|"&amp;$B25)</f>
        <v>2026-07|P-002</v>
      </c>
    </row>
    <row r="26" customFormat="false" ht="15" hidden="false" customHeight="false" outlineLevel="0" collapsed="false">
      <c r="A26" s="63" t="n">
        <v>46204</v>
      </c>
      <c r="B26" s="46" t="s">
        <v>159</v>
      </c>
      <c r="C26" s="50" t="n">
        <v>7</v>
      </c>
      <c r="D26" s="50" t="n">
        <v>4</v>
      </c>
      <c r="E26" s="50" t="n">
        <v>8</v>
      </c>
      <c r="F26" s="50" t="n">
        <v>5</v>
      </c>
      <c r="G26" s="49" t="n">
        <v>296000</v>
      </c>
      <c r="H26" s="50" t="n">
        <v>4</v>
      </c>
      <c r="I26" s="50" t="n">
        <v>3</v>
      </c>
      <c r="J26" s="50" t="n">
        <v>9</v>
      </c>
      <c r="K26" s="50" t="n">
        <v>3</v>
      </c>
      <c r="L26" s="50" t="n">
        <v>3</v>
      </c>
      <c r="M26" s="46" t="s">
        <v>213</v>
      </c>
      <c r="N26" s="51" t="s">
        <v>247</v>
      </c>
      <c r="O26" s="62" t="str">
        <f aca="false">IF($B26="","",TEXT($A26,"YYYY-MM")&amp;"|"&amp;$B26)</f>
        <v>2026-07|P-003</v>
      </c>
    </row>
    <row r="27" customFormat="false" ht="15" hidden="false" customHeight="false" outlineLevel="0" collapsed="false">
      <c r="A27" s="64" t="n">
        <v>46204</v>
      </c>
      <c r="B27" s="52" t="s">
        <v>167</v>
      </c>
      <c r="C27" s="56" t="n">
        <v>6</v>
      </c>
      <c r="D27" s="56" t="n">
        <v>6</v>
      </c>
      <c r="E27" s="56" t="n">
        <v>6</v>
      </c>
      <c r="F27" s="56" t="n">
        <v>6</v>
      </c>
      <c r="G27" s="55" t="n">
        <v>340000</v>
      </c>
      <c r="H27" s="56" t="n">
        <v>1</v>
      </c>
      <c r="I27" s="56" t="n">
        <v>1</v>
      </c>
      <c r="J27" s="56" t="n">
        <v>2</v>
      </c>
      <c r="K27" s="56" t="n">
        <v>0</v>
      </c>
      <c r="L27" s="56" t="n">
        <v>0</v>
      </c>
      <c r="M27" s="52" t="s">
        <v>211</v>
      </c>
      <c r="N27" s="57" t="s">
        <v>248</v>
      </c>
      <c r="O27" s="62" t="str">
        <f aca="false">IF($B27="","",TEXT($A27,"YYYY-MM")&amp;"|"&amp;$B27)</f>
        <v>2026-07|P-004</v>
      </c>
    </row>
    <row r="28" customFormat="false" ht="15" hidden="false" customHeight="false" outlineLevel="0" collapsed="false">
      <c r="A28" s="63" t="n">
        <v>46204</v>
      </c>
      <c r="B28" s="46" t="s">
        <v>174</v>
      </c>
      <c r="C28" s="50" t="n">
        <v>6</v>
      </c>
      <c r="D28" s="50" t="n">
        <v>5</v>
      </c>
      <c r="E28" s="50" t="n">
        <v>7</v>
      </c>
      <c r="F28" s="50" t="n">
        <v>6</v>
      </c>
      <c r="G28" s="49" t="n">
        <v>180000</v>
      </c>
      <c r="H28" s="50" t="n">
        <v>2</v>
      </c>
      <c r="I28" s="50" t="n">
        <v>1</v>
      </c>
      <c r="J28" s="50" t="n">
        <v>4</v>
      </c>
      <c r="K28" s="50" t="n">
        <v>1</v>
      </c>
      <c r="L28" s="50" t="n">
        <v>0</v>
      </c>
      <c r="M28" s="46" t="s">
        <v>211</v>
      </c>
      <c r="N28" s="51" t="s">
        <v>249</v>
      </c>
      <c r="O28" s="62" t="str">
        <f aca="false">IF($B28="","",TEXT($A28,"YYYY-MM")&amp;"|"&amp;$B28)</f>
        <v>2026-07|P-005</v>
      </c>
    </row>
    <row r="29" customFormat="false" ht="15" hidden="false" customHeight="false" outlineLevel="0" collapsed="false">
      <c r="A29" s="64" t="n">
        <v>46235</v>
      </c>
      <c r="B29" s="52" t="s">
        <v>143</v>
      </c>
      <c r="C29" s="56" t="n">
        <v>9</v>
      </c>
      <c r="D29" s="56" t="n">
        <v>7</v>
      </c>
      <c r="E29" s="56" t="n">
        <v>11</v>
      </c>
      <c r="F29" s="56" t="n">
        <v>9</v>
      </c>
      <c r="G29" s="55" t="n">
        <v>412000</v>
      </c>
      <c r="H29" s="56" t="n">
        <v>3</v>
      </c>
      <c r="I29" s="56" t="n">
        <v>2</v>
      </c>
      <c r="J29" s="56" t="n">
        <v>3</v>
      </c>
      <c r="K29" s="56" t="n">
        <v>1</v>
      </c>
      <c r="L29" s="56" t="n">
        <v>2</v>
      </c>
      <c r="M29" s="52" t="s">
        <v>199</v>
      </c>
      <c r="N29" s="57" t="s">
        <v>217</v>
      </c>
      <c r="O29" s="62" t="str">
        <f aca="false">IF($B29="","",TEXT($A29,"YYYY-MM")&amp;"|"&amp;$B29)</f>
        <v>2026-08|P-001</v>
      </c>
    </row>
    <row r="30" customFormat="false" ht="15" hidden="false" customHeight="false" outlineLevel="0" collapsed="false">
      <c r="A30" s="63" t="n">
        <v>46235</v>
      </c>
      <c r="B30" s="46" t="s">
        <v>151</v>
      </c>
      <c r="C30" s="50" t="n">
        <v>10</v>
      </c>
      <c r="D30" s="50" t="n">
        <v>9</v>
      </c>
      <c r="E30" s="50" t="n">
        <v>10</v>
      </c>
      <c r="F30" s="50" t="n">
        <v>9</v>
      </c>
      <c r="G30" s="49" t="n">
        <v>690000</v>
      </c>
      <c r="H30" s="50" t="n">
        <v>3</v>
      </c>
      <c r="I30" s="50" t="n">
        <v>2</v>
      </c>
      <c r="J30" s="50" t="n">
        <v>5</v>
      </c>
      <c r="K30" s="50" t="n">
        <v>0</v>
      </c>
      <c r="L30" s="50" t="n">
        <v>0</v>
      </c>
      <c r="M30" s="46" t="s">
        <v>211</v>
      </c>
      <c r="N30" s="51" t="s">
        <v>218</v>
      </c>
      <c r="O30" s="62" t="str">
        <f aca="false">IF($B30="","",TEXT($A30,"YYYY-MM")&amp;"|"&amp;$B30)</f>
        <v>2026-08|P-002</v>
      </c>
    </row>
    <row r="31" customFormat="false" ht="15" hidden="false" customHeight="false" outlineLevel="0" collapsed="false">
      <c r="A31" s="64" t="n">
        <v>46235</v>
      </c>
      <c r="B31" s="52" t="s">
        <v>159</v>
      </c>
      <c r="C31" s="56" t="n">
        <v>8</v>
      </c>
      <c r="D31" s="56" t="n">
        <v>5</v>
      </c>
      <c r="E31" s="56" t="n">
        <v>10</v>
      </c>
      <c r="F31" s="56" t="n">
        <v>6</v>
      </c>
      <c r="G31" s="55" t="n">
        <v>351000</v>
      </c>
      <c r="H31" s="56" t="n">
        <v>5</v>
      </c>
      <c r="I31" s="56" t="n">
        <v>4</v>
      </c>
      <c r="J31" s="56" t="n">
        <v>9</v>
      </c>
      <c r="K31" s="56" t="n">
        <v>3</v>
      </c>
      <c r="L31" s="56" t="n">
        <v>4</v>
      </c>
      <c r="M31" s="52" t="s">
        <v>213</v>
      </c>
      <c r="N31" s="57" t="s">
        <v>219</v>
      </c>
      <c r="O31" s="62" t="str">
        <f aca="false">IF($B31="","",TEXT($A31,"YYYY-MM")&amp;"|"&amp;$B31)</f>
        <v>2026-08|P-003</v>
      </c>
    </row>
    <row r="32" customFormat="false" ht="15" hidden="false" customHeight="false" outlineLevel="0" collapsed="false">
      <c r="A32" s="63" t="n">
        <v>46235</v>
      </c>
      <c r="B32" s="46" t="s">
        <v>167</v>
      </c>
      <c r="C32" s="50" t="n">
        <v>8</v>
      </c>
      <c r="D32" s="50" t="n">
        <v>8</v>
      </c>
      <c r="E32" s="50" t="n">
        <v>8</v>
      </c>
      <c r="F32" s="50" t="n">
        <v>8</v>
      </c>
      <c r="G32" s="49" t="n">
        <v>415000</v>
      </c>
      <c r="H32" s="50" t="n">
        <v>1</v>
      </c>
      <c r="I32" s="50" t="n">
        <v>1</v>
      </c>
      <c r="J32" s="50" t="n">
        <v>2</v>
      </c>
      <c r="K32" s="50" t="n">
        <v>0</v>
      </c>
      <c r="L32" s="50" t="n">
        <v>0</v>
      </c>
      <c r="M32" s="46" t="s">
        <v>211</v>
      </c>
      <c r="N32" s="51" t="s">
        <v>220</v>
      </c>
      <c r="O32" s="62" t="str">
        <f aca="false">IF($B32="","",TEXT($A32,"YYYY-MM")&amp;"|"&amp;$B32)</f>
        <v>2026-08|P-004</v>
      </c>
    </row>
    <row r="33" customFormat="false" ht="15" hidden="false" customHeight="false" outlineLevel="0" collapsed="false">
      <c r="A33" s="64" t="n">
        <v>46235</v>
      </c>
      <c r="B33" s="52" t="s">
        <v>174</v>
      </c>
      <c r="C33" s="56" t="n">
        <v>7</v>
      </c>
      <c r="D33" s="56" t="n">
        <v>6</v>
      </c>
      <c r="E33" s="56" t="n">
        <v>9</v>
      </c>
      <c r="F33" s="56" t="n">
        <v>7</v>
      </c>
      <c r="G33" s="55" t="n">
        <v>224000</v>
      </c>
      <c r="H33" s="56" t="n">
        <v>2</v>
      </c>
      <c r="I33" s="56" t="n">
        <v>1</v>
      </c>
      <c r="J33" s="56" t="n">
        <v>3</v>
      </c>
      <c r="K33" s="56" t="n">
        <v>0</v>
      </c>
      <c r="L33" s="56" t="n">
        <v>1</v>
      </c>
      <c r="M33" s="52" t="s">
        <v>211</v>
      </c>
      <c r="N33" s="57" t="s">
        <v>221</v>
      </c>
      <c r="O33" s="62" t="str">
        <f aca="false">IF($B33="","",TEXT($A33,"YYYY-MM")&amp;"|"&amp;$B33)</f>
        <v>2026-08|P-005</v>
      </c>
    </row>
    <row r="34" customFormat="false" ht="15" hidden="false" customHeight="false" outlineLevel="0" collapsed="false">
      <c r="A34" s="63"/>
      <c r="B34" s="46"/>
      <c r="C34" s="50"/>
      <c r="D34" s="50"/>
      <c r="E34" s="50"/>
      <c r="F34" s="50"/>
      <c r="G34" s="49"/>
      <c r="H34" s="50"/>
      <c r="I34" s="50"/>
      <c r="J34" s="50"/>
      <c r="K34" s="50"/>
      <c r="L34" s="50"/>
      <c r="M34" s="46"/>
      <c r="N34" s="47"/>
      <c r="O34" s="62" t="str">
        <f aca="false">IF($B34="","",TEXT($A34,"YYYY-MM")&amp;"|"&amp;$B34)</f>
        <v/>
      </c>
    </row>
    <row r="35" customFormat="false" ht="15" hidden="false" customHeight="false" outlineLevel="0" collapsed="false">
      <c r="A35" s="64"/>
      <c r="B35" s="52"/>
      <c r="C35" s="56"/>
      <c r="D35" s="56"/>
      <c r="E35" s="56"/>
      <c r="F35" s="56"/>
      <c r="G35" s="55"/>
      <c r="H35" s="56"/>
      <c r="I35" s="56"/>
      <c r="J35" s="56"/>
      <c r="K35" s="56"/>
      <c r="L35" s="56"/>
      <c r="M35" s="52"/>
      <c r="N35" s="53"/>
      <c r="O35" s="62" t="str">
        <f aca="false">IF($B35="","",TEXT($A35,"YYYY-MM")&amp;"|"&amp;$B35)</f>
        <v/>
      </c>
    </row>
    <row r="36" customFormat="false" ht="15" hidden="false" customHeight="false" outlineLevel="0" collapsed="false">
      <c r="A36" s="63"/>
      <c r="B36" s="46"/>
      <c r="C36" s="50"/>
      <c r="D36" s="50"/>
      <c r="E36" s="50"/>
      <c r="F36" s="50"/>
      <c r="G36" s="49"/>
      <c r="H36" s="50"/>
      <c r="I36" s="50"/>
      <c r="J36" s="50"/>
      <c r="K36" s="50"/>
      <c r="L36" s="50"/>
      <c r="M36" s="46"/>
      <c r="N36" s="47"/>
      <c r="O36" s="62" t="str">
        <f aca="false">IF($B36="","",TEXT($A36,"YYYY-MM")&amp;"|"&amp;$B36)</f>
        <v/>
      </c>
    </row>
    <row r="37" customFormat="false" ht="15" hidden="false" customHeight="false" outlineLevel="0" collapsed="false">
      <c r="A37" s="64"/>
      <c r="B37" s="52"/>
      <c r="C37" s="56"/>
      <c r="D37" s="56"/>
      <c r="E37" s="56"/>
      <c r="F37" s="56"/>
      <c r="G37" s="55"/>
      <c r="H37" s="56"/>
      <c r="I37" s="56"/>
      <c r="J37" s="56"/>
      <c r="K37" s="56"/>
      <c r="L37" s="56"/>
      <c r="M37" s="52"/>
      <c r="N37" s="53"/>
      <c r="O37" s="62" t="str">
        <f aca="false">IF($B37="","",TEXT($A37,"YYYY-MM")&amp;"|"&amp;$B37)</f>
        <v/>
      </c>
    </row>
    <row r="38" customFormat="false" ht="15" hidden="false" customHeight="false" outlineLevel="0" collapsed="false">
      <c r="A38" s="63"/>
      <c r="B38" s="46"/>
      <c r="C38" s="50"/>
      <c r="D38" s="50"/>
      <c r="E38" s="50"/>
      <c r="F38" s="50"/>
      <c r="G38" s="49"/>
      <c r="H38" s="50"/>
      <c r="I38" s="50"/>
      <c r="J38" s="50"/>
      <c r="K38" s="50"/>
      <c r="L38" s="50"/>
      <c r="M38" s="46"/>
      <c r="N38" s="47"/>
      <c r="O38" s="62" t="str">
        <f aca="false">IF($B38="","",TEXT($A38,"YYYY-MM")&amp;"|"&amp;$B38)</f>
        <v/>
      </c>
    </row>
    <row r="39" customFormat="false" ht="15" hidden="false" customHeight="false" outlineLevel="0" collapsed="false">
      <c r="A39" s="64"/>
      <c r="B39" s="52"/>
      <c r="C39" s="56"/>
      <c r="D39" s="56"/>
      <c r="E39" s="56"/>
      <c r="F39" s="56"/>
      <c r="G39" s="55"/>
      <c r="H39" s="56"/>
      <c r="I39" s="56"/>
      <c r="J39" s="56"/>
      <c r="K39" s="56"/>
      <c r="L39" s="56"/>
      <c r="M39" s="52"/>
      <c r="N39" s="53"/>
      <c r="O39" s="62" t="str">
        <f aca="false">IF($B39="","",TEXT($A39,"YYYY-MM")&amp;"|"&amp;$B39)</f>
        <v/>
      </c>
    </row>
    <row r="40" customFormat="false" ht="15" hidden="false" customHeight="false" outlineLevel="0" collapsed="false">
      <c r="A40" s="63"/>
      <c r="B40" s="46"/>
      <c r="C40" s="50"/>
      <c r="D40" s="50"/>
      <c r="E40" s="50"/>
      <c r="F40" s="50"/>
      <c r="G40" s="49"/>
      <c r="H40" s="50"/>
      <c r="I40" s="50"/>
      <c r="J40" s="50"/>
      <c r="K40" s="50"/>
      <c r="L40" s="50"/>
      <c r="M40" s="46"/>
      <c r="N40" s="47"/>
      <c r="O40" s="62" t="str">
        <f aca="false">IF($B40="","",TEXT($A40,"YYYY-MM")&amp;"|"&amp;$B40)</f>
        <v/>
      </c>
    </row>
    <row r="41" customFormat="false" ht="15" hidden="false" customHeight="false" outlineLevel="0" collapsed="false">
      <c r="A41" s="64"/>
      <c r="B41" s="52"/>
      <c r="C41" s="56"/>
      <c r="D41" s="56"/>
      <c r="E41" s="56"/>
      <c r="F41" s="56"/>
      <c r="G41" s="55"/>
      <c r="H41" s="56"/>
      <c r="I41" s="56"/>
      <c r="J41" s="56"/>
      <c r="K41" s="56"/>
      <c r="L41" s="56"/>
      <c r="M41" s="52"/>
      <c r="N41" s="53"/>
      <c r="O41" s="62" t="str">
        <f aca="false">IF($B41="","",TEXT($A41,"YYYY-MM")&amp;"|"&amp;$B41)</f>
        <v/>
      </c>
    </row>
    <row r="42" customFormat="false" ht="15" hidden="false" customHeight="false" outlineLevel="0" collapsed="false">
      <c r="A42" s="63"/>
      <c r="B42" s="46"/>
      <c r="C42" s="50"/>
      <c r="D42" s="50"/>
      <c r="E42" s="50"/>
      <c r="F42" s="50"/>
      <c r="G42" s="49"/>
      <c r="H42" s="50"/>
      <c r="I42" s="50"/>
      <c r="J42" s="50"/>
      <c r="K42" s="50"/>
      <c r="L42" s="50"/>
      <c r="M42" s="46"/>
      <c r="N42" s="47"/>
      <c r="O42" s="62" t="str">
        <f aca="false">IF($B42="","",TEXT($A42,"YYYY-MM")&amp;"|"&amp;$B42)</f>
        <v/>
      </c>
    </row>
    <row r="43" customFormat="false" ht="15" hidden="false" customHeight="false" outlineLevel="0" collapsed="false">
      <c r="A43" s="64"/>
      <c r="B43" s="52"/>
      <c r="C43" s="56"/>
      <c r="D43" s="56"/>
      <c r="E43" s="56"/>
      <c r="F43" s="56"/>
      <c r="G43" s="55"/>
      <c r="H43" s="56"/>
      <c r="I43" s="56"/>
      <c r="J43" s="56"/>
      <c r="K43" s="56"/>
      <c r="L43" s="56"/>
      <c r="M43" s="52"/>
      <c r="N43" s="53"/>
      <c r="O43" s="62" t="str">
        <f aca="false">IF($B43="","",TEXT($A43,"YYYY-MM")&amp;"|"&amp;$B43)</f>
        <v/>
      </c>
    </row>
    <row r="44" customFormat="false" ht="15" hidden="false" customHeight="false" outlineLevel="0" collapsed="false">
      <c r="A44" s="63"/>
      <c r="B44" s="46"/>
      <c r="C44" s="50"/>
      <c r="D44" s="50"/>
      <c r="E44" s="50"/>
      <c r="F44" s="50"/>
      <c r="G44" s="49"/>
      <c r="H44" s="50"/>
      <c r="I44" s="50"/>
      <c r="J44" s="50"/>
      <c r="K44" s="50"/>
      <c r="L44" s="50"/>
      <c r="M44" s="46"/>
      <c r="N44" s="47"/>
      <c r="O44" s="62" t="str">
        <f aca="false">IF($B44="","",TEXT($A44,"YYYY-MM")&amp;"|"&amp;$B44)</f>
        <v/>
      </c>
    </row>
    <row r="45" customFormat="false" ht="15" hidden="false" customHeight="false" outlineLevel="0" collapsed="false">
      <c r="A45" s="64"/>
      <c r="B45" s="52"/>
      <c r="C45" s="56"/>
      <c r="D45" s="56"/>
      <c r="E45" s="56"/>
      <c r="F45" s="56"/>
      <c r="G45" s="55"/>
      <c r="H45" s="56"/>
      <c r="I45" s="56"/>
      <c r="J45" s="56"/>
      <c r="K45" s="56"/>
      <c r="L45" s="56"/>
      <c r="M45" s="52"/>
      <c r="N45" s="53"/>
      <c r="O45" s="62" t="str">
        <f aca="false">IF($B45="","",TEXT($A45,"YYYY-MM")&amp;"|"&amp;$B45)</f>
        <v/>
      </c>
    </row>
    <row r="46" customFormat="false" ht="15" hidden="false" customHeight="false" outlineLevel="0" collapsed="false">
      <c r="A46" s="63"/>
      <c r="B46" s="46"/>
      <c r="C46" s="50"/>
      <c r="D46" s="50"/>
      <c r="E46" s="50"/>
      <c r="F46" s="50"/>
      <c r="G46" s="49"/>
      <c r="H46" s="50"/>
      <c r="I46" s="50"/>
      <c r="J46" s="50"/>
      <c r="K46" s="50"/>
      <c r="L46" s="50"/>
      <c r="M46" s="46"/>
      <c r="N46" s="47"/>
      <c r="O46" s="62" t="str">
        <f aca="false">IF($B46="","",TEXT($A46,"YYYY-MM")&amp;"|"&amp;$B46)</f>
        <v/>
      </c>
    </row>
    <row r="47" customFormat="false" ht="15" hidden="false" customHeight="false" outlineLevel="0" collapsed="false">
      <c r="A47" s="64"/>
      <c r="B47" s="52"/>
      <c r="C47" s="56"/>
      <c r="D47" s="56"/>
      <c r="E47" s="56"/>
      <c r="F47" s="56"/>
      <c r="G47" s="55"/>
      <c r="H47" s="56"/>
      <c r="I47" s="56"/>
      <c r="J47" s="56"/>
      <c r="K47" s="56"/>
      <c r="L47" s="56"/>
      <c r="M47" s="52"/>
      <c r="N47" s="53"/>
      <c r="O47" s="62" t="str">
        <f aca="false">IF($B47="","",TEXT($A47,"YYYY-MM")&amp;"|"&amp;$B47)</f>
        <v/>
      </c>
    </row>
    <row r="48" customFormat="false" ht="15" hidden="false" customHeight="false" outlineLevel="0" collapsed="false">
      <c r="A48" s="63"/>
      <c r="B48" s="46"/>
      <c r="C48" s="50"/>
      <c r="D48" s="50"/>
      <c r="E48" s="50"/>
      <c r="F48" s="50"/>
      <c r="G48" s="49"/>
      <c r="H48" s="50"/>
      <c r="I48" s="50"/>
      <c r="J48" s="50"/>
      <c r="K48" s="50"/>
      <c r="L48" s="50"/>
      <c r="M48" s="46"/>
      <c r="N48" s="47"/>
      <c r="O48" s="62" t="str">
        <f aca="false">IF($B48="","",TEXT($A48,"YYYY-MM")&amp;"|"&amp;$B48)</f>
        <v/>
      </c>
    </row>
    <row r="49" customFormat="false" ht="15" hidden="false" customHeight="false" outlineLevel="0" collapsed="false">
      <c r="A49" s="64"/>
      <c r="B49" s="52"/>
      <c r="C49" s="56"/>
      <c r="D49" s="56"/>
      <c r="E49" s="56"/>
      <c r="F49" s="56"/>
      <c r="G49" s="55"/>
      <c r="H49" s="56"/>
      <c r="I49" s="56"/>
      <c r="J49" s="56"/>
      <c r="K49" s="56"/>
      <c r="L49" s="56"/>
      <c r="M49" s="52"/>
      <c r="N49" s="53"/>
      <c r="O49" s="62" t="str">
        <f aca="false">IF($B49="","",TEXT($A49,"YYYY-MM")&amp;"|"&amp;$B49)</f>
        <v/>
      </c>
    </row>
    <row r="50" customFormat="false" ht="15" hidden="false" customHeight="false" outlineLevel="0" collapsed="false">
      <c r="A50" s="63"/>
      <c r="B50" s="46"/>
      <c r="C50" s="50"/>
      <c r="D50" s="50"/>
      <c r="E50" s="50"/>
      <c r="F50" s="50"/>
      <c r="G50" s="49"/>
      <c r="H50" s="50"/>
      <c r="I50" s="50"/>
      <c r="J50" s="50"/>
      <c r="K50" s="50"/>
      <c r="L50" s="50"/>
      <c r="M50" s="46"/>
      <c r="N50" s="47"/>
      <c r="O50" s="62" t="str">
        <f aca="false">IF($B50="","",TEXT($A50,"YYYY-MM")&amp;"|"&amp;$B50)</f>
        <v/>
      </c>
    </row>
    <row r="51" customFormat="false" ht="15" hidden="false" customHeight="false" outlineLevel="0" collapsed="false">
      <c r="A51" s="64"/>
      <c r="B51" s="52"/>
      <c r="C51" s="56"/>
      <c r="D51" s="56"/>
      <c r="E51" s="56"/>
      <c r="F51" s="56"/>
      <c r="G51" s="55"/>
      <c r="H51" s="56"/>
      <c r="I51" s="56"/>
      <c r="J51" s="56"/>
      <c r="K51" s="56"/>
      <c r="L51" s="56"/>
      <c r="M51" s="52"/>
      <c r="N51" s="53"/>
      <c r="O51" s="62" t="str">
        <f aca="false">IF($B51="","",TEXT($A51,"YYYY-MM")&amp;"|"&amp;$B51)</f>
        <v/>
      </c>
    </row>
    <row r="52" customFormat="false" ht="15" hidden="false" customHeight="false" outlineLevel="0" collapsed="false">
      <c r="A52" s="63"/>
      <c r="B52" s="46"/>
      <c r="C52" s="50"/>
      <c r="D52" s="50"/>
      <c r="E52" s="50"/>
      <c r="F52" s="50"/>
      <c r="G52" s="49"/>
      <c r="H52" s="50"/>
      <c r="I52" s="50"/>
      <c r="J52" s="50"/>
      <c r="K52" s="50"/>
      <c r="L52" s="50"/>
      <c r="M52" s="46"/>
      <c r="N52" s="47"/>
      <c r="O52" s="62" t="str">
        <f aca="false">IF($B52="","",TEXT($A52,"YYYY-MM")&amp;"|"&amp;$B52)</f>
        <v/>
      </c>
    </row>
    <row r="53" customFormat="false" ht="15" hidden="false" customHeight="false" outlineLevel="0" collapsed="false">
      <c r="A53" s="64"/>
      <c r="B53" s="52"/>
      <c r="C53" s="56"/>
      <c r="D53" s="56"/>
      <c r="E53" s="56"/>
      <c r="F53" s="56"/>
      <c r="G53" s="55"/>
      <c r="H53" s="56"/>
      <c r="I53" s="56"/>
      <c r="J53" s="56"/>
      <c r="K53" s="56"/>
      <c r="L53" s="56"/>
      <c r="M53" s="52"/>
      <c r="N53" s="53"/>
      <c r="O53" s="62" t="str">
        <f aca="false">IF($B53="","",TEXT($A53,"YYYY-MM")&amp;"|"&amp;$B53)</f>
        <v/>
      </c>
    </row>
    <row r="54" customFormat="false" ht="15" hidden="false" customHeight="false" outlineLevel="0" collapsed="false">
      <c r="A54" s="63"/>
      <c r="B54" s="46"/>
      <c r="C54" s="50"/>
      <c r="D54" s="50"/>
      <c r="E54" s="50"/>
      <c r="F54" s="50"/>
      <c r="G54" s="49"/>
      <c r="H54" s="50"/>
      <c r="I54" s="50"/>
      <c r="J54" s="50"/>
      <c r="K54" s="50"/>
      <c r="L54" s="50"/>
      <c r="M54" s="46"/>
      <c r="N54" s="47"/>
      <c r="O54" s="62" t="str">
        <f aca="false">IF($B54="","",TEXT($A54,"YYYY-MM")&amp;"|"&amp;$B54)</f>
        <v/>
      </c>
    </row>
    <row r="55" customFormat="false" ht="15" hidden="false" customHeight="false" outlineLevel="0" collapsed="false">
      <c r="A55" s="64"/>
      <c r="B55" s="52"/>
      <c r="C55" s="56"/>
      <c r="D55" s="56"/>
      <c r="E55" s="56"/>
      <c r="F55" s="56"/>
      <c r="G55" s="55"/>
      <c r="H55" s="56"/>
      <c r="I55" s="56"/>
      <c r="J55" s="56"/>
      <c r="K55" s="56"/>
      <c r="L55" s="56"/>
      <c r="M55" s="52"/>
      <c r="N55" s="53"/>
      <c r="O55" s="62" t="str">
        <f aca="false">IF($B55="","",TEXT($A55,"YYYY-MM")&amp;"|"&amp;$B55)</f>
        <v/>
      </c>
    </row>
    <row r="56" customFormat="false" ht="15" hidden="false" customHeight="false" outlineLevel="0" collapsed="false">
      <c r="A56" s="63"/>
      <c r="B56" s="46"/>
      <c r="C56" s="50"/>
      <c r="D56" s="50"/>
      <c r="E56" s="50"/>
      <c r="F56" s="50"/>
      <c r="G56" s="49"/>
      <c r="H56" s="50"/>
      <c r="I56" s="50"/>
      <c r="J56" s="50"/>
      <c r="K56" s="50"/>
      <c r="L56" s="50"/>
      <c r="M56" s="46"/>
      <c r="N56" s="47"/>
      <c r="O56" s="62" t="str">
        <f aca="false">IF($B56="","",TEXT($A56,"YYYY-MM")&amp;"|"&amp;$B56)</f>
        <v/>
      </c>
    </row>
    <row r="57" customFormat="false" ht="15" hidden="false" customHeight="false" outlineLevel="0" collapsed="false">
      <c r="A57" s="64"/>
      <c r="B57" s="52"/>
      <c r="C57" s="56"/>
      <c r="D57" s="56"/>
      <c r="E57" s="56"/>
      <c r="F57" s="56"/>
      <c r="G57" s="55"/>
      <c r="H57" s="56"/>
      <c r="I57" s="56"/>
      <c r="J57" s="56"/>
      <c r="K57" s="56"/>
      <c r="L57" s="56"/>
      <c r="M57" s="52"/>
      <c r="N57" s="53"/>
      <c r="O57" s="62" t="str">
        <f aca="false">IF($B57="","",TEXT($A57,"YYYY-MM")&amp;"|"&amp;$B57)</f>
        <v/>
      </c>
    </row>
    <row r="58" customFormat="false" ht="15" hidden="false" customHeight="false" outlineLevel="0" collapsed="false">
      <c r="A58" s="63"/>
      <c r="B58" s="46"/>
      <c r="C58" s="50"/>
      <c r="D58" s="50"/>
      <c r="E58" s="50"/>
      <c r="F58" s="50"/>
      <c r="G58" s="49"/>
      <c r="H58" s="50"/>
      <c r="I58" s="50"/>
      <c r="J58" s="50"/>
      <c r="K58" s="50"/>
      <c r="L58" s="50"/>
      <c r="M58" s="46"/>
      <c r="N58" s="47"/>
      <c r="O58" s="62" t="str">
        <f aca="false">IF($B58="","",TEXT($A58,"YYYY-MM")&amp;"|"&amp;$B58)</f>
        <v/>
      </c>
    </row>
    <row r="59" customFormat="false" ht="15" hidden="false" customHeight="false" outlineLevel="0" collapsed="false">
      <c r="A59" s="64"/>
      <c r="B59" s="52"/>
      <c r="C59" s="56"/>
      <c r="D59" s="56"/>
      <c r="E59" s="56"/>
      <c r="F59" s="56"/>
      <c r="G59" s="55"/>
      <c r="H59" s="56"/>
      <c r="I59" s="56"/>
      <c r="J59" s="56"/>
      <c r="K59" s="56"/>
      <c r="L59" s="56"/>
      <c r="M59" s="52"/>
      <c r="N59" s="53"/>
      <c r="O59" s="62" t="str">
        <f aca="false">IF($B59="","",TEXT($A59,"YYYY-MM")&amp;"|"&amp;$B59)</f>
        <v/>
      </c>
    </row>
    <row r="60" customFormat="false" ht="15" hidden="false" customHeight="false" outlineLevel="0" collapsed="false">
      <c r="A60" s="63"/>
      <c r="B60" s="46"/>
      <c r="C60" s="50"/>
      <c r="D60" s="50"/>
      <c r="E60" s="50"/>
      <c r="F60" s="50"/>
      <c r="G60" s="49"/>
      <c r="H60" s="50"/>
      <c r="I60" s="50"/>
      <c r="J60" s="50"/>
      <c r="K60" s="50"/>
      <c r="L60" s="50"/>
      <c r="M60" s="46"/>
      <c r="N60" s="47"/>
      <c r="O60" s="62" t="str">
        <f aca="false">IF($B60="","",TEXT($A60,"YYYY-MM")&amp;"|"&amp;$B60)</f>
        <v/>
      </c>
    </row>
    <row r="61" customFormat="false" ht="15" hidden="false" customHeight="false" outlineLevel="0" collapsed="false">
      <c r="A61" s="64"/>
      <c r="B61" s="52"/>
      <c r="C61" s="56"/>
      <c r="D61" s="56"/>
      <c r="E61" s="56"/>
      <c r="F61" s="56"/>
      <c r="G61" s="55"/>
      <c r="H61" s="56"/>
      <c r="I61" s="56"/>
      <c r="J61" s="56"/>
      <c r="K61" s="56"/>
      <c r="L61" s="56"/>
      <c r="M61" s="52"/>
      <c r="N61" s="53"/>
      <c r="O61" s="62" t="str">
        <f aca="false">IF($B61="","",TEXT($A61,"YYYY-MM")&amp;"|"&amp;$B61)</f>
        <v/>
      </c>
    </row>
    <row r="62" customFormat="false" ht="15" hidden="false" customHeight="false" outlineLevel="0" collapsed="false">
      <c r="A62" s="63"/>
      <c r="B62" s="46"/>
      <c r="C62" s="50"/>
      <c r="D62" s="50"/>
      <c r="E62" s="50"/>
      <c r="F62" s="50"/>
      <c r="G62" s="49"/>
      <c r="H62" s="50"/>
      <c r="I62" s="50"/>
      <c r="J62" s="50"/>
      <c r="K62" s="50"/>
      <c r="L62" s="50"/>
      <c r="M62" s="46"/>
      <c r="N62" s="47"/>
      <c r="O62" s="62" t="str">
        <f aca="false">IF($B62="","",TEXT($A62,"YYYY-MM")&amp;"|"&amp;$B62)</f>
        <v/>
      </c>
    </row>
    <row r="63" customFormat="false" ht="15" hidden="false" customHeight="false" outlineLevel="0" collapsed="false">
      <c r="A63" s="64"/>
      <c r="B63" s="52"/>
      <c r="C63" s="56"/>
      <c r="D63" s="56"/>
      <c r="E63" s="56"/>
      <c r="F63" s="56"/>
      <c r="G63" s="55"/>
      <c r="H63" s="56"/>
      <c r="I63" s="56"/>
      <c r="J63" s="56"/>
      <c r="K63" s="56"/>
      <c r="L63" s="56"/>
      <c r="M63" s="52"/>
      <c r="N63" s="53"/>
      <c r="O63" s="62" t="str">
        <f aca="false">IF($B63="","",TEXT($A63,"YYYY-MM")&amp;"|"&amp;$B63)</f>
        <v/>
      </c>
    </row>
    <row r="64" customFormat="false" ht="15" hidden="false" customHeight="false" outlineLevel="0" collapsed="false">
      <c r="A64" s="63"/>
      <c r="B64" s="46"/>
      <c r="C64" s="50"/>
      <c r="D64" s="50"/>
      <c r="E64" s="50"/>
      <c r="F64" s="50"/>
      <c r="G64" s="49"/>
      <c r="H64" s="50"/>
      <c r="I64" s="50"/>
      <c r="J64" s="50"/>
      <c r="K64" s="50"/>
      <c r="L64" s="50"/>
      <c r="M64" s="46"/>
      <c r="N64" s="47"/>
      <c r="O64" s="62" t="str">
        <f aca="false">IF($B64="","",TEXT($A64,"YYYY-MM")&amp;"|"&amp;$B64)</f>
        <v/>
      </c>
    </row>
    <row r="65" customFormat="false" ht="15" hidden="false" customHeight="false" outlineLevel="0" collapsed="false">
      <c r="A65" s="64"/>
      <c r="B65" s="52"/>
      <c r="C65" s="56"/>
      <c r="D65" s="56"/>
      <c r="E65" s="56"/>
      <c r="F65" s="56"/>
      <c r="G65" s="55"/>
      <c r="H65" s="56"/>
      <c r="I65" s="56"/>
      <c r="J65" s="56"/>
      <c r="K65" s="56"/>
      <c r="L65" s="56"/>
      <c r="M65" s="52"/>
      <c r="N65" s="53"/>
      <c r="O65" s="62" t="str">
        <f aca="false">IF($B65="","",TEXT($A65,"YYYY-MM")&amp;"|"&amp;$B65)</f>
        <v/>
      </c>
    </row>
    <row r="66" customFormat="false" ht="15" hidden="false" customHeight="false" outlineLevel="0" collapsed="false">
      <c r="A66" s="63"/>
      <c r="B66" s="46"/>
      <c r="C66" s="50"/>
      <c r="D66" s="50"/>
      <c r="E66" s="50"/>
      <c r="F66" s="50"/>
      <c r="G66" s="49"/>
      <c r="H66" s="50"/>
      <c r="I66" s="50"/>
      <c r="J66" s="50"/>
      <c r="K66" s="50"/>
      <c r="L66" s="50"/>
      <c r="M66" s="46"/>
      <c r="N66" s="47"/>
      <c r="O66" s="62" t="str">
        <f aca="false">IF($B66="","",TEXT($A66,"YYYY-MM")&amp;"|"&amp;$B66)</f>
        <v/>
      </c>
    </row>
    <row r="67" customFormat="false" ht="15" hidden="false" customHeight="false" outlineLevel="0" collapsed="false">
      <c r="A67" s="64"/>
      <c r="B67" s="52"/>
      <c r="C67" s="56"/>
      <c r="D67" s="56"/>
      <c r="E67" s="56"/>
      <c r="F67" s="56"/>
      <c r="G67" s="55"/>
      <c r="H67" s="56"/>
      <c r="I67" s="56"/>
      <c r="J67" s="56"/>
      <c r="K67" s="56"/>
      <c r="L67" s="56"/>
      <c r="M67" s="52"/>
      <c r="N67" s="53"/>
      <c r="O67" s="62" t="str">
        <f aca="false">IF($B67="","",TEXT($A67,"YYYY-MM")&amp;"|"&amp;$B67)</f>
        <v/>
      </c>
    </row>
    <row r="68" customFormat="false" ht="15" hidden="false" customHeight="false" outlineLevel="0" collapsed="false">
      <c r="A68" s="63"/>
      <c r="B68" s="46"/>
      <c r="C68" s="50"/>
      <c r="D68" s="50"/>
      <c r="E68" s="50"/>
      <c r="F68" s="50"/>
      <c r="G68" s="49"/>
      <c r="H68" s="50"/>
      <c r="I68" s="50"/>
      <c r="J68" s="50"/>
      <c r="K68" s="50"/>
      <c r="L68" s="50"/>
      <c r="M68" s="46"/>
      <c r="N68" s="47"/>
      <c r="O68" s="62" t="str">
        <f aca="false">IF($B68="","",TEXT($A68,"YYYY-MM")&amp;"|"&amp;$B68)</f>
        <v/>
      </c>
    </row>
    <row r="69" customFormat="false" ht="15" hidden="false" customHeight="false" outlineLevel="0" collapsed="false">
      <c r="A69" s="64"/>
      <c r="B69" s="52"/>
      <c r="C69" s="56"/>
      <c r="D69" s="56"/>
      <c r="E69" s="56"/>
      <c r="F69" s="56"/>
      <c r="G69" s="55"/>
      <c r="H69" s="56"/>
      <c r="I69" s="56"/>
      <c r="J69" s="56"/>
      <c r="K69" s="56"/>
      <c r="L69" s="56"/>
      <c r="M69" s="52"/>
      <c r="N69" s="53"/>
      <c r="O69" s="62" t="str">
        <f aca="false">IF($B69="","",TEXT($A69,"YYYY-MM")&amp;"|"&amp;$B69)</f>
        <v/>
      </c>
    </row>
    <row r="70" customFormat="false" ht="15" hidden="false" customHeight="false" outlineLevel="0" collapsed="false">
      <c r="A70" s="63"/>
      <c r="B70" s="46"/>
      <c r="C70" s="50"/>
      <c r="D70" s="50"/>
      <c r="E70" s="50"/>
      <c r="F70" s="50"/>
      <c r="G70" s="49"/>
      <c r="H70" s="50"/>
      <c r="I70" s="50"/>
      <c r="J70" s="50"/>
      <c r="K70" s="50"/>
      <c r="L70" s="50"/>
      <c r="M70" s="46"/>
      <c r="N70" s="47"/>
      <c r="O70" s="62" t="str">
        <f aca="false">IF($B70="","",TEXT($A70,"YYYY-MM")&amp;"|"&amp;$B70)</f>
        <v/>
      </c>
    </row>
    <row r="71" customFormat="false" ht="15" hidden="false" customHeight="false" outlineLevel="0" collapsed="false">
      <c r="A71" s="64"/>
      <c r="B71" s="52"/>
      <c r="C71" s="56"/>
      <c r="D71" s="56"/>
      <c r="E71" s="56"/>
      <c r="F71" s="56"/>
      <c r="G71" s="55"/>
      <c r="H71" s="56"/>
      <c r="I71" s="56"/>
      <c r="J71" s="56"/>
      <c r="K71" s="56"/>
      <c r="L71" s="56"/>
      <c r="M71" s="52"/>
      <c r="N71" s="53"/>
      <c r="O71" s="62" t="str">
        <f aca="false">IF($B71="","",TEXT($A71,"YYYY-MM")&amp;"|"&amp;$B71)</f>
        <v/>
      </c>
    </row>
    <row r="72" customFormat="false" ht="15" hidden="false" customHeight="false" outlineLevel="0" collapsed="false">
      <c r="A72" s="63"/>
      <c r="B72" s="46"/>
      <c r="C72" s="50"/>
      <c r="D72" s="50"/>
      <c r="E72" s="50"/>
      <c r="F72" s="50"/>
      <c r="G72" s="49"/>
      <c r="H72" s="50"/>
      <c r="I72" s="50"/>
      <c r="J72" s="50"/>
      <c r="K72" s="50"/>
      <c r="L72" s="50"/>
      <c r="M72" s="46"/>
      <c r="N72" s="47"/>
      <c r="O72" s="62" t="str">
        <f aca="false">IF($B72="","",TEXT($A72,"YYYY-MM")&amp;"|"&amp;$B72)</f>
        <v/>
      </c>
    </row>
    <row r="73" customFormat="false" ht="15" hidden="false" customHeight="false" outlineLevel="0" collapsed="false">
      <c r="A73" s="64"/>
      <c r="B73" s="52"/>
      <c r="C73" s="56"/>
      <c r="D73" s="56"/>
      <c r="E73" s="56"/>
      <c r="F73" s="56"/>
      <c r="G73" s="55"/>
      <c r="H73" s="56"/>
      <c r="I73" s="56"/>
      <c r="J73" s="56"/>
      <c r="K73" s="56"/>
      <c r="L73" s="56"/>
      <c r="M73" s="52"/>
      <c r="N73" s="53"/>
      <c r="O73" s="62" t="str">
        <f aca="false">IF($B73="","",TEXT($A73,"YYYY-MM")&amp;"|"&amp;$B73)</f>
        <v/>
      </c>
    </row>
    <row r="74" customFormat="false" ht="15" hidden="false" customHeight="false" outlineLevel="0" collapsed="false">
      <c r="A74" s="63"/>
      <c r="B74" s="46"/>
      <c r="C74" s="50"/>
      <c r="D74" s="50"/>
      <c r="E74" s="50"/>
      <c r="F74" s="50"/>
      <c r="G74" s="49"/>
      <c r="H74" s="50"/>
      <c r="I74" s="50"/>
      <c r="J74" s="50"/>
      <c r="K74" s="50"/>
      <c r="L74" s="50"/>
      <c r="M74" s="46"/>
      <c r="N74" s="47"/>
      <c r="O74" s="62" t="str">
        <f aca="false">IF($B74="","",TEXT($A74,"YYYY-MM")&amp;"|"&amp;$B74)</f>
        <v/>
      </c>
    </row>
    <row r="75" customFormat="false" ht="15" hidden="false" customHeight="false" outlineLevel="0" collapsed="false">
      <c r="A75" s="64"/>
      <c r="B75" s="52"/>
      <c r="C75" s="56"/>
      <c r="D75" s="56"/>
      <c r="E75" s="56"/>
      <c r="F75" s="56"/>
      <c r="G75" s="55"/>
      <c r="H75" s="56"/>
      <c r="I75" s="56"/>
      <c r="J75" s="56"/>
      <c r="K75" s="56"/>
      <c r="L75" s="56"/>
      <c r="M75" s="52"/>
      <c r="N75" s="53"/>
      <c r="O75" s="62" t="str">
        <f aca="false">IF($B75="","",TEXT($A75,"YYYY-MM")&amp;"|"&amp;$B75)</f>
        <v/>
      </c>
    </row>
    <row r="76" customFormat="false" ht="15" hidden="false" customHeight="false" outlineLevel="0" collapsed="false">
      <c r="A76" s="63"/>
      <c r="B76" s="46"/>
      <c r="C76" s="50"/>
      <c r="D76" s="50"/>
      <c r="E76" s="50"/>
      <c r="F76" s="50"/>
      <c r="G76" s="49"/>
      <c r="H76" s="50"/>
      <c r="I76" s="50"/>
      <c r="J76" s="50"/>
      <c r="K76" s="50"/>
      <c r="L76" s="50"/>
      <c r="M76" s="46"/>
      <c r="N76" s="47"/>
      <c r="O76" s="62" t="str">
        <f aca="false">IF($B76="","",TEXT($A76,"YYYY-MM")&amp;"|"&amp;$B76)</f>
        <v/>
      </c>
    </row>
    <row r="77" customFormat="false" ht="15" hidden="false" customHeight="false" outlineLevel="0" collapsed="false">
      <c r="A77" s="64"/>
      <c r="B77" s="52"/>
      <c r="C77" s="56"/>
      <c r="D77" s="56"/>
      <c r="E77" s="56"/>
      <c r="F77" s="56"/>
      <c r="G77" s="55"/>
      <c r="H77" s="56"/>
      <c r="I77" s="56"/>
      <c r="J77" s="56"/>
      <c r="K77" s="56"/>
      <c r="L77" s="56"/>
      <c r="M77" s="52"/>
      <c r="N77" s="53"/>
      <c r="O77" s="62" t="str">
        <f aca="false">IF($B77="","",TEXT($A77,"YYYY-MM")&amp;"|"&amp;$B77)</f>
        <v/>
      </c>
    </row>
    <row r="78" customFormat="false" ht="15" hidden="false" customHeight="false" outlineLevel="0" collapsed="false">
      <c r="A78" s="63"/>
      <c r="B78" s="46"/>
      <c r="C78" s="50"/>
      <c r="D78" s="50"/>
      <c r="E78" s="50"/>
      <c r="F78" s="50"/>
      <c r="G78" s="49"/>
      <c r="H78" s="50"/>
      <c r="I78" s="50"/>
      <c r="J78" s="50"/>
      <c r="K78" s="50"/>
      <c r="L78" s="50"/>
      <c r="M78" s="46"/>
      <c r="N78" s="47"/>
      <c r="O78" s="62" t="str">
        <f aca="false">IF($B78="","",TEXT($A78,"YYYY-MM")&amp;"|"&amp;$B78)</f>
        <v/>
      </c>
    </row>
    <row r="79" customFormat="false" ht="15" hidden="false" customHeight="false" outlineLevel="0" collapsed="false">
      <c r="A79" s="64"/>
      <c r="B79" s="52"/>
      <c r="C79" s="56"/>
      <c r="D79" s="56"/>
      <c r="E79" s="56"/>
      <c r="F79" s="56"/>
      <c r="G79" s="55"/>
      <c r="H79" s="56"/>
      <c r="I79" s="56"/>
      <c r="J79" s="56"/>
      <c r="K79" s="56"/>
      <c r="L79" s="56"/>
      <c r="M79" s="52"/>
      <c r="N79" s="53"/>
      <c r="O79" s="62" t="str">
        <f aca="false">IF($B79="","",TEXT($A79,"YYYY-MM")&amp;"|"&amp;$B79)</f>
        <v/>
      </c>
    </row>
    <row r="80" customFormat="false" ht="15" hidden="false" customHeight="false" outlineLevel="0" collapsed="false">
      <c r="A80" s="63"/>
      <c r="B80" s="46"/>
      <c r="C80" s="50"/>
      <c r="D80" s="50"/>
      <c r="E80" s="50"/>
      <c r="F80" s="50"/>
      <c r="G80" s="49"/>
      <c r="H80" s="50"/>
      <c r="I80" s="50"/>
      <c r="J80" s="50"/>
      <c r="K80" s="50"/>
      <c r="L80" s="50"/>
      <c r="M80" s="46"/>
      <c r="N80" s="47"/>
      <c r="O80" s="62" t="str">
        <f aca="false">IF($B80="","",TEXT($A80,"YYYY-MM")&amp;"|"&amp;$B80)</f>
        <v/>
      </c>
    </row>
    <row r="81" customFormat="false" ht="15" hidden="false" customHeight="false" outlineLevel="0" collapsed="false">
      <c r="A81" s="64"/>
      <c r="B81" s="52"/>
      <c r="C81" s="56"/>
      <c r="D81" s="56"/>
      <c r="E81" s="56"/>
      <c r="F81" s="56"/>
      <c r="G81" s="55"/>
      <c r="H81" s="56"/>
      <c r="I81" s="56"/>
      <c r="J81" s="56"/>
      <c r="K81" s="56"/>
      <c r="L81" s="56"/>
      <c r="M81" s="52"/>
      <c r="N81" s="53"/>
      <c r="O81" s="62" t="str">
        <f aca="false">IF($B81="","",TEXT($A81,"YYYY-MM")&amp;"|"&amp;$B81)</f>
        <v/>
      </c>
    </row>
    <row r="82" customFormat="false" ht="15" hidden="false" customHeight="false" outlineLevel="0" collapsed="false">
      <c r="A82" s="63"/>
      <c r="B82" s="46"/>
      <c r="C82" s="50"/>
      <c r="D82" s="50"/>
      <c r="E82" s="50"/>
      <c r="F82" s="50"/>
      <c r="G82" s="49"/>
      <c r="H82" s="50"/>
      <c r="I82" s="50"/>
      <c r="J82" s="50"/>
      <c r="K82" s="50"/>
      <c r="L82" s="50"/>
      <c r="M82" s="46"/>
      <c r="N82" s="47"/>
      <c r="O82" s="62" t="str">
        <f aca="false">IF($B82="","",TEXT($A82,"YYYY-MM")&amp;"|"&amp;$B82)</f>
        <v/>
      </c>
    </row>
    <row r="83" customFormat="false" ht="15" hidden="false" customHeight="false" outlineLevel="0" collapsed="false">
      <c r="A83" s="64"/>
      <c r="B83" s="52"/>
      <c r="C83" s="56"/>
      <c r="D83" s="56"/>
      <c r="E83" s="56"/>
      <c r="F83" s="56"/>
      <c r="G83" s="55"/>
      <c r="H83" s="56"/>
      <c r="I83" s="56"/>
      <c r="J83" s="56"/>
      <c r="K83" s="56"/>
      <c r="L83" s="56"/>
      <c r="M83" s="52"/>
      <c r="N83" s="53"/>
      <c r="O83" s="62" t="str">
        <f aca="false">IF($B83="","",TEXT($A83,"YYYY-MM")&amp;"|"&amp;$B83)</f>
        <v/>
      </c>
    </row>
    <row r="84" customFormat="false" ht="15" hidden="false" customHeight="false" outlineLevel="0" collapsed="false">
      <c r="A84" s="63"/>
      <c r="B84" s="46"/>
      <c r="C84" s="50"/>
      <c r="D84" s="50"/>
      <c r="E84" s="50"/>
      <c r="F84" s="50"/>
      <c r="G84" s="49"/>
      <c r="H84" s="50"/>
      <c r="I84" s="50"/>
      <c r="J84" s="50"/>
      <c r="K84" s="50"/>
      <c r="L84" s="50"/>
      <c r="M84" s="46"/>
      <c r="N84" s="47"/>
      <c r="O84" s="62" t="str">
        <f aca="false">IF($B84="","",TEXT($A84,"YYYY-MM")&amp;"|"&amp;$B84)</f>
        <v/>
      </c>
    </row>
    <row r="85" customFormat="false" ht="15" hidden="false" customHeight="false" outlineLevel="0" collapsed="false">
      <c r="A85" s="64"/>
      <c r="B85" s="52"/>
      <c r="C85" s="56"/>
      <c r="D85" s="56"/>
      <c r="E85" s="56"/>
      <c r="F85" s="56"/>
      <c r="G85" s="55"/>
      <c r="H85" s="56"/>
      <c r="I85" s="56"/>
      <c r="J85" s="56"/>
      <c r="K85" s="56"/>
      <c r="L85" s="56"/>
      <c r="M85" s="52"/>
      <c r="N85" s="53"/>
      <c r="O85" s="62" t="str">
        <f aca="false">IF($B85="","",TEXT($A85,"YYYY-MM")&amp;"|"&amp;$B85)</f>
        <v/>
      </c>
    </row>
    <row r="86" customFormat="false" ht="15" hidden="false" customHeight="false" outlineLevel="0" collapsed="false">
      <c r="A86" s="63"/>
      <c r="B86" s="46"/>
      <c r="C86" s="50"/>
      <c r="D86" s="50"/>
      <c r="E86" s="50"/>
      <c r="F86" s="50"/>
      <c r="G86" s="49"/>
      <c r="H86" s="50"/>
      <c r="I86" s="50"/>
      <c r="J86" s="50"/>
      <c r="K86" s="50"/>
      <c r="L86" s="50"/>
      <c r="M86" s="46"/>
      <c r="N86" s="47"/>
      <c r="O86" s="62" t="str">
        <f aca="false">IF($B86="","",TEXT($A86,"YYYY-MM")&amp;"|"&amp;$B86)</f>
        <v/>
      </c>
    </row>
    <row r="87" customFormat="false" ht="15" hidden="false" customHeight="false" outlineLevel="0" collapsed="false">
      <c r="A87" s="64"/>
      <c r="B87" s="52"/>
      <c r="C87" s="56"/>
      <c r="D87" s="56"/>
      <c r="E87" s="56"/>
      <c r="F87" s="56"/>
      <c r="G87" s="55"/>
      <c r="H87" s="56"/>
      <c r="I87" s="56"/>
      <c r="J87" s="56"/>
      <c r="K87" s="56"/>
      <c r="L87" s="56"/>
      <c r="M87" s="52"/>
      <c r="N87" s="53"/>
      <c r="O87" s="62" t="str">
        <f aca="false">IF($B87="","",TEXT($A87,"YYYY-MM")&amp;"|"&amp;$B87)</f>
        <v/>
      </c>
    </row>
    <row r="88" customFormat="false" ht="15" hidden="false" customHeight="false" outlineLevel="0" collapsed="false">
      <c r="A88" s="63"/>
      <c r="B88" s="46"/>
      <c r="C88" s="50"/>
      <c r="D88" s="50"/>
      <c r="E88" s="50"/>
      <c r="F88" s="50"/>
      <c r="G88" s="49"/>
      <c r="H88" s="50"/>
      <c r="I88" s="50"/>
      <c r="J88" s="50"/>
      <c r="K88" s="50"/>
      <c r="L88" s="50"/>
      <c r="M88" s="46"/>
      <c r="N88" s="47"/>
      <c r="O88" s="62" t="str">
        <f aca="false">IF($B88="","",TEXT($A88,"YYYY-MM")&amp;"|"&amp;$B88)</f>
        <v/>
      </c>
    </row>
    <row r="89" customFormat="false" ht="15" hidden="false" customHeight="false" outlineLevel="0" collapsed="false">
      <c r="A89" s="64"/>
      <c r="B89" s="52"/>
      <c r="C89" s="56"/>
      <c r="D89" s="56"/>
      <c r="E89" s="56"/>
      <c r="F89" s="56"/>
      <c r="G89" s="55"/>
      <c r="H89" s="56"/>
      <c r="I89" s="56"/>
      <c r="J89" s="56"/>
      <c r="K89" s="56"/>
      <c r="L89" s="56"/>
      <c r="M89" s="52"/>
      <c r="N89" s="53"/>
      <c r="O89" s="62" t="str">
        <f aca="false">IF($B89="","",TEXT($A89,"YYYY-MM")&amp;"|"&amp;$B89)</f>
        <v/>
      </c>
    </row>
    <row r="90" customFormat="false" ht="15" hidden="false" customHeight="false" outlineLevel="0" collapsed="false">
      <c r="A90" s="63"/>
      <c r="B90" s="46"/>
      <c r="C90" s="50"/>
      <c r="D90" s="50"/>
      <c r="E90" s="50"/>
      <c r="F90" s="50"/>
      <c r="G90" s="49"/>
      <c r="H90" s="50"/>
      <c r="I90" s="50"/>
      <c r="J90" s="50"/>
      <c r="K90" s="50"/>
      <c r="L90" s="50"/>
      <c r="M90" s="46"/>
      <c r="N90" s="47"/>
      <c r="O90" s="62" t="str">
        <f aca="false">IF($B90="","",TEXT($A90,"YYYY-MM")&amp;"|"&amp;$B90)</f>
        <v/>
      </c>
    </row>
    <row r="91" customFormat="false" ht="15" hidden="false" customHeight="false" outlineLevel="0" collapsed="false">
      <c r="A91" s="64"/>
      <c r="B91" s="52"/>
      <c r="C91" s="56"/>
      <c r="D91" s="56"/>
      <c r="E91" s="56"/>
      <c r="F91" s="56"/>
      <c r="G91" s="55"/>
      <c r="H91" s="56"/>
      <c r="I91" s="56"/>
      <c r="J91" s="56"/>
      <c r="K91" s="56"/>
      <c r="L91" s="56"/>
      <c r="M91" s="52"/>
      <c r="N91" s="53"/>
      <c r="O91" s="62" t="str">
        <f aca="false">IF($B91="","",TEXT($A91,"YYYY-MM")&amp;"|"&amp;$B91)</f>
        <v/>
      </c>
    </row>
    <row r="92" customFormat="false" ht="15" hidden="false" customHeight="false" outlineLevel="0" collapsed="false">
      <c r="A92" s="63"/>
      <c r="B92" s="46"/>
      <c r="C92" s="50"/>
      <c r="D92" s="50"/>
      <c r="E92" s="50"/>
      <c r="F92" s="50"/>
      <c r="G92" s="49"/>
      <c r="H92" s="50"/>
      <c r="I92" s="50"/>
      <c r="J92" s="50"/>
      <c r="K92" s="50"/>
      <c r="L92" s="50"/>
      <c r="M92" s="46"/>
      <c r="N92" s="47"/>
      <c r="O92" s="62" t="str">
        <f aca="false">IF($B92="","",TEXT($A92,"YYYY-MM")&amp;"|"&amp;$B92)</f>
        <v/>
      </c>
    </row>
    <row r="93" customFormat="false" ht="15" hidden="false" customHeight="false" outlineLevel="0" collapsed="false">
      <c r="A93" s="64"/>
      <c r="B93" s="52"/>
      <c r="C93" s="56"/>
      <c r="D93" s="56"/>
      <c r="E93" s="56"/>
      <c r="F93" s="56"/>
      <c r="G93" s="55"/>
      <c r="H93" s="56"/>
      <c r="I93" s="56"/>
      <c r="J93" s="56"/>
      <c r="K93" s="56"/>
      <c r="L93" s="56"/>
      <c r="M93" s="52"/>
      <c r="N93" s="53"/>
      <c r="O93" s="62" t="str">
        <f aca="false">IF($B93="","",TEXT($A93,"YYYY-MM")&amp;"|"&amp;$B93)</f>
        <v/>
      </c>
    </row>
    <row r="94" customFormat="false" ht="15" hidden="false" customHeight="false" outlineLevel="0" collapsed="false">
      <c r="A94" s="63"/>
      <c r="B94" s="46"/>
      <c r="C94" s="50"/>
      <c r="D94" s="50"/>
      <c r="E94" s="50"/>
      <c r="F94" s="50"/>
      <c r="G94" s="49"/>
      <c r="H94" s="50"/>
      <c r="I94" s="50"/>
      <c r="J94" s="50"/>
      <c r="K94" s="50"/>
      <c r="L94" s="50"/>
      <c r="M94" s="46"/>
      <c r="N94" s="47"/>
      <c r="O94" s="62" t="str">
        <f aca="false">IF($B94="","",TEXT($A94,"YYYY-MM")&amp;"|"&amp;$B94)</f>
        <v/>
      </c>
    </row>
    <row r="95" customFormat="false" ht="15" hidden="false" customHeight="false" outlineLevel="0" collapsed="false">
      <c r="A95" s="64"/>
      <c r="B95" s="52"/>
      <c r="C95" s="56"/>
      <c r="D95" s="56"/>
      <c r="E95" s="56"/>
      <c r="F95" s="56"/>
      <c r="G95" s="55"/>
      <c r="H95" s="56"/>
      <c r="I95" s="56"/>
      <c r="J95" s="56"/>
      <c r="K95" s="56"/>
      <c r="L95" s="56"/>
      <c r="M95" s="52"/>
      <c r="N95" s="53"/>
      <c r="O95" s="62" t="str">
        <f aca="false">IF($B95="","",TEXT($A95,"YYYY-MM")&amp;"|"&amp;$B95)</f>
        <v/>
      </c>
    </row>
    <row r="96" customFormat="false" ht="15" hidden="false" customHeight="false" outlineLevel="0" collapsed="false">
      <c r="A96" s="63"/>
      <c r="B96" s="46"/>
      <c r="C96" s="50"/>
      <c r="D96" s="50"/>
      <c r="E96" s="50"/>
      <c r="F96" s="50"/>
      <c r="G96" s="49"/>
      <c r="H96" s="50"/>
      <c r="I96" s="50"/>
      <c r="J96" s="50"/>
      <c r="K96" s="50"/>
      <c r="L96" s="50"/>
      <c r="M96" s="46"/>
      <c r="N96" s="47"/>
      <c r="O96" s="62" t="str">
        <f aca="false">IF($B96="","",TEXT($A96,"YYYY-MM")&amp;"|"&amp;$B96)</f>
        <v/>
      </c>
    </row>
    <row r="97" customFormat="false" ht="15" hidden="false" customHeight="false" outlineLevel="0" collapsed="false">
      <c r="A97" s="64"/>
      <c r="B97" s="52"/>
      <c r="C97" s="56"/>
      <c r="D97" s="56"/>
      <c r="E97" s="56"/>
      <c r="F97" s="56"/>
      <c r="G97" s="55"/>
      <c r="H97" s="56"/>
      <c r="I97" s="56"/>
      <c r="J97" s="56"/>
      <c r="K97" s="56"/>
      <c r="L97" s="56"/>
      <c r="M97" s="52"/>
      <c r="N97" s="53"/>
      <c r="O97" s="62" t="str">
        <f aca="false">IF($B97="","",TEXT($A97,"YYYY-MM")&amp;"|"&amp;$B97)</f>
        <v/>
      </c>
    </row>
    <row r="98" customFormat="false" ht="15" hidden="false" customHeight="false" outlineLevel="0" collapsed="false">
      <c r="A98" s="63"/>
      <c r="B98" s="46"/>
      <c r="C98" s="50"/>
      <c r="D98" s="50"/>
      <c r="E98" s="50"/>
      <c r="F98" s="50"/>
      <c r="G98" s="49"/>
      <c r="H98" s="50"/>
      <c r="I98" s="50"/>
      <c r="J98" s="50"/>
      <c r="K98" s="50"/>
      <c r="L98" s="50"/>
      <c r="M98" s="46"/>
      <c r="N98" s="47"/>
      <c r="O98" s="62" t="str">
        <f aca="false">IF($B98="","",TEXT($A98,"YYYY-MM")&amp;"|"&amp;$B98)</f>
        <v/>
      </c>
    </row>
    <row r="99" customFormat="false" ht="15" hidden="false" customHeight="false" outlineLevel="0" collapsed="false">
      <c r="A99" s="64"/>
      <c r="B99" s="52"/>
      <c r="C99" s="56"/>
      <c r="D99" s="56"/>
      <c r="E99" s="56"/>
      <c r="F99" s="56"/>
      <c r="G99" s="55"/>
      <c r="H99" s="56"/>
      <c r="I99" s="56"/>
      <c r="J99" s="56"/>
      <c r="K99" s="56"/>
      <c r="L99" s="56"/>
      <c r="M99" s="52"/>
      <c r="N99" s="53"/>
      <c r="O99" s="62" t="str">
        <f aca="false">IF($B99="","",TEXT($A99,"YYYY-MM")&amp;"|"&amp;$B99)</f>
        <v/>
      </c>
    </row>
    <row r="100" customFormat="false" ht="15" hidden="false" customHeight="false" outlineLevel="0" collapsed="false">
      <c r="A100" s="63"/>
      <c r="B100" s="46"/>
      <c r="C100" s="50"/>
      <c r="D100" s="50"/>
      <c r="E100" s="50"/>
      <c r="F100" s="50"/>
      <c r="G100" s="49"/>
      <c r="H100" s="50"/>
      <c r="I100" s="50"/>
      <c r="J100" s="50"/>
      <c r="K100" s="50"/>
      <c r="L100" s="50"/>
      <c r="M100" s="46"/>
      <c r="N100" s="47"/>
      <c r="O100" s="62" t="str">
        <f aca="false">IF($B100="","",TEXT($A100,"YYYY-MM")&amp;"|"&amp;$B100)</f>
        <v/>
      </c>
    </row>
    <row r="101" customFormat="false" ht="15" hidden="false" customHeight="false" outlineLevel="0" collapsed="false">
      <c r="A101" s="64"/>
      <c r="B101" s="52"/>
      <c r="C101" s="56"/>
      <c r="D101" s="56"/>
      <c r="E101" s="56"/>
      <c r="F101" s="56"/>
      <c r="G101" s="55"/>
      <c r="H101" s="56"/>
      <c r="I101" s="56"/>
      <c r="J101" s="56"/>
      <c r="K101" s="56"/>
      <c r="L101" s="56"/>
      <c r="M101" s="52"/>
      <c r="N101" s="53"/>
      <c r="O101" s="62" t="str">
        <f aca="false">IF($B101="","",TEXT($A101,"YYYY-MM")&amp;"|"&amp;$B101)</f>
        <v/>
      </c>
    </row>
    <row r="102" customFormat="false" ht="15" hidden="false" customHeight="false" outlineLevel="0" collapsed="false">
      <c r="A102" s="63"/>
      <c r="B102" s="46"/>
      <c r="C102" s="50"/>
      <c r="D102" s="50"/>
      <c r="E102" s="50"/>
      <c r="F102" s="50"/>
      <c r="G102" s="49"/>
      <c r="H102" s="50"/>
      <c r="I102" s="50"/>
      <c r="J102" s="50"/>
      <c r="K102" s="50"/>
      <c r="L102" s="50"/>
      <c r="M102" s="46"/>
      <c r="N102" s="47"/>
      <c r="O102" s="62" t="str">
        <f aca="false">IF($B102="","",TEXT($A102,"YYYY-MM")&amp;"|"&amp;$B102)</f>
        <v/>
      </c>
    </row>
    <row r="103" customFormat="false" ht="15" hidden="false" customHeight="false" outlineLevel="0" collapsed="false">
      <c r="A103" s="64"/>
      <c r="B103" s="52"/>
      <c r="C103" s="56"/>
      <c r="D103" s="56"/>
      <c r="E103" s="56"/>
      <c r="F103" s="56"/>
      <c r="G103" s="55"/>
      <c r="H103" s="56"/>
      <c r="I103" s="56"/>
      <c r="J103" s="56"/>
      <c r="K103" s="56"/>
      <c r="L103" s="56"/>
      <c r="M103" s="52"/>
      <c r="N103" s="53"/>
      <c r="O103" s="62" t="str">
        <f aca="false">IF($B103="","",TEXT($A103,"YYYY-MM")&amp;"|"&amp;$B103)</f>
        <v/>
      </c>
    </row>
    <row r="104" customFormat="false" ht="15" hidden="false" customHeight="false" outlineLevel="0" collapsed="false">
      <c r="A104" s="63"/>
      <c r="B104" s="46"/>
      <c r="C104" s="50"/>
      <c r="D104" s="50"/>
      <c r="E104" s="50"/>
      <c r="F104" s="50"/>
      <c r="G104" s="49"/>
      <c r="H104" s="50"/>
      <c r="I104" s="50"/>
      <c r="J104" s="50"/>
      <c r="K104" s="50"/>
      <c r="L104" s="50"/>
      <c r="M104" s="46"/>
      <c r="N104" s="47"/>
      <c r="O104" s="62" t="str">
        <f aca="false">IF($B104="","",TEXT($A104,"YYYY-MM")&amp;"|"&amp;$B104)</f>
        <v/>
      </c>
    </row>
    <row r="105" customFormat="false" ht="15" hidden="false" customHeight="false" outlineLevel="0" collapsed="false">
      <c r="A105" s="64"/>
      <c r="B105" s="52"/>
      <c r="C105" s="56"/>
      <c r="D105" s="56"/>
      <c r="E105" s="56"/>
      <c r="F105" s="56"/>
      <c r="G105" s="55"/>
      <c r="H105" s="56"/>
      <c r="I105" s="56"/>
      <c r="J105" s="56"/>
      <c r="K105" s="56"/>
      <c r="L105" s="56"/>
      <c r="M105" s="52"/>
      <c r="N105" s="53"/>
      <c r="O105" s="62" t="str">
        <f aca="false">IF($B105="","",TEXT($A105,"YYYY-MM")&amp;"|"&amp;$B105)</f>
        <v/>
      </c>
    </row>
    <row r="106" customFormat="false" ht="15" hidden="false" customHeight="false" outlineLevel="0" collapsed="false">
      <c r="A106" s="63"/>
      <c r="B106" s="46"/>
      <c r="C106" s="50"/>
      <c r="D106" s="50"/>
      <c r="E106" s="50"/>
      <c r="F106" s="50"/>
      <c r="G106" s="49"/>
      <c r="H106" s="50"/>
      <c r="I106" s="50"/>
      <c r="J106" s="50"/>
      <c r="K106" s="50"/>
      <c r="L106" s="50"/>
      <c r="M106" s="46"/>
      <c r="N106" s="47"/>
      <c r="O106" s="62" t="str">
        <f aca="false">IF($B106="","",TEXT($A106,"YYYY-MM")&amp;"|"&amp;$B106)</f>
        <v/>
      </c>
    </row>
    <row r="107" customFormat="false" ht="15" hidden="false" customHeight="false" outlineLevel="0" collapsed="false">
      <c r="A107" s="64"/>
      <c r="B107" s="52"/>
      <c r="C107" s="56"/>
      <c r="D107" s="56"/>
      <c r="E107" s="56"/>
      <c r="F107" s="56"/>
      <c r="G107" s="55"/>
      <c r="H107" s="56"/>
      <c r="I107" s="56"/>
      <c r="J107" s="56"/>
      <c r="K107" s="56"/>
      <c r="L107" s="56"/>
      <c r="M107" s="52"/>
      <c r="N107" s="53"/>
      <c r="O107" s="62" t="str">
        <f aca="false">IF($B107="","",TEXT($A107,"YYYY-MM")&amp;"|"&amp;$B107)</f>
        <v/>
      </c>
    </row>
    <row r="108" customFormat="false" ht="15" hidden="false" customHeight="false" outlineLevel="0" collapsed="false">
      <c r="A108" s="63"/>
      <c r="B108" s="46"/>
      <c r="C108" s="50"/>
      <c r="D108" s="50"/>
      <c r="E108" s="50"/>
      <c r="F108" s="50"/>
      <c r="G108" s="49"/>
      <c r="H108" s="50"/>
      <c r="I108" s="50"/>
      <c r="J108" s="50"/>
      <c r="K108" s="50"/>
      <c r="L108" s="50"/>
      <c r="M108" s="46"/>
      <c r="N108" s="47"/>
      <c r="O108" s="62" t="str">
        <f aca="false">IF($B108="","",TEXT($A108,"YYYY-MM")&amp;"|"&amp;$B108)</f>
        <v/>
      </c>
    </row>
    <row r="109" customFormat="false" ht="15" hidden="false" customHeight="false" outlineLevel="0" collapsed="false">
      <c r="A109" s="64"/>
      <c r="B109" s="52"/>
      <c r="C109" s="56"/>
      <c r="D109" s="56"/>
      <c r="E109" s="56"/>
      <c r="F109" s="56"/>
      <c r="G109" s="55"/>
      <c r="H109" s="56"/>
      <c r="I109" s="56"/>
      <c r="J109" s="56"/>
      <c r="K109" s="56"/>
      <c r="L109" s="56"/>
      <c r="M109" s="52"/>
      <c r="N109" s="53"/>
      <c r="O109" s="62" t="str">
        <f aca="false">IF($B109="","",TEXT($A109,"YYYY-MM")&amp;"|"&amp;$B109)</f>
        <v/>
      </c>
    </row>
    <row r="110" customFormat="false" ht="15" hidden="false" customHeight="false" outlineLevel="0" collapsed="false">
      <c r="A110" s="63"/>
      <c r="B110" s="46"/>
      <c r="C110" s="50"/>
      <c r="D110" s="50"/>
      <c r="E110" s="50"/>
      <c r="F110" s="50"/>
      <c r="G110" s="49"/>
      <c r="H110" s="50"/>
      <c r="I110" s="50"/>
      <c r="J110" s="50"/>
      <c r="K110" s="50"/>
      <c r="L110" s="50"/>
      <c r="M110" s="46"/>
      <c r="N110" s="47"/>
      <c r="O110" s="62" t="str">
        <f aca="false">IF($B110="","",TEXT($A110,"YYYY-MM")&amp;"|"&amp;$B110)</f>
        <v/>
      </c>
    </row>
    <row r="111" customFormat="false" ht="15" hidden="false" customHeight="false" outlineLevel="0" collapsed="false">
      <c r="A111" s="64"/>
      <c r="B111" s="52"/>
      <c r="C111" s="56"/>
      <c r="D111" s="56"/>
      <c r="E111" s="56"/>
      <c r="F111" s="56"/>
      <c r="G111" s="55"/>
      <c r="H111" s="56"/>
      <c r="I111" s="56"/>
      <c r="J111" s="56"/>
      <c r="K111" s="56"/>
      <c r="L111" s="56"/>
      <c r="M111" s="52"/>
      <c r="N111" s="53"/>
      <c r="O111" s="62" t="str">
        <f aca="false">IF($B111="","",TEXT($A111,"YYYY-MM")&amp;"|"&amp;$B111)</f>
        <v/>
      </c>
    </row>
    <row r="112" customFormat="false" ht="15" hidden="false" customHeight="false" outlineLevel="0" collapsed="false">
      <c r="A112" s="63"/>
      <c r="B112" s="46"/>
      <c r="C112" s="50"/>
      <c r="D112" s="50"/>
      <c r="E112" s="50"/>
      <c r="F112" s="50"/>
      <c r="G112" s="49"/>
      <c r="H112" s="50"/>
      <c r="I112" s="50"/>
      <c r="J112" s="50"/>
      <c r="K112" s="50"/>
      <c r="L112" s="50"/>
      <c r="M112" s="46"/>
      <c r="N112" s="47"/>
      <c r="O112" s="62" t="str">
        <f aca="false">IF($B112="","",TEXT($A112,"YYYY-MM")&amp;"|"&amp;$B112)</f>
        <v/>
      </c>
    </row>
    <row r="113" customFormat="false" ht="15" hidden="false" customHeight="false" outlineLevel="0" collapsed="false">
      <c r="A113" s="64"/>
      <c r="B113" s="52"/>
      <c r="C113" s="56"/>
      <c r="D113" s="56"/>
      <c r="E113" s="56"/>
      <c r="F113" s="56"/>
      <c r="G113" s="55"/>
      <c r="H113" s="56"/>
      <c r="I113" s="56"/>
      <c r="J113" s="56"/>
      <c r="K113" s="56"/>
      <c r="L113" s="56"/>
      <c r="M113" s="52"/>
      <c r="N113" s="53"/>
      <c r="O113" s="62" t="str">
        <f aca="false">IF($B113="","",TEXT($A113,"YYYY-MM")&amp;"|"&amp;$B113)</f>
        <v/>
      </c>
    </row>
    <row r="114" customFormat="false" ht="15" hidden="false" customHeight="false" outlineLevel="0" collapsed="false">
      <c r="A114" s="63"/>
      <c r="B114" s="46"/>
      <c r="C114" s="50"/>
      <c r="D114" s="50"/>
      <c r="E114" s="50"/>
      <c r="F114" s="50"/>
      <c r="G114" s="49"/>
      <c r="H114" s="50"/>
      <c r="I114" s="50"/>
      <c r="J114" s="50"/>
      <c r="K114" s="50"/>
      <c r="L114" s="50"/>
      <c r="M114" s="46"/>
      <c r="N114" s="47"/>
      <c r="O114" s="62" t="str">
        <f aca="false">IF($B114="","",TEXT($A114,"YYYY-MM")&amp;"|"&amp;$B114)</f>
        <v/>
      </c>
    </row>
    <row r="115" customFormat="false" ht="15" hidden="false" customHeight="false" outlineLevel="0" collapsed="false">
      <c r="A115" s="64"/>
      <c r="B115" s="52"/>
      <c r="C115" s="56"/>
      <c r="D115" s="56"/>
      <c r="E115" s="56"/>
      <c r="F115" s="56"/>
      <c r="G115" s="55"/>
      <c r="H115" s="56"/>
      <c r="I115" s="56"/>
      <c r="J115" s="56"/>
      <c r="K115" s="56"/>
      <c r="L115" s="56"/>
      <c r="M115" s="52"/>
      <c r="N115" s="53"/>
      <c r="O115" s="62" t="str">
        <f aca="false">IF($B115="","",TEXT($A115,"YYYY-MM")&amp;"|"&amp;$B115)</f>
        <v/>
      </c>
    </row>
    <row r="116" customFormat="false" ht="15" hidden="false" customHeight="false" outlineLevel="0" collapsed="false">
      <c r="A116" s="63"/>
      <c r="B116" s="46"/>
      <c r="C116" s="50"/>
      <c r="D116" s="50"/>
      <c r="E116" s="50"/>
      <c r="F116" s="50"/>
      <c r="G116" s="49"/>
      <c r="H116" s="50"/>
      <c r="I116" s="50"/>
      <c r="J116" s="50"/>
      <c r="K116" s="50"/>
      <c r="L116" s="50"/>
      <c r="M116" s="46"/>
      <c r="N116" s="47"/>
      <c r="O116" s="62" t="str">
        <f aca="false">IF($B116="","",TEXT($A116,"YYYY-MM")&amp;"|"&amp;$B116)</f>
        <v/>
      </c>
    </row>
    <row r="117" customFormat="false" ht="15" hidden="false" customHeight="false" outlineLevel="0" collapsed="false">
      <c r="A117" s="64"/>
      <c r="B117" s="52"/>
      <c r="C117" s="56"/>
      <c r="D117" s="56"/>
      <c r="E117" s="56"/>
      <c r="F117" s="56"/>
      <c r="G117" s="55"/>
      <c r="H117" s="56"/>
      <c r="I117" s="56"/>
      <c r="J117" s="56"/>
      <c r="K117" s="56"/>
      <c r="L117" s="56"/>
      <c r="M117" s="52"/>
      <c r="N117" s="53"/>
      <c r="O117" s="62" t="str">
        <f aca="false">IF($B117="","",TEXT($A117,"YYYY-MM")&amp;"|"&amp;$B117)</f>
        <v/>
      </c>
    </row>
    <row r="118" customFormat="false" ht="15" hidden="false" customHeight="false" outlineLevel="0" collapsed="false">
      <c r="A118" s="63"/>
      <c r="B118" s="46"/>
      <c r="C118" s="50"/>
      <c r="D118" s="50"/>
      <c r="E118" s="50"/>
      <c r="F118" s="50"/>
      <c r="G118" s="49"/>
      <c r="H118" s="50"/>
      <c r="I118" s="50"/>
      <c r="J118" s="50"/>
      <c r="K118" s="50"/>
      <c r="L118" s="50"/>
      <c r="M118" s="46"/>
      <c r="N118" s="47"/>
      <c r="O118" s="62" t="str">
        <f aca="false">IF($B118="","",TEXT($A118,"YYYY-MM")&amp;"|"&amp;$B118)</f>
        <v/>
      </c>
    </row>
    <row r="119" customFormat="false" ht="15" hidden="false" customHeight="false" outlineLevel="0" collapsed="false">
      <c r="A119" s="64"/>
      <c r="B119" s="52"/>
      <c r="C119" s="56"/>
      <c r="D119" s="56"/>
      <c r="E119" s="56"/>
      <c r="F119" s="56"/>
      <c r="G119" s="55"/>
      <c r="H119" s="56"/>
      <c r="I119" s="56"/>
      <c r="J119" s="56"/>
      <c r="K119" s="56"/>
      <c r="L119" s="56"/>
      <c r="M119" s="52"/>
      <c r="N119" s="53"/>
      <c r="O119" s="62" t="str">
        <f aca="false">IF($B119="","",TEXT($A119,"YYYY-MM")&amp;"|"&amp;$B119)</f>
        <v/>
      </c>
    </row>
    <row r="120" customFormat="false" ht="15" hidden="false" customHeight="false" outlineLevel="0" collapsed="false">
      <c r="A120" s="63"/>
      <c r="B120" s="46"/>
      <c r="C120" s="50"/>
      <c r="D120" s="50"/>
      <c r="E120" s="50"/>
      <c r="F120" s="50"/>
      <c r="G120" s="49"/>
      <c r="H120" s="50"/>
      <c r="I120" s="50"/>
      <c r="J120" s="50"/>
      <c r="K120" s="50"/>
      <c r="L120" s="50"/>
      <c r="M120" s="46"/>
      <c r="N120" s="47"/>
      <c r="O120" s="62" t="str">
        <f aca="false">IF($B120="","",TEXT($A120,"YYYY-MM")&amp;"|"&amp;$B120)</f>
        <v/>
      </c>
    </row>
    <row r="121" customFormat="false" ht="15" hidden="false" customHeight="false" outlineLevel="0" collapsed="false">
      <c r="A121" s="64"/>
      <c r="B121" s="52"/>
      <c r="C121" s="56"/>
      <c r="D121" s="56"/>
      <c r="E121" s="56"/>
      <c r="F121" s="56"/>
      <c r="G121" s="55"/>
      <c r="H121" s="56"/>
      <c r="I121" s="56"/>
      <c r="J121" s="56"/>
      <c r="K121" s="56"/>
      <c r="L121" s="56"/>
      <c r="M121" s="52"/>
      <c r="N121" s="53"/>
      <c r="O121" s="62" t="str">
        <f aca="false">IF($B121="","",TEXT($A121,"YYYY-MM")&amp;"|"&amp;$B121)</f>
        <v/>
      </c>
    </row>
    <row r="122" customFormat="false" ht="15" hidden="false" customHeight="false" outlineLevel="0" collapsed="false">
      <c r="A122" s="63"/>
      <c r="B122" s="46"/>
      <c r="C122" s="50"/>
      <c r="D122" s="50"/>
      <c r="E122" s="50"/>
      <c r="F122" s="50"/>
      <c r="G122" s="49"/>
      <c r="H122" s="50"/>
      <c r="I122" s="50"/>
      <c r="J122" s="50"/>
      <c r="K122" s="50"/>
      <c r="L122" s="50"/>
      <c r="M122" s="46"/>
      <c r="N122" s="47"/>
      <c r="O122" s="62" t="str">
        <f aca="false">IF($B122="","",TEXT($A122,"YYYY-MM")&amp;"|"&amp;$B122)</f>
        <v/>
      </c>
    </row>
    <row r="123" customFormat="false" ht="15" hidden="false" customHeight="false" outlineLevel="0" collapsed="false">
      <c r="A123" s="64"/>
      <c r="B123" s="52"/>
      <c r="C123" s="56"/>
      <c r="D123" s="56"/>
      <c r="E123" s="56"/>
      <c r="F123" s="56"/>
      <c r="G123" s="55"/>
      <c r="H123" s="56"/>
      <c r="I123" s="56"/>
      <c r="J123" s="56"/>
      <c r="K123" s="56"/>
      <c r="L123" s="56"/>
      <c r="M123" s="52"/>
      <c r="N123" s="53"/>
      <c r="O123" s="62" t="str">
        <f aca="false">IF($B123="","",TEXT($A123,"YYYY-MM")&amp;"|"&amp;$B123)</f>
        <v/>
      </c>
    </row>
    <row r="124" customFormat="false" ht="15" hidden="false" customHeight="false" outlineLevel="0" collapsed="false">
      <c r="A124" s="63"/>
      <c r="B124" s="46"/>
      <c r="C124" s="50"/>
      <c r="D124" s="50"/>
      <c r="E124" s="50"/>
      <c r="F124" s="50"/>
      <c r="G124" s="49"/>
      <c r="H124" s="50"/>
      <c r="I124" s="50"/>
      <c r="J124" s="50"/>
      <c r="K124" s="50"/>
      <c r="L124" s="50"/>
      <c r="M124" s="46"/>
      <c r="N124" s="47"/>
      <c r="O124" s="62" t="str">
        <f aca="false">IF($B124="","",TEXT($A124,"YYYY-MM")&amp;"|"&amp;$B124)</f>
        <v/>
      </c>
    </row>
    <row r="125" customFormat="false" ht="15" hidden="false" customHeight="false" outlineLevel="0" collapsed="false">
      <c r="A125" s="64"/>
      <c r="B125" s="52"/>
      <c r="C125" s="56"/>
      <c r="D125" s="56"/>
      <c r="E125" s="56"/>
      <c r="F125" s="56"/>
      <c r="G125" s="55"/>
      <c r="H125" s="56"/>
      <c r="I125" s="56"/>
      <c r="J125" s="56"/>
      <c r="K125" s="56"/>
      <c r="L125" s="56"/>
      <c r="M125" s="52"/>
      <c r="N125" s="53"/>
      <c r="O125" s="62" t="str">
        <f aca="false">IF($B125="","",TEXT($A125,"YYYY-MM")&amp;"|"&amp;$B125)</f>
        <v/>
      </c>
    </row>
    <row r="126" customFormat="false" ht="15" hidden="false" customHeight="false" outlineLevel="0" collapsed="false">
      <c r="A126" s="63"/>
      <c r="B126" s="46"/>
      <c r="C126" s="50"/>
      <c r="D126" s="50"/>
      <c r="E126" s="50"/>
      <c r="F126" s="50"/>
      <c r="G126" s="49"/>
      <c r="H126" s="50"/>
      <c r="I126" s="50"/>
      <c r="J126" s="50"/>
      <c r="K126" s="50"/>
      <c r="L126" s="50"/>
      <c r="M126" s="46"/>
      <c r="N126" s="47"/>
      <c r="O126" s="62" t="str">
        <f aca="false">IF($B126="","",TEXT($A126,"YYYY-MM")&amp;"|"&amp;$B126)</f>
        <v/>
      </c>
    </row>
    <row r="127" customFormat="false" ht="15" hidden="false" customHeight="false" outlineLevel="0" collapsed="false">
      <c r="A127" s="64"/>
      <c r="B127" s="52"/>
      <c r="C127" s="56"/>
      <c r="D127" s="56"/>
      <c r="E127" s="56"/>
      <c r="F127" s="56"/>
      <c r="G127" s="55"/>
      <c r="H127" s="56"/>
      <c r="I127" s="56"/>
      <c r="J127" s="56"/>
      <c r="K127" s="56"/>
      <c r="L127" s="56"/>
      <c r="M127" s="52"/>
      <c r="N127" s="53"/>
      <c r="O127" s="62" t="str">
        <f aca="false">IF($B127="","",TEXT($A127,"YYYY-MM")&amp;"|"&amp;$B127)</f>
        <v/>
      </c>
    </row>
    <row r="128" customFormat="false" ht="15" hidden="false" customHeight="false" outlineLevel="0" collapsed="false">
      <c r="A128" s="63"/>
      <c r="B128" s="46"/>
      <c r="C128" s="50"/>
      <c r="D128" s="50"/>
      <c r="E128" s="50"/>
      <c r="F128" s="50"/>
      <c r="G128" s="49"/>
      <c r="H128" s="50"/>
      <c r="I128" s="50"/>
      <c r="J128" s="50"/>
      <c r="K128" s="50"/>
      <c r="L128" s="50"/>
      <c r="M128" s="46"/>
      <c r="N128" s="47"/>
      <c r="O128" s="62" t="str">
        <f aca="false">IF($B128="","",TEXT($A128,"YYYY-MM")&amp;"|"&amp;$B128)</f>
        <v/>
      </c>
    </row>
    <row r="129" customFormat="false" ht="15" hidden="false" customHeight="false" outlineLevel="0" collapsed="false">
      <c r="A129" s="64"/>
      <c r="B129" s="52"/>
      <c r="C129" s="56"/>
      <c r="D129" s="56"/>
      <c r="E129" s="56"/>
      <c r="F129" s="56"/>
      <c r="G129" s="55"/>
      <c r="H129" s="56"/>
      <c r="I129" s="56"/>
      <c r="J129" s="56"/>
      <c r="K129" s="56"/>
      <c r="L129" s="56"/>
      <c r="M129" s="52"/>
      <c r="N129" s="53"/>
      <c r="O129" s="62" t="str">
        <f aca="false">IF($B129="","",TEXT($A129,"YYYY-MM")&amp;"|"&amp;$B129)</f>
        <v/>
      </c>
    </row>
    <row r="130" customFormat="false" ht="15" hidden="false" customHeight="false" outlineLevel="0" collapsed="false">
      <c r="A130" s="63"/>
      <c r="B130" s="46"/>
      <c r="C130" s="50"/>
      <c r="D130" s="50"/>
      <c r="E130" s="50"/>
      <c r="F130" s="50"/>
      <c r="G130" s="49"/>
      <c r="H130" s="50"/>
      <c r="I130" s="50"/>
      <c r="J130" s="50"/>
      <c r="K130" s="50"/>
      <c r="L130" s="50"/>
      <c r="M130" s="46"/>
      <c r="N130" s="47"/>
      <c r="O130" s="62" t="str">
        <f aca="false">IF($B130="","",TEXT($A130,"YYYY-MM")&amp;"|"&amp;$B130)</f>
        <v/>
      </c>
    </row>
    <row r="131" customFormat="false" ht="15" hidden="false" customHeight="false" outlineLevel="0" collapsed="false">
      <c r="A131" s="64"/>
      <c r="B131" s="52"/>
      <c r="C131" s="56"/>
      <c r="D131" s="56"/>
      <c r="E131" s="56"/>
      <c r="F131" s="56"/>
      <c r="G131" s="55"/>
      <c r="H131" s="56"/>
      <c r="I131" s="56"/>
      <c r="J131" s="56"/>
      <c r="K131" s="56"/>
      <c r="L131" s="56"/>
      <c r="M131" s="52"/>
      <c r="N131" s="53"/>
      <c r="O131" s="62" t="str">
        <f aca="false">IF($B131="","",TEXT($A131,"YYYY-MM")&amp;"|"&amp;$B131)</f>
        <v/>
      </c>
    </row>
    <row r="132" customFormat="false" ht="15" hidden="false" customHeight="false" outlineLevel="0" collapsed="false">
      <c r="A132" s="63"/>
      <c r="B132" s="46"/>
      <c r="C132" s="50"/>
      <c r="D132" s="50"/>
      <c r="E132" s="50"/>
      <c r="F132" s="50"/>
      <c r="G132" s="49"/>
      <c r="H132" s="50"/>
      <c r="I132" s="50"/>
      <c r="J132" s="50"/>
      <c r="K132" s="50"/>
      <c r="L132" s="50"/>
      <c r="M132" s="46"/>
      <c r="N132" s="47"/>
      <c r="O132" s="62" t="str">
        <f aca="false">IF($B132="","",TEXT($A132,"YYYY-MM")&amp;"|"&amp;$B132)</f>
        <v/>
      </c>
    </row>
    <row r="133" customFormat="false" ht="15" hidden="false" customHeight="false" outlineLevel="0" collapsed="false">
      <c r="A133" s="64"/>
      <c r="B133" s="52"/>
      <c r="C133" s="56"/>
      <c r="D133" s="56"/>
      <c r="E133" s="56"/>
      <c r="F133" s="56"/>
      <c r="G133" s="55"/>
      <c r="H133" s="56"/>
      <c r="I133" s="56"/>
      <c r="J133" s="56"/>
      <c r="K133" s="56"/>
      <c r="L133" s="56"/>
      <c r="M133" s="52"/>
      <c r="N133" s="53"/>
      <c r="O133" s="62" t="str">
        <f aca="false">IF($B133="","",TEXT($A133,"YYYY-MM")&amp;"|"&amp;$B133)</f>
        <v/>
      </c>
    </row>
    <row r="134" customFormat="false" ht="15" hidden="false" customHeight="false" outlineLevel="0" collapsed="false">
      <c r="A134" s="63"/>
      <c r="B134" s="46"/>
      <c r="C134" s="50"/>
      <c r="D134" s="50"/>
      <c r="E134" s="50"/>
      <c r="F134" s="50"/>
      <c r="G134" s="49"/>
      <c r="H134" s="50"/>
      <c r="I134" s="50"/>
      <c r="J134" s="50"/>
      <c r="K134" s="50"/>
      <c r="L134" s="50"/>
      <c r="M134" s="46"/>
      <c r="N134" s="47"/>
      <c r="O134" s="62" t="str">
        <f aca="false">IF($B134="","",TEXT($A134,"YYYY-MM")&amp;"|"&amp;$B134)</f>
        <v/>
      </c>
    </row>
    <row r="135" customFormat="false" ht="15" hidden="false" customHeight="false" outlineLevel="0" collapsed="false">
      <c r="A135" s="64"/>
      <c r="B135" s="52"/>
      <c r="C135" s="56"/>
      <c r="D135" s="56"/>
      <c r="E135" s="56"/>
      <c r="F135" s="56"/>
      <c r="G135" s="55"/>
      <c r="H135" s="56"/>
      <c r="I135" s="56"/>
      <c r="J135" s="56"/>
      <c r="K135" s="56"/>
      <c r="L135" s="56"/>
      <c r="M135" s="52"/>
      <c r="N135" s="53"/>
      <c r="O135" s="62" t="str">
        <f aca="false">IF($B135="","",TEXT($A135,"YYYY-MM")&amp;"|"&amp;$B135)</f>
        <v/>
      </c>
    </row>
    <row r="136" customFormat="false" ht="15" hidden="false" customHeight="false" outlineLevel="0" collapsed="false">
      <c r="A136" s="63"/>
      <c r="B136" s="46"/>
      <c r="C136" s="50"/>
      <c r="D136" s="50"/>
      <c r="E136" s="50"/>
      <c r="F136" s="50"/>
      <c r="G136" s="49"/>
      <c r="H136" s="50"/>
      <c r="I136" s="50"/>
      <c r="J136" s="50"/>
      <c r="K136" s="50"/>
      <c r="L136" s="50"/>
      <c r="M136" s="46"/>
      <c r="N136" s="47"/>
      <c r="O136" s="62" t="str">
        <f aca="false">IF($B136="","",TEXT($A136,"YYYY-MM")&amp;"|"&amp;$B136)</f>
        <v/>
      </c>
    </row>
    <row r="137" customFormat="false" ht="15" hidden="false" customHeight="false" outlineLevel="0" collapsed="false">
      <c r="A137" s="64"/>
      <c r="B137" s="52"/>
      <c r="C137" s="56"/>
      <c r="D137" s="56"/>
      <c r="E137" s="56"/>
      <c r="F137" s="56"/>
      <c r="G137" s="55"/>
      <c r="H137" s="56"/>
      <c r="I137" s="56"/>
      <c r="J137" s="56"/>
      <c r="K137" s="56"/>
      <c r="L137" s="56"/>
      <c r="M137" s="52"/>
      <c r="N137" s="53"/>
      <c r="O137" s="62" t="str">
        <f aca="false">IF($B137="","",TEXT($A137,"YYYY-MM")&amp;"|"&amp;$B137)</f>
        <v/>
      </c>
    </row>
    <row r="138" customFormat="false" ht="15" hidden="false" customHeight="false" outlineLevel="0" collapsed="false">
      <c r="A138" s="63"/>
      <c r="B138" s="46"/>
      <c r="C138" s="50"/>
      <c r="D138" s="50"/>
      <c r="E138" s="50"/>
      <c r="F138" s="50"/>
      <c r="G138" s="49"/>
      <c r="H138" s="50"/>
      <c r="I138" s="50"/>
      <c r="J138" s="50"/>
      <c r="K138" s="50"/>
      <c r="L138" s="50"/>
      <c r="M138" s="46"/>
      <c r="N138" s="47"/>
      <c r="O138" s="62" t="str">
        <f aca="false">IF($B138="","",TEXT($A138,"YYYY-MM")&amp;"|"&amp;$B138)</f>
        <v/>
      </c>
    </row>
    <row r="139" customFormat="false" ht="15" hidden="false" customHeight="false" outlineLevel="0" collapsed="false">
      <c r="A139" s="64"/>
      <c r="B139" s="52"/>
      <c r="C139" s="56"/>
      <c r="D139" s="56"/>
      <c r="E139" s="56"/>
      <c r="F139" s="56"/>
      <c r="G139" s="55"/>
      <c r="H139" s="56"/>
      <c r="I139" s="56"/>
      <c r="J139" s="56"/>
      <c r="K139" s="56"/>
      <c r="L139" s="56"/>
      <c r="M139" s="52"/>
      <c r="N139" s="53"/>
      <c r="O139" s="62" t="str">
        <f aca="false">IF($B139="","",TEXT($A139,"YYYY-MM")&amp;"|"&amp;$B139)</f>
        <v/>
      </c>
    </row>
    <row r="140" customFormat="false" ht="15" hidden="false" customHeight="false" outlineLevel="0" collapsed="false">
      <c r="A140" s="63"/>
      <c r="B140" s="46"/>
      <c r="C140" s="50"/>
      <c r="D140" s="50"/>
      <c r="E140" s="50"/>
      <c r="F140" s="50"/>
      <c r="G140" s="49"/>
      <c r="H140" s="50"/>
      <c r="I140" s="50"/>
      <c r="J140" s="50"/>
      <c r="K140" s="50"/>
      <c r="L140" s="50"/>
      <c r="M140" s="46"/>
      <c r="N140" s="47"/>
      <c r="O140" s="62" t="str">
        <f aca="false">IF($B140="","",TEXT($A140,"YYYY-MM")&amp;"|"&amp;$B140)</f>
        <v/>
      </c>
    </row>
    <row r="141" customFormat="false" ht="15" hidden="false" customHeight="false" outlineLevel="0" collapsed="false">
      <c r="A141" s="64"/>
      <c r="B141" s="52"/>
      <c r="C141" s="56"/>
      <c r="D141" s="56"/>
      <c r="E141" s="56"/>
      <c r="F141" s="56"/>
      <c r="G141" s="55"/>
      <c r="H141" s="56"/>
      <c r="I141" s="56"/>
      <c r="J141" s="56"/>
      <c r="K141" s="56"/>
      <c r="L141" s="56"/>
      <c r="M141" s="52"/>
      <c r="N141" s="53"/>
      <c r="O141" s="62" t="str">
        <f aca="false">IF($B141="","",TEXT($A141,"YYYY-MM")&amp;"|"&amp;$B141)</f>
        <v/>
      </c>
    </row>
    <row r="142" customFormat="false" ht="15" hidden="false" customHeight="false" outlineLevel="0" collapsed="false">
      <c r="A142" s="63"/>
      <c r="B142" s="46"/>
      <c r="C142" s="50"/>
      <c r="D142" s="50"/>
      <c r="E142" s="50"/>
      <c r="F142" s="50"/>
      <c r="G142" s="49"/>
      <c r="H142" s="50"/>
      <c r="I142" s="50"/>
      <c r="J142" s="50"/>
      <c r="K142" s="50"/>
      <c r="L142" s="50"/>
      <c r="M142" s="46"/>
      <c r="N142" s="47"/>
      <c r="O142" s="62" t="str">
        <f aca="false">IF($B142="","",TEXT($A142,"YYYY-MM")&amp;"|"&amp;$B142)</f>
        <v/>
      </c>
    </row>
    <row r="143" customFormat="false" ht="15" hidden="false" customHeight="false" outlineLevel="0" collapsed="false">
      <c r="A143" s="64"/>
      <c r="B143" s="52"/>
      <c r="C143" s="56"/>
      <c r="D143" s="56"/>
      <c r="E143" s="56"/>
      <c r="F143" s="56"/>
      <c r="G143" s="55"/>
      <c r="H143" s="56"/>
      <c r="I143" s="56"/>
      <c r="J143" s="56"/>
      <c r="K143" s="56"/>
      <c r="L143" s="56"/>
      <c r="M143" s="52"/>
      <c r="N143" s="53"/>
      <c r="O143" s="62" t="str">
        <f aca="false">IF($B143="","",TEXT($A143,"YYYY-MM")&amp;"|"&amp;$B143)</f>
        <v/>
      </c>
    </row>
    <row r="144" customFormat="false" ht="15" hidden="false" customHeight="false" outlineLevel="0" collapsed="false">
      <c r="A144" s="63"/>
      <c r="B144" s="46"/>
      <c r="C144" s="50"/>
      <c r="D144" s="50"/>
      <c r="E144" s="50"/>
      <c r="F144" s="50"/>
      <c r="G144" s="49"/>
      <c r="H144" s="50"/>
      <c r="I144" s="50"/>
      <c r="J144" s="50"/>
      <c r="K144" s="50"/>
      <c r="L144" s="50"/>
      <c r="M144" s="46"/>
      <c r="N144" s="47"/>
      <c r="O144" s="62" t="str">
        <f aca="false">IF($B144="","",TEXT($A144,"YYYY-MM")&amp;"|"&amp;$B144)</f>
        <v/>
      </c>
    </row>
    <row r="145" customFormat="false" ht="15" hidden="false" customHeight="false" outlineLevel="0" collapsed="false">
      <c r="A145" s="64"/>
      <c r="B145" s="52"/>
      <c r="C145" s="56"/>
      <c r="D145" s="56"/>
      <c r="E145" s="56"/>
      <c r="F145" s="56"/>
      <c r="G145" s="55"/>
      <c r="H145" s="56"/>
      <c r="I145" s="56"/>
      <c r="J145" s="56"/>
      <c r="K145" s="56"/>
      <c r="L145" s="56"/>
      <c r="M145" s="52"/>
      <c r="N145" s="53"/>
      <c r="O145" s="62" t="str">
        <f aca="false">IF($B145="","",TEXT($A145,"YYYY-MM")&amp;"|"&amp;$B145)</f>
        <v/>
      </c>
    </row>
    <row r="146" customFormat="false" ht="15" hidden="false" customHeight="false" outlineLevel="0" collapsed="false">
      <c r="A146" s="63"/>
      <c r="B146" s="46"/>
      <c r="C146" s="50"/>
      <c r="D146" s="50"/>
      <c r="E146" s="50"/>
      <c r="F146" s="50"/>
      <c r="G146" s="49"/>
      <c r="H146" s="50"/>
      <c r="I146" s="50"/>
      <c r="J146" s="50"/>
      <c r="K146" s="50"/>
      <c r="L146" s="50"/>
      <c r="M146" s="46"/>
      <c r="N146" s="47"/>
      <c r="O146" s="62" t="str">
        <f aca="false">IF($B146="","",TEXT($A146,"YYYY-MM")&amp;"|"&amp;$B146)</f>
        <v/>
      </c>
    </row>
    <row r="147" customFormat="false" ht="15" hidden="false" customHeight="false" outlineLevel="0" collapsed="false">
      <c r="A147" s="64"/>
      <c r="B147" s="52"/>
      <c r="C147" s="56"/>
      <c r="D147" s="56"/>
      <c r="E147" s="56"/>
      <c r="F147" s="56"/>
      <c r="G147" s="55"/>
      <c r="H147" s="56"/>
      <c r="I147" s="56"/>
      <c r="J147" s="56"/>
      <c r="K147" s="56"/>
      <c r="L147" s="56"/>
      <c r="M147" s="52"/>
      <c r="N147" s="53"/>
      <c r="O147" s="62" t="str">
        <f aca="false">IF($B147="","",TEXT($A147,"YYYY-MM")&amp;"|"&amp;$B147)</f>
        <v/>
      </c>
    </row>
    <row r="148" customFormat="false" ht="15" hidden="false" customHeight="false" outlineLevel="0" collapsed="false">
      <c r="A148" s="63"/>
      <c r="B148" s="46"/>
      <c r="C148" s="50"/>
      <c r="D148" s="50"/>
      <c r="E148" s="50"/>
      <c r="F148" s="50"/>
      <c r="G148" s="49"/>
      <c r="H148" s="50"/>
      <c r="I148" s="50"/>
      <c r="J148" s="50"/>
      <c r="K148" s="50"/>
      <c r="L148" s="50"/>
      <c r="M148" s="46"/>
      <c r="N148" s="47"/>
      <c r="O148" s="62" t="str">
        <f aca="false">IF($B148="","",TEXT($A148,"YYYY-MM")&amp;"|"&amp;$B148)</f>
        <v/>
      </c>
    </row>
    <row r="149" customFormat="false" ht="15" hidden="false" customHeight="false" outlineLevel="0" collapsed="false">
      <c r="A149" s="64"/>
      <c r="B149" s="52"/>
      <c r="C149" s="56"/>
      <c r="D149" s="56"/>
      <c r="E149" s="56"/>
      <c r="F149" s="56"/>
      <c r="G149" s="55"/>
      <c r="H149" s="56"/>
      <c r="I149" s="56"/>
      <c r="J149" s="56"/>
      <c r="K149" s="56"/>
      <c r="L149" s="56"/>
      <c r="M149" s="52"/>
      <c r="N149" s="53"/>
      <c r="O149" s="62" t="str">
        <f aca="false">IF($B149="","",TEXT($A149,"YYYY-MM")&amp;"|"&amp;$B149)</f>
        <v/>
      </c>
    </row>
    <row r="150" customFormat="false" ht="15" hidden="false" customHeight="false" outlineLevel="0" collapsed="false">
      <c r="A150" s="63"/>
      <c r="B150" s="46"/>
      <c r="C150" s="50"/>
      <c r="D150" s="50"/>
      <c r="E150" s="50"/>
      <c r="F150" s="50"/>
      <c r="G150" s="49"/>
      <c r="H150" s="50"/>
      <c r="I150" s="50"/>
      <c r="J150" s="50"/>
      <c r="K150" s="50"/>
      <c r="L150" s="50"/>
      <c r="M150" s="46"/>
      <c r="N150" s="47"/>
      <c r="O150" s="62" t="str">
        <f aca="false">IF($B150="","",TEXT($A150,"YYYY-MM")&amp;"|"&amp;$B150)</f>
        <v/>
      </c>
    </row>
    <row r="151" customFormat="false" ht="15" hidden="false" customHeight="false" outlineLevel="0" collapsed="false">
      <c r="A151" s="64"/>
      <c r="B151" s="52"/>
      <c r="C151" s="56"/>
      <c r="D151" s="56"/>
      <c r="E151" s="56"/>
      <c r="F151" s="56"/>
      <c r="G151" s="55"/>
      <c r="H151" s="56"/>
      <c r="I151" s="56"/>
      <c r="J151" s="56"/>
      <c r="K151" s="56"/>
      <c r="L151" s="56"/>
      <c r="M151" s="52"/>
      <c r="N151" s="53"/>
      <c r="O151" s="62" t="str">
        <f aca="false">IF($B151="","",TEXT($A151,"YYYY-MM")&amp;"|"&amp;$B151)</f>
        <v/>
      </c>
    </row>
    <row r="152" customFormat="false" ht="15" hidden="false" customHeight="false" outlineLevel="0" collapsed="false">
      <c r="A152" s="63"/>
      <c r="B152" s="46"/>
      <c r="C152" s="50"/>
      <c r="D152" s="50"/>
      <c r="E152" s="50"/>
      <c r="F152" s="50"/>
      <c r="G152" s="49"/>
      <c r="H152" s="50"/>
      <c r="I152" s="50"/>
      <c r="J152" s="50"/>
      <c r="K152" s="50"/>
      <c r="L152" s="50"/>
      <c r="M152" s="46"/>
      <c r="N152" s="47"/>
      <c r="O152" s="62" t="str">
        <f aca="false">IF($B152="","",TEXT($A152,"YYYY-MM")&amp;"|"&amp;$B152)</f>
        <v/>
      </c>
    </row>
    <row r="153" customFormat="false" ht="15" hidden="false" customHeight="false" outlineLevel="0" collapsed="false">
      <c r="A153" s="64"/>
      <c r="B153" s="52"/>
      <c r="C153" s="56"/>
      <c r="D153" s="56"/>
      <c r="E153" s="56"/>
      <c r="F153" s="56"/>
      <c r="G153" s="55"/>
      <c r="H153" s="56"/>
      <c r="I153" s="56"/>
      <c r="J153" s="56"/>
      <c r="K153" s="56"/>
      <c r="L153" s="56"/>
      <c r="M153" s="52"/>
      <c r="N153" s="53"/>
      <c r="O153" s="62" t="str">
        <f aca="false">IF($B153="","",TEXT($A153,"YYYY-MM")&amp;"|"&amp;$B153)</f>
        <v/>
      </c>
    </row>
    <row r="154" customFormat="false" ht="15" hidden="false" customHeight="false" outlineLevel="0" collapsed="false">
      <c r="A154" s="63"/>
      <c r="B154" s="46"/>
      <c r="C154" s="50"/>
      <c r="D154" s="50"/>
      <c r="E154" s="50"/>
      <c r="F154" s="50"/>
      <c r="G154" s="49"/>
      <c r="H154" s="50"/>
      <c r="I154" s="50"/>
      <c r="J154" s="50"/>
      <c r="K154" s="50"/>
      <c r="L154" s="50"/>
      <c r="M154" s="46"/>
      <c r="N154" s="47"/>
      <c r="O154" s="62" t="str">
        <f aca="false">IF($B154="","",TEXT($A154,"YYYY-MM")&amp;"|"&amp;$B154)</f>
        <v/>
      </c>
    </row>
    <row r="155" customFormat="false" ht="15" hidden="false" customHeight="false" outlineLevel="0" collapsed="false">
      <c r="A155" s="64"/>
      <c r="B155" s="52"/>
      <c r="C155" s="56"/>
      <c r="D155" s="56"/>
      <c r="E155" s="56"/>
      <c r="F155" s="56"/>
      <c r="G155" s="55"/>
      <c r="H155" s="56"/>
      <c r="I155" s="56"/>
      <c r="J155" s="56"/>
      <c r="K155" s="56"/>
      <c r="L155" s="56"/>
      <c r="M155" s="52"/>
      <c r="N155" s="53"/>
      <c r="O155" s="62" t="str">
        <f aca="false">IF($B155="","",TEXT($A155,"YYYY-MM")&amp;"|"&amp;$B155)</f>
        <v/>
      </c>
    </row>
    <row r="156" customFormat="false" ht="15" hidden="false" customHeight="false" outlineLevel="0" collapsed="false">
      <c r="A156" s="63"/>
      <c r="B156" s="46"/>
      <c r="C156" s="50"/>
      <c r="D156" s="50"/>
      <c r="E156" s="50"/>
      <c r="F156" s="50"/>
      <c r="G156" s="49"/>
      <c r="H156" s="50"/>
      <c r="I156" s="50"/>
      <c r="J156" s="50"/>
      <c r="K156" s="50"/>
      <c r="L156" s="50"/>
      <c r="M156" s="46"/>
      <c r="N156" s="47"/>
      <c r="O156" s="62" t="str">
        <f aca="false">IF($B156="","",TEXT($A156,"YYYY-MM")&amp;"|"&amp;$B156)</f>
        <v/>
      </c>
    </row>
    <row r="157" customFormat="false" ht="15" hidden="false" customHeight="false" outlineLevel="0" collapsed="false">
      <c r="A157" s="64"/>
      <c r="B157" s="52"/>
      <c r="C157" s="56"/>
      <c r="D157" s="56"/>
      <c r="E157" s="56"/>
      <c r="F157" s="56"/>
      <c r="G157" s="55"/>
      <c r="H157" s="56"/>
      <c r="I157" s="56"/>
      <c r="J157" s="56"/>
      <c r="K157" s="56"/>
      <c r="L157" s="56"/>
      <c r="M157" s="52"/>
      <c r="N157" s="53"/>
      <c r="O157" s="62" t="str">
        <f aca="false">IF($B157="","",TEXT($A157,"YYYY-MM")&amp;"|"&amp;$B157)</f>
        <v/>
      </c>
    </row>
    <row r="158" customFormat="false" ht="15" hidden="false" customHeight="false" outlineLevel="0" collapsed="false">
      <c r="A158" s="63"/>
      <c r="B158" s="46"/>
      <c r="C158" s="50"/>
      <c r="D158" s="50"/>
      <c r="E158" s="50"/>
      <c r="F158" s="50"/>
      <c r="G158" s="49"/>
      <c r="H158" s="50"/>
      <c r="I158" s="50"/>
      <c r="J158" s="50"/>
      <c r="K158" s="50"/>
      <c r="L158" s="50"/>
      <c r="M158" s="46"/>
      <c r="N158" s="47"/>
      <c r="O158" s="62" t="str">
        <f aca="false">IF($B158="","",TEXT($A158,"YYYY-MM")&amp;"|"&amp;$B158)</f>
        <v/>
      </c>
    </row>
    <row r="159" customFormat="false" ht="15" hidden="false" customHeight="false" outlineLevel="0" collapsed="false">
      <c r="A159" s="64"/>
      <c r="B159" s="52"/>
      <c r="C159" s="56"/>
      <c r="D159" s="56"/>
      <c r="E159" s="56"/>
      <c r="F159" s="56"/>
      <c r="G159" s="55"/>
      <c r="H159" s="56"/>
      <c r="I159" s="56"/>
      <c r="J159" s="56"/>
      <c r="K159" s="56"/>
      <c r="L159" s="56"/>
      <c r="M159" s="52"/>
      <c r="N159" s="53"/>
      <c r="O159" s="62" t="str">
        <f aca="false">IF($B159="","",TEXT($A159,"YYYY-MM")&amp;"|"&amp;$B159)</f>
        <v/>
      </c>
    </row>
    <row r="160" customFormat="false" ht="15" hidden="false" customHeight="false" outlineLevel="0" collapsed="false">
      <c r="A160" s="63"/>
      <c r="B160" s="46"/>
      <c r="C160" s="50"/>
      <c r="D160" s="50"/>
      <c r="E160" s="50"/>
      <c r="F160" s="50"/>
      <c r="G160" s="49"/>
      <c r="H160" s="50"/>
      <c r="I160" s="50"/>
      <c r="J160" s="50"/>
      <c r="K160" s="50"/>
      <c r="L160" s="50"/>
      <c r="M160" s="46"/>
      <c r="N160" s="47"/>
      <c r="O160" s="62" t="str">
        <f aca="false">IF($B160="","",TEXT($A160,"YYYY-MM")&amp;"|"&amp;$B160)</f>
        <v/>
      </c>
    </row>
    <row r="161" customFormat="false" ht="15" hidden="false" customHeight="false" outlineLevel="0" collapsed="false">
      <c r="A161" s="64"/>
      <c r="B161" s="52"/>
      <c r="C161" s="56"/>
      <c r="D161" s="56"/>
      <c r="E161" s="56"/>
      <c r="F161" s="56"/>
      <c r="G161" s="55"/>
      <c r="H161" s="56"/>
      <c r="I161" s="56"/>
      <c r="J161" s="56"/>
      <c r="K161" s="56"/>
      <c r="L161" s="56"/>
      <c r="M161" s="52"/>
      <c r="N161" s="53"/>
      <c r="O161" s="62" t="str">
        <f aca="false">IF($B161="","",TEXT($A161,"YYYY-MM")&amp;"|"&amp;$B161)</f>
        <v/>
      </c>
    </row>
    <row r="162" customFormat="false" ht="15" hidden="false" customHeight="false" outlineLevel="0" collapsed="false">
      <c r="A162" s="63"/>
      <c r="B162" s="46"/>
      <c r="C162" s="50"/>
      <c r="D162" s="50"/>
      <c r="E162" s="50"/>
      <c r="F162" s="50"/>
      <c r="G162" s="49"/>
      <c r="H162" s="50"/>
      <c r="I162" s="50"/>
      <c r="J162" s="50"/>
      <c r="K162" s="50"/>
      <c r="L162" s="50"/>
      <c r="M162" s="46"/>
      <c r="N162" s="47"/>
      <c r="O162" s="62" t="str">
        <f aca="false">IF($B162="","",TEXT($A162,"YYYY-MM")&amp;"|"&amp;$B162)</f>
        <v/>
      </c>
    </row>
    <row r="163" customFormat="false" ht="15" hidden="false" customHeight="false" outlineLevel="0" collapsed="false">
      <c r="A163" s="64"/>
      <c r="B163" s="52"/>
      <c r="C163" s="56"/>
      <c r="D163" s="56"/>
      <c r="E163" s="56"/>
      <c r="F163" s="56"/>
      <c r="G163" s="55"/>
      <c r="H163" s="56"/>
      <c r="I163" s="56"/>
      <c r="J163" s="56"/>
      <c r="K163" s="56"/>
      <c r="L163" s="56"/>
      <c r="M163" s="52"/>
      <c r="N163" s="53"/>
      <c r="O163" s="62" t="str">
        <f aca="false">IF($B163="","",TEXT($A163,"YYYY-MM")&amp;"|"&amp;$B163)</f>
        <v/>
      </c>
    </row>
    <row r="164" customFormat="false" ht="15" hidden="false" customHeight="false" outlineLevel="0" collapsed="false">
      <c r="A164" s="63"/>
      <c r="B164" s="46"/>
      <c r="C164" s="50"/>
      <c r="D164" s="50"/>
      <c r="E164" s="50"/>
      <c r="F164" s="50"/>
      <c r="G164" s="49"/>
      <c r="H164" s="50"/>
      <c r="I164" s="50"/>
      <c r="J164" s="50"/>
      <c r="K164" s="50"/>
      <c r="L164" s="50"/>
      <c r="M164" s="46"/>
      <c r="N164" s="47"/>
      <c r="O164" s="62" t="str">
        <f aca="false">IF($B164="","",TEXT($A164,"YYYY-MM")&amp;"|"&amp;$B164)</f>
        <v/>
      </c>
    </row>
    <row r="165" customFormat="false" ht="15" hidden="false" customHeight="false" outlineLevel="0" collapsed="false">
      <c r="A165" s="64"/>
      <c r="B165" s="52"/>
      <c r="C165" s="56"/>
      <c r="D165" s="56"/>
      <c r="E165" s="56"/>
      <c r="F165" s="56"/>
      <c r="G165" s="55"/>
      <c r="H165" s="56"/>
      <c r="I165" s="56"/>
      <c r="J165" s="56"/>
      <c r="K165" s="56"/>
      <c r="L165" s="56"/>
      <c r="M165" s="52"/>
      <c r="N165" s="53"/>
      <c r="O165" s="62" t="str">
        <f aca="false">IF($B165="","",TEXT($A165,"YYYY-MM")&amp;"|"&amp;$B165)</f>
        <v/>
      </c>
    </row>
    <row r="166" customFormat="false" ht="15" hidden="false" customHeight="false" outlineLevel="0" collapsed="false">
      <c r="A166" s="63"/>
      <c r="B166" s="46"/>
      <c r="C166" s="50"/>
      <c r="D166" s="50"/>
      <c r="E166" s="50"/>
      <c r="F166" s="50"/>
      <c r="G166" s="49"/>
      <c r="H166" s="50"/>
      <c r="I166" s="50"/>
      <c r="J166" s="50"/>
      <c r="K166" s="50"/>
      <c r="L166" s="50"/>
      <c r="M166" s="46"/>
      <c r="N166" s="47"/>
      <c r="O166" s="62" t="str">
        <f aca="false">IF($B166="","",TEXT($A166,"YYYY-MM")&amp;"|"&amp;$B166)</f>
        <v/>
      </c>
    </row>
    <row r="167" customFormat="false" ht="15" hidden="false" customHeight="false" outlineLevel="0" collapsed="false">
      <c r="A167" s="64"/>
      <c r="B167" s="52"/>
      <c r="C167" s="56"/>
      <c r="D167" s="56"/>
      <c r="E167" s="56"/>
      <c r="F167" s="56"/>
      <c r="G167" s="55"/>
      <c r="H167" s="56"/>
      <c r="I167" s="56"/>
      <c r="J167" s="56"/>
      <c r="K167" s="56"/>
      <c r="L167" s="56"/>
      <c r="M167" s="52"/>
      <c r="N167" s="53"/>
      <c r="O167" s="62" t="str">
        <f aca="false">IF($B167="","",TEXT($A167,"YYYY-MM")&amp;"|"&amp;$B167)</f>
        <v/>
      </c>
    </row>
    <row r="168" customFormat="false" ht="15" hidden="false" customHeight="false" outlineLevel="0" collapsed="false">
      <c r="A168" s="63"/>
      <c r="B168" s="46"/>
      <c r="C168" s="50"/>
      <c r="D168" s="50"/>
      <c r="E168" s="50"/>
      <c r="F168" s="50"/>
      <c r="G168" s="49"/>
      <c r="H168" s="50"/>
      <c r="I168" s="50"/>
      <c r="J168" s="50"/>
      <c r="K168" s="50"/>
      <c r="L168" s="50"/>
      <c r="M168" s="46"/>
      <c r="N168" s="47"/>
      <c r="O168" s="62" t="str">
        <f aca="false">IF($B168="","",TEXT($A168,"YYYY-MM")&amp;"|"&amp;$B168)</f>
        <v/>
      </c>
    </row>
    <row r="169" customFormat="false" ht="15" hidden="false" customHeight="false" outlineLevel="0" collapsed="false">
      <c r="A169" s="64"/>
      <c r="B169" s="52"/>
      <c r="C169" s="56"/>
      <c r="D169" s="56"/>
      <c r="E169" s="56"/>
      <c r="F169" s="56"/>
      <c r="G169" s="55"/>
      <c r="H169" s="56"/>
      <c r="I169" s="56"/>
      <c r="J169" s="56"/>
      <c r="K169" s="56"/>
      <c r="L169" s="56"/>
      <c r="M169" s="52"/>
      <c r="N169" s="53"/>
      <c r="O169" s="62" t="str">
        <f aca="false">IF($B169="","",TEXT($A169,"YYYY-MM")&amp;"|"&amp;$B169)</f>
        <v/>
      </c>
    </row>
    <row r="170" customFormat="false" ht="15" hidden="false" customHeight="false" outlineLevel="0" collapsed="false">
      <c r="A170" s="63"/>
      <c r="B170" s="46"/>
      <c r="C170" s="50"/>
      <c r="D170" s="50"/>
      <c r="E170" s="50"/>
      <c r="F170" s="50"/>
      <c r="G170" s="49"/>
      <c r="H170" s="50"/>
      <c r="I170" s="50"/>
      <c r="J170" s="50"/>
      <c r="K170" s="50"/>
      <c r="L170" s="50"/>
      <c r="M170" s="46"/>
      <c r="N170" s="47"/>
      <c r="O170" s="62" t="str">
        <f aca="false">IF($B170="","",TEXT($A170,"YYYY-MM")&amp;"|"&amp;$B170)</f>
        <v/>
      </c>
    </row>
    <row r="171" customFormat="false" ht="15" hidden="false" customHeight="false" outlineLevel="0" collapsed="false">
      <c r="A171" s="64"/>
      <c r="B171" s="52"/>
      <c r="C171" s="56"/>
      <c r="D171" s="56"/>
      <c r="E171" s="56"/>
      <c r="F171" s="56"/>
      <c r="G171" s="55"/>
      <c r="H171" s="56"/>
      <c r="I171" s="56"/>
      <c r="J171" s="56"/>
      <c r="K171" s="56"/>
      <c r="L171" s="56"/>
      <c r="M171" s="52"/>
      <c r="N171" s="53"/>
      <c r="O171" s="62" t="str">
        <f aca="false">IF($B171="","",TEXT($A171,"YYYY-MM")&amp;"|"&amp;$B171)</f>
        <v/>
      </c>
    </row>
    <row r="172" customFormat="false" ht="15" hidden="false" customHeight="false" outlineLevel="0" collapsed="false">
      <c r="A172" s="63"/>
      <c r="B172" s="46"/>
      <c r="C172" s="50"/>
      <c r="D172" s="50"/>
      <c r="E172" s="50"/>
      <c r="F172" s="50"/>
      <c r="G172" s="49"/>
      <c r="H172" s="50"/>
      <c r="I172" s="50"/>
      <c r="J172" s="50"/>
      <c r="K172" s="50"/>
      <c r="L172" s="50"/>
      <c r="M172" s="46"/>
      <c r="N172" s="47"/>
      <c r="O172" s="62" t="str">
        <f aca="false">IF($B172="","",TEXT($A172,"YYYY-MM")&amp;"|"&amp;$B172)</f>
        <v/>
      </c>
    </row>
    <row r="173" customFormat="false" ht="15" hidden="false" customHeight="false" outlineLevel="0" collapsed="false">
      <c r="A173" s="64"/>
      <c r="B173" s="52"/>
      <c r="C173" s="56"/>
      <c r="D173" s="56"/>
      <c r="E173" s="56"/>
      <c r="F173" s="56"/>
      <c r="G173" s="55"/>
      <c r="H173" s="56"/>
      <c r="I173" s="56"/>
      <c r="J173" s="56"/>
      <c r="K173" s="56"/>
      <c r="L173" s="56"/>
      <c r="M173" s="52"/>
      <c r="N173" s="53"/>
      <c r="O173" s="62" t="str">
        <f aca="false">IF($B173="","",TEXT($A173,"YYYY-MM")&amp;"|"&amp;$B173)</f>
        <v/>
      </c>
    </row>
    <row r="174" customFormat="false" ht="15" hidden="false" customHeight="false" outlineLevel="0" collapsed="false">
      <c r="A174" s="63"/>
      <c r="B174" s="46"/>
      <c r="C174" s="50"/>
      <c r="D174" s="50"/>
      <c r="E174" s="50"/>
      <c r="F174" s="50"/>
      <c r="G174" s="49"/>
      <c r="H174" s="50"/>
      <c r="I174" s="50"/>
      <c r="J174" s="50"/>
      <c r="K174" s="50"/>
      <c r="L174" s="50"/>
      <c r="M174" s="46"/>
      <c r="N174" s="47"/>
      <c r="O174" s="62" t="str">
        <f aca="false">IF($B174="","",TEXT($A174,"YYYY-MM")&amp;"|"&amp;$B174)</f>
        <v/>
      </c>
    </row>
    <row r="175" customFormat="false" ht="15" hidden="false" customHeight="false" outlineLevel="0" collapsed="false">
      <c r="A175" s="64"/>
      <c r="B175" s="52"/>
      <c r="C175" s="56"/>
      <c r="D175" s="56"/>
      <c r="E175" s="56"/>
      <c r="F175" s="56"/>
      <c r="G175" s="55"/>
      <c r="H175" s="56"/>
      <c r="I175" s="56"/>
      <c r="J175" s="56"/>
      <c r="K175" s="56"/>
      <c r="L175" s="56"/>
      <c r="M175" s="52"/>
      <c r="N175" s="53"/>
      <c r="O175" s="62" t="str">
        <f aca="false">IF($B175="","",TEXT($A175,"YYYY-MM")&amp;"|"&amp;$B175)</f>
        <v/>
      </c>
    </row>
    <row r="176" customFormat="false" ht="15" hidden="false" customHeight="false" outlineLevel="0" collapsed="false">
      <c r="A176" s="63"/>
      <c r="B176" s="46"/>
      <c r="C176" s="50"/>
      <c r="D176" s="50"/>
      <c r="E176" s="50"/>
      <c r="F176" s="50"/>
      <c r="G176" s="49"/>
      <c r="H176" s="50"/>
      <c r="I176" s="50"/>
      <c r="J176" s="50"/>
      <c r="K176" s="50"/>
      <c r="L176" s="50"/>
      <c r="M176" s="46"/>
      <c r="N176" s="47"/>
      <c r="O176" s="62" t="str">
        <f aca="false">IF($B176="","",TEXT($A176,"YYYY-MM")&amp;"|"&amp;$B176)</f>
        <v/>
      </c>
    </row>
    <row r="177" customFormat="false" ht="15" hidden="false" customHeight="false" outlineLevel="0" collapsed="false">
      <c r="A177" s="64"/>
      <c r="B177" s="52"/>
      <c r="C177" s="56"/>
      <c r="D177" s="56"/>
      <c r="E177" s="56"/>
      <c r="F177" s="56"/>
      <c r="G177" s="55"/>
      <c r="H177" s="56"/>
      <c r="I177" s="56"/>
      <c r="J177" s="56"/>
      <c r="K177" s="56"/>
      <c r="L177" s="56"/>
      <c r="M177" s="52"/>
      <c r="N177" s="53"/>
      <c r="O177" s="62" t="str">
        <f aca="false">IF($B177="","",TEXT($A177,"YYYY-MM")&amp;"|"&amp;$B177)</f>
        <v/>
      </c>
    </row>
    <row r="178" customFormat="false" ht="15" hidden="false" customHeight="false" outlineLevel="0" collapsed="false">
      <c r="A178" s="63"/>
      <c r="B178" s="46"/>
      <c r="C178" s="50"/>
      <c r="D178" s="50"/>
      <c r="E178" s="50"/>
      <c r="F178" s="50"/>
      <c r="G178" s="49"/>
      <c r="H178" s="50"/>
      <c r="I178" s="50"/>
      <c r="J178" s="50"/>
      <c r="K178" s="50"/>
      <c r="L178" s="50"/>
      <c r="M178" s="46"/>
      <c r="N178" s="47"/>
      <c r="O178" s="62" t="str">
        <f aca="false">IF($B178="","",TEXT($A178,"YYYY-MM")&amp;"|"&amp;$B178)</f>
        <v/>
      </c>
    </row>
    <row r="179" customFormat="false" ht="15" hidden="false" customHeight="false" outlineLevel="0" collapsed="false">
      <c r="A179" s="64"/>
      <c r="B179" s="52"/>
      <c r="C179" s="56"/>
      <c r="D179" s="56"/>
      <c r="E179" s="56"/>
      <c r="F179" s="56"/>
      <c r="G179" s="55"/>
      <c r="H179" s="56"/>
      <c r="I179" s="56"/>
      <c r="J179" s="56"/>
      <c r="K179" s="56"/>
      <c r="L179" s="56"/>
      <c r="M179" s="52"/>
      <c r="N179" s="53"/>
      <c r="O179" s="62" t="str">
        <f aca="false">IF($B179="","",TEXT($A179,"YYYY-MM")&amp;"|"&amp;$B179)</f>
        <v/>
      </c>
    </row>
    <row r="180" customFormat="false" ht="15" hidden="false" customHeight="false" outlineLevel="0" collapsed="false">
      <c r="A180" s="63"/>
      <c r="B180" s="46"/>
      <c r="C180" s="50"/>
      <c r="D180" s="50"/>
      <c r="E180" s="50"/>
      <c r="F180" s="50"/>
      <c r="G180" s="49"/>
      <c r="H180" s="50"/>
      <c r="I180" s="50"/>
      <c r="J180" s="50"/>
      <c r="K180" s="50"/>
      <c r="L180" s="50"/>
      <c r="M180" s="46"/>
      <c r="N180" s="47"/>
      <c r="O180" s="62" t="str">
        <f aca="false">IF($B180="","",TEXT($A180,"YYYY-MM")&amp;"|"&amp;$B180)</f>
        <v/>
      </c>
    </row>
    <row r="181" customFormat="false" ht="15" hidden="false" customHeight="false" outlineLevel="0" collapsed="false">
      <c r="A181" s="64"/>
      <c r="B181" s="52"/>
      <c r="C181" s="56"/>
      <c r="D181" s="56"/>
      <c r="E181" s="56"/>
      <c r="F181" s="56"/>
      <c r="G181" s="55"/>
      <c r="H181" s="56"/>
      <c r="I181" s="56"/>
      <c r="J181" s="56"/>
      <c r="K181" s="56"/>
      <c r="L181" s="56"/>
      <c r="M181" s="52"/>
      <c r="N181" s="53"/>
      <c r="O181" s="62" t="str">
        <f aca="false">IF($B181="","",TEXT($A181,"YYYY-MM")&amp;"|"&amp;$B181)</f>
        <v/>
      </c>
    </row>
    <row r="182" customFormat="false" ht="15" hidden="false" customHeight="false" outlineLevel="0" collapsed="false">
      <c r="A182" s="63"/>
      <c r="B182" s="46"/>
      <c r="C182" s="50"/>
      <c r="D182" s="50"/>
      <c r="E182" s="50"/>
      <c r="F182" s="50"/>
      <c r="G182" s="49"/>
      <c r="H182" s="50"/>
      <c r="I182" s="50"/>
      <c r="J182" s="50"/>
      <c r="K182" s="50"/>
      <c r="L182" s="50"/>
      <c r="M182" s="46"/>
      <c r="N182" s="47"/>
      <c r="O182" s="62" t="str">
        <f aca="false">IF($B182="","",TEXT($A182,"YYYY-MM")&amp;"|"&amp;$B182)</f>
        <v/>
      </c>
    </row>
    <row r="183" customFormat="false" ht="15" hidden="false" customHeight="false" outlineLevel="0" collapsed="false">
      <c r="A183" s="64"/>
      <c r="B183" s="52"/>
      <c r="C183" s="56"/>
      <c r="D183" s="56"/>
      <c r="E183" s="56"/>
      <c r="F183" s="56"/>
      <c r="G183" s="55"/>
      <c r="H183" s="56"/>
      <c r="I183" s="56"/>
      <c r="J183" s="56"/>
      <c r="K183" s="56"/>
      <c r="L183" s="56"/>
      <c r="M183" s="52"/>
      <c r="N183" s="53"/>
      <c r="O183" s="62" t="str">
        <f aca="false">IF($B183="","",TEXT($A183,"YYYY-MM")&amp;"|"&amp;$B183)</f>
        <v/>
      </c>
    </row>
    <row r="184" customFormat="false" ht="15" hidden="false" customHeight="false" outlineLevel="0" collapsed="false">
      <c r="A184" s="63"/>
      <c r="B184" s="46"/>
      <c r="C184" s="50"/>
      <c r="D184" s="50"/>
      <c r="E184" s="50"/>
      <c r="F184" s="50"/>
      <c r="G184" s="49"/>
      <c r="H184" s="50"/>
      <c r="I184" s="50"/>
      <c r="J184" s="50"/>
      <c r="K184" s="50"/>
      <c r="L184" s="50"/>
      <c r="M184" s="46"/>
      <c r="N184" s="47"/>
      <c r="O184" s="62" t="str">
        <f aca="false">IF($B184="","",TEXT($A184,"YYYY-MM")&amp;"|"&amp;$B184)</f>
        <v/>
      </c>
    </row>
    <row r="185" customFormat="false" ht="15" hidden="false" customHeight="false" outlineLevel="0" collapsed="false">
      <c r="A185" s="64"/>
      <c r="B185" s="52"/>
      <c r="C185" s="56"/>
      <c r="D185" s="56"/>
      <c r="E185" s="56"/>
      <c r="F185" s="56"/>
      <c r="G185" s="55"/>
      <c r="H185" s="56"/>
      <c r="I185" s="56"/>
      <c r="J185" s="56"/>
      <c r="K185" s="56"/>
      <c r="L185" s="56"/>
      <c r="M185" s="52"/>
      <c r="N185" s="53"/>
      <c r="O185" s="62" t="str">
        <f aca="false">IF($B185="","",TEXT($A185,"YYYY-MM")&amp;"|"&amp;$B185)</f>
        <v/>
      </c>
    </row>
    <row r="186" customFormat="false" ht="15" hidden="false" customHeight="false" outlineLevel="0" collapsed="false">
      <c r="A186" s="63"/>
      <c r="B186" s="46"/>
      <c r="C186" s="50"/>
      <c r="D186" s="50"/>
      <c r="E186" s="50"/>
      <c r="F186" s="50"/>
      <c r="G186" s="49"/>
      <c r="H186" s="50"/>
      <c r="I186" s="50"/>
      <c r="J186" s="50"/>
      <c r="K186" s="50"/>
      <c r="L186" s="50"/>
      <c r="M186" s="46"/>
      <c r="N186" s="47"/>
      <c r="O186" s="62" t="str">
        <f aca="false">IF($B186="","",TEXT($A186,"YYYY-MM")&amp;"|"&amp;$B186)</f>
        <v/>
      </c>
    </row>
    <row r="187" customFormat="false" ht="15" hidden="false" customHeight="false" outlineLevel="0" collapsed="false">
      <c r="A187" s="64"/>
      <c r="B187" s="52"/>
      <c r="C187" s="56"/>
      <c r="D187" s="56"/>
      <c r="E187" s="56"/>
      <c r="F187" s="56"/>
      <c r="G187" s="55"/>
      <c r="H187" s="56"/>
      <c r="I187" s="56"/>
      <c r="J187" s="56"/>
      <c r="K187" s="56"/>
      <c r="L187" s="56"/>
      <c r="M187" s="52"/>
      <c r="N187" s="53"/>
      <c r="O187" s="62" t="str">
        <f aca="false">IF($B187="","",TEXT($A187,"YYYY-MM")&amp;"|"&amp;$B187)</f>
        <v/>
      </c>
    </row>
    <row r="188" customFormat="false" ht="15" hidden="false" customHeight="false" outlineLevel="0" collapsed="false">
      <c r="A188" s="63"/>
      <c r="B188" s="46"/>
      <c r="C188" s="50"/>
      <c r="D188" s="50"/>
      <c r="E188" s="50"/>
      <c r="F188" s="50"/>
      <c r="G188" s="49"/>
      <c r="H188" s="50"/>
      <c r="I188" s="50"/>
      <c r="J188" s="50"/>
      <c r="K188" s="50"/>
      <c r="L188" s="50"/>
      <c r="M188" s="46"/>
      <c r="N188" s="47"/>
      <c r="O188" s="62" t="str">
        <f aca="false">IF($B188="","",TEXT($A188,"YYYY-MM")&amp;"|"&amp;$B188)</f>
        <v/>
      </c>
    </row>
    <row r="189" customFormat="false" ht="15" hidden="false" customHeight="false" outlineLevel="0" collapsed="false">
      <c r="A189" s="64"/>
      <c r="B189" s="52"/>
      <c r="C189" s="56"/>
      <c r="D189" s="56"/>
      <c r="E189" s="56"/>
      <c r="F189" s="56"/>
      <c r="G189" s="55"/>
      <c r="H189" s="56"/>
      <c r="I189" s="56"/>
      <c r="J189" s="56"/>
      <c r="K189" s="56"/>
      <c r="L189" s="56"/>
      <c r="M189" s="52"/>
      <c r="N189" s="53"/>
      <c r="O189" s="62" t="str">
        <f aca="false">IF($B189="","",TEXT($A189,"YYYY-MM")&amp;"|"&amp;$B189)</f>
        <v/>
      </c>
    </row>
    <row r="190" customFormat="false" ht="15" hidden="false" customHeight="false" outlineLevel="0" collapsed="false">
      <c r="A190" s="63"/>
      <c r="B190" s="46"/>
      <c r="C190" s="50"/>
      <c r="D190" s="50"/>
      <c r="E190" s="50"/>
      <c r="F190" s="50"/>
      <c r="G190" s="49"/>
      <c r="H190" s="50"/>
      <c r="I190" s="50"/>
      <c r="J190" s="50"/>
      <c r="K190" s="50"/>
      <c r="L190" s="50"/>
      <c r="M190" s="46"/>
      <c r="N190" s="47"/>
      <c r="O190" s="62" t="str">
        <f aca="false">IF($B190="","",TEXT($A190,"YYYY-MM")&amp;"|"&amp;$B190)</f>
        <v/>
      </c>
    </row>
    <row r="191" customFormat="false" ht="15" hidden="false" customHeight="false" outlineLevel="0" collapsed="false">
      <c r="A191" s="64"/>
      <c r="B191" s="52"/>
      <c r="C191" s="56"/>
      <c r="D191" s="56"/>
      <c r="E191" s="56"/>
      <c r="F191" s="56"/>
      <c r="G191" s="55"/>
      <c r="H191" s="56"/>
      <c r="I191" s="56"/>
      <c r="J191" s="56"/>
      <c r="K191" s="56"/>
      <c r="L191" s="56"/>
      <c r="M191" s="52"/>
      <c r="N191" s="53"/>
      <c r="O191" s="62" t="str">
        <f aca="false">IF($B191="","",TEXT($A191,"YYYY-MM")&amp;"|"&amp;$B191)</f>
        <v/>
      </c>
    </row>
    <row r="192" customFormat="false" ht="15" hidden="false" customHeight="false" outlineLevel="0" collapsed="false">
      <c r="A192" s="63"/>
      <c r="B192" s="46"/>
      <c r="C192" s="50"/>
      <c r="D192" s="50"/>
      <c r="E192" s="50"/>
      <c r="F192" s="50"/>
      <c r="G192" s="49"/>
      <c r="H192" s="50"/>
      <c r="I192" s="50"/>
      <c r="J192" s="50"/>
      <c r="K192" s="50"/>
      <c r="L192" s="50"/>
      <c r="M192" s="46"/>
      <c r="N192" s="47"/>
      <c r="O192" s="62" t="str">
        <f aca="false">IF($B192="","",TEXT($A192,"YYYY-MM")&amp;"|"&amp;$B192)</f>
        <v/>
      </c>
    </row>
    <row r="193" customFormat="false" ht="15" hidden="false" customHeight="false" outlineLevel="0" collapsed="false">
      <c r="A193" s="64"/>
      <c r="B193" s="52"/>
      <c r="C193" s="56"/>
      <c r="D193" s="56"/>
      <c r="E193" s="56"/>
      <c r="F193" s="56"/>
      <c r="G193" s="55"/>
      <c r="H193" s="56"/>
      <c r="I193" s="56"/>
      <c r="J193" s="56"/>
      <c r="K193" s="56"/>
      <c r="L193" s="56"/>
      <c r="M193" s="52"/>
      <c r="N193" s="53"/>
      <c r="O193" s="62" t="str">
        <f aca="false">IF($B193="","",TEXT($A193,"YYYY-MM")&amp;"|"&amp;$B193)</f>
        <v/>
      </c>
    </row>
    <row r="194" customFormat="false" ht="15" hidden="false" customHeight="false" outlineLevel="0" collapsed="false">
      <c r="A194" s="63"/>
      <c r="B194" s="46"/>
      <c r="C194" s="50"/>
      <c r="D194" s="50"/>
      <c r="E194" s="50"/>
      <c r="F194" s="50"/>
      <c r="G194" s="49"/>
      <c r="H194" s="50"/>
      <c r="I194" s="50"/>
      <c r="J194" s="50"/>
      <c r="K194" s="50"/>
      <c r="L194" s="50"/>
      <c r="M194" s="46"/>
      <c r="N194" s="47"/>
      <c r="O194" s="62" t="str">
        <f aca="false">IF($B194="","",TEXT($A194,"YYYY-MM")&amp;"|"&amp;$B194)</f>
        <v/>
      </c>
    </row>
    <row r="195" customFormat="false" ht="15" hidden="false" customHeight="false" outlineLevel="0" collapsed="false">
      <c r="A195" s="64"/>
      <c r="B195" s="52"/>
      <c r="C195" s="56"/>
      <c r="D195" s="56"/>
      <c r="E195" s="56"/>
      <c r="F195" s="56"/>
      <c r="G195" s="55"/>
      <c r="H195" s="56"/>
      <c r="I195" s="56"/>
      <c r="J195" s="56"/>
      <c r="K195" s="56"/>
      <c r="L195" s="56"/>
      <c r="M195" s="52"/>
      <c r="N195" s="53"/>
      <c r="O195" s="62" t="str">
        <f aca="false">IF($B195="","",TEXT($A195,"YYYY-MM")&amp;"|"&amp;$B195)</f>
        <v/>
      </c>
    </row>
    <row r="196" customFormat="false" ht="15" hidden="false" customHeight="false" outlineLevel="0" collapsed="false">
      <c r="A196" s="63"/>
      <c r="B196" s="46"/>
      <c r="C196" s="50"/>
      <c r="D196" s="50"/>
      <c r="E196" s="50"/>
      <c r="F196" s="50"/>
      <c r="G196" s="49"/>
      <c r="H196" s="50"/>
      <c r="I196" s="50"/>
      <c r="J196" s="50"/>
      <c r="K196" s="50"/>
      <c r="L196" s="50"/>
      <c r="M196" s="46"/>
      <c r="N196" s="47"/>
      <c r="O196" s="62" t="str">
        <f aca="false">IF($B196="","",TEXT($A196,"YYYY-MM")&amp;"|"&amp;$B196)</f>
        <v/>
      </c>
    </row>
    <row r="197" customFormat="false" ht="15" hidden="false" customHeight="false" outlineLevel="0" collapsed="false">
      <c r="A197" s="64"/>
      <c r="B197" s="52"/>
      <c r="C197" s="56"/>
      <c r="D197" s="56"/>
      <c r="E197" s="56"/>
      <c r="F197" s="56"/>
      <c r="G197" s="55"/>
      <c r="H197" s="56"/>
      <c r="I197" s="56"/>
      <c r="J197" s="56"/>
      <c r="K197" s="56"/>
      <c r="L197" s="56"/>
      <c r="M197" s="52"/>
      <c r="N197" s="53"/>
      <c r="O197" s="62" t="str">
        <f aca="false">IF($B197="","",TEXT($A197,"YYYY-MM")&amp;"|"&amp;$B197)</f>
        <v/>
      </c>
    </row>
    <row r="198" customFormat="false" ht="15" hidden="false" customHeight="false" outlineLevel="0" collapsed="false">
      <c r="A198" s="63"/>
      <c r="B198" s="46"/>
      <c r="C198" s="50"/>
      <c r="D198" s="50"/>
      <c r="E198" s="50"/>
      <c r="F198" s="50"/>
      <c r="G198" s="49"/>
      <c r="H198" s="50"/>
      <c r="I198" s="50"/>
      <c r="J198" s="50"/>
      <c r="K198" s="50"/>
      <c r="L198" s="50"/>
      <c r="M198" s="46"/>
      <c r="N198" s="47"/>
      <c r="O198" s="62" t="str">
        <f aca="false">IF($B198="","",TEXT($A198,"YYYY-MM")&amp;"|"&amp;$B198)</f>
        <v/>
      </c>
    </row>
    <row r="199" customFormat="false" ht="15" hidden="false" customHeight="false" outlineLevel="0" collapsed="false">
      <c r="A199" s="64"/>
      <c r="B199" s="52"/>
      <c r="C199" s="56"/>
      <c r="D199" s="56"/>
      <c r="E199" s="56"/>
      <c r="F199" s="56"/>
      <c r="G199" s="55"/>
      <c r="H199" s="56"/>
      <c r="I199" s="56"/>
      <c r="J199" s="56"/>
      <c r="K199" s="56"/>
      <c r="L199" s="56"/>
      <c r="M199" s="52"/>
      <c r="N199" s="53"/>
      <c r="O199" s="62" t="str">
        <f aca="false">IF($B199="","",TEXT($A199,"YYYY-MM")&amp;"|"&amp;$B199)</f>
        <v/>
      </c>
    </row>
    <row r="200" customFormat="false" ht="15" hidden="false" customHeight="false" outlineLevel="0" collapsed="false">
      <c r="A200" s="63"/>
      <c r="B200" s="46"/>
      <c r="C200" s="50"/>
      <c r="D200" s="50"/>
      <c r="E200" s="50"/>
      <c r="F200" s="50"/>
      <c r="G200" s="49"/>
      <c r="H200" s="50"/>
      <c r="I200" s="50"/>
      <c r="J200" s="50"/>
      <c r="K200" s="50"/>
      <c r="L200" s="50"/>
      <c r="M200" s="46"/>
      <c r="N200" s="47"/>
      <c r="O200" s="62" t="str">
        <f aca="false">IF($B200="","",TEXT($A200,"YYYY-MM")&amp;"|"&amp;$B200)</f>
        <v/>
      </c>
    </row>
    <row r="201" customFormat="false" ht="15" hidden="false" customHeight="false" outlineLevel="0" collapsed="false">
      <c r="A201" s="64"/>
      <c r="B201" s="52"/>
      <c r="C201" s="56"/>
      <c r="D201" s="56"/>
      <c r="E201" s="56"/>
      <c r="F201" s="56"/>
      <c r="G201" s="55"/>
      <c r="H201" s="56"/>
      <c r="I201" s="56"/>
      <c r="J201" s="56"/>
      <c r="K201" s="56"/>
      <c r="L201" s="56"/>
      <c r="M201" s="52"/>
      <c r="N201" s="53"/>
      <c r="O201" s="62" t="str">
        <f aca="false">IF($B201="","",TEXT($A201,"YYYY-MM")&amp;"|"&amp;$B201)</f>
        <v/>
      </c>
    </row>
    <row r="202" customFormat="false" ht="15" hidden="false" customHeight="false" outlineLevel="0" collapsed="false">
      <c r="A202" s="63"/>
      <c r="B202" s="46"/>
      <c r="C202" s="50"/>
      <c r="D202" s="50"/>
      <c r="E202" s="50"/>
      <c r="F202" s="50"/>
      <c r="G202" s="49"/>
      <c r="H202" s="50"/>
      <c r="I202" s="50"/>
      <c r="J202" s="50"/>
      <c r="K202" s="50"/>
      <c r="L202" s="50"/>
      <c r="M202" s="46"/>
      <c r="N202" s="47"/>
      <c r="O202" s="62" t="str">
        <f aca="false">IF($B202="","",TEXT($A202,"YYYY-MM")&amp;"|"&amp;$B202)</f>
        <v/>
      </c>
    </row>
    <row r="203" customFormat="false" ht="15" hidden="false" customHeight="false" outlineLevel="0" collapsed="false">
      <c r="A203" s="64"/>
      <c r="B203" s="52"/>
      <c r="C203" s="56"/>
      <c r="D203" s="56"/>
      <c r="E203" s="56"/>
      <c r="F203" s="56"/>
      <c r="G203" s="55"/>
      <c r="H203" s="56"/>
      <c r="I203" s="56"/>
      <c r="J203" s="56"/>
      <c r="K203" s="56"/>
      <c r="L203" s="56"/>
      <c r="M203" s="52"/>
      <c r="N203" s="53"/>
      <c r="O203" s="62" t="str">
        <f aca="false">IF($B203="","",TEXT($A203,"YYYY-MM")&amp;"|"&amp;$B203)</f>
        <v/>
      </c>
    </row>
    <row r="204" customFormat="false" ht="15" hidden="false" customHeight="false" outlineLevel="0" collapsed="false">
      <c r="A204" s="63"/>
      <c r="B204" s="46"/>
      <c r="C204" s="50"/>
      <c r="D204" s="50"/>
      <c r="E204" s="50"/>
      <c r="F204" s="50"/>
      <c r="G204" s="49"/>
      <c r="H204" s="50"/>
      <c r="I204" s="50"/>
      <c r="J204" s="50"/>
      <c r="K204" s="50"/>
      <c r="L204" s="50"/>
      <c r="M204" s="46"/>
      <c r="N204" s="47"/>
      <c r="O204" s="62" t="str">
        <f aca="false">IF($B204="","",TEXT($A204,"YYYY-MM")&amp;"|"&amp;$B204)</f>
        <v/>
      </c>
    </row>
    <row r="205" customFormat="false" ht="15" hidden="false" customHeight="false" outlineLevel="0" collapsed="false">
      <c r="A205" s="64"/>
      <c r="B205" s="52"/>
      <c r="C205" s="56"/>
      <c r="D205" s="56"/>
      <c r="E205" s="56"/>
      <c r="F205" s="56"/>
      <c r="G205" s="55"/>
      <c r="H205" s="56"/>
      <c r="I205" s="56"/>
      <c r="J205" s="56"/>
      <c r="K205" s="56"/>
      <c r="L205" s="56"/>
      <c r="M205" s="52"/>
      <c r="N205" s="53"/>
      <c r="O205" s="62" t="str">
        <f aca="false">IF($B205="","",TEXT($A205,"YYYY-MM")&amp;"|"&amp;$B205)</f>
        <v/>
      </c>
    </row>
    <row r="206" customFormat="false" ht="15" hidden="false" customHeight="false" outlineLevel="0" collapsed="false">
      <c r="A206" s="63"/>
      <c r="B206" s="46"/>
      <c r="C206" s="50"/>
      <c r="D206" s="50"/>
      <c r="E206" s="50"/>
      <c r="F206" s="50"/>
      <c r="G206" s="49"/>
      <c r="H206" s="50"/>
      <c r="I206" s="50"/>
      <c r="J206" s="50"/>
      <c r="K206" s="50"/>
      <c r="L206" s="50"/>
      <c r="M206" s="46"/>
      <c r="N206" s="47"/>
      <c r="O206" s="62" t="str">
        <f aca="false">IF($B206="","",TEXT($A206,"YYYY-MM")&amp;"|"&amp;$B206)</f>
        <v/>
      </c>
    </row>
    <row r="207" customFormat="false" ht="15" hidden="false" customHeight="false" outlineLevel="0" collapsed="false">
      <c r="A207" s="64"/>
      <c r="B207" s="52"/>
      <c r="C207" s="56"/>
      <c r="D207" s="56"/>
      <c r="E207" s="56"/>
      <c r="F207" s="56"/>
      <c r="G207" s="55"/>
      <c r="H207" s="56"/>
      <c r="I207" s="56"/>
      <c r="J207" s="56"/>
      <c r="K207" s="56"/>
      <c r="L207" s="56"/>
      <c r="M207" s="52"/>
      <c r="N207" s="53"/>
      <c r="O207" s="62" t="str">
        <f aca="false">IF($B207="","",TEXT($A207,"YYYY-MM")&amp;"|"&amp;$B207)</f>
        <v/>
      </c>
    </row>
    <row r="208" customFormat="false" ht="15" hidden="false" customHeight="false" outlineLevel="0" collapsed="false">
      <c r="A208" s="63"/>
      <c r="B208" s="46"/>
      <c r="C208" s="50"/>
      <c r="D208" s="50"/>
      <c r="E208" s="50"/>
      <c r="F208" s="50"/>
      <c r="G208" s="49"/>
      <c r="H208" s="50"/>
      <c r="I208" s="50"/>
      <c r="J208" s="50"/>
      <c r="K208" s="50"/>
      <c r="L208" s="50"/>
      <c r="M208" s="46"/>
      <c r="N208" s="47"/>
      <c r="O208" s="62" t="str">
        <f aca="false">IF($B208="","",TEXT($A208,"YYYY-MM")&amp;"|"&amp;$B208)</f>
        <v/>
      </c>
    </row>
    <row r="209" customFormat="false" ht="15" hidden="false" customHeight="false" outlineLevel="0" collapsed="false">
      <c r="A209" s="64"/>
      <c r="B209" s="52"/>
      <c r="C209" s="56"/>
      <c r="D209" s="56"/>
      <c r="E209" s="56"/>
      <c r="F209" s="56"/>
      <c r="G209" s="55"/>
      <c r="H209" s="56"/>
      <c r="I209" s="56"/>
      <c r="J209" s="56"/>
      <c r="K209" s="56"/>
      <c r="L209" s="56"/>
      <c r="M209" s="52"/>
      <c r="N209" s="53"/>
      <c r="O209" s="62" t="str">
        <f aca="false">IF($B209="","",TEXT($A209,"YYYY-MM")&amp;"|"&amp;$B209)</f>
        <v/>
      </c>
    </row>
    <row r="210" customFormat="false" ht="15" hidden="false" customHeight="false" outlineLevel="0" collapsed="false">
      <c r="A210" s="63"/>
      <c r="B210" s="46"/>
      <c r="C210" s="50"/>
      <c r="D210" s="50"/>
      <c r="E210" s="50"/>
      <c r="F210" s="50"/>
      <c r="G210" s="49"/>
      <c r="H210" s="50"/>
      <c r="I210" s="50"/>
      <c r="J210" s="50"/>
      <c r="K210" s="50"/>
      <c r="L210" s="50"/>
      <c r="M210" s="46"/>
      <c r="N210" s="47"/>
      <c r="O210" s="62" t="str">
        <f aca="false">IF($B210="","",TEXT($A210,"YYYY-MM")&amp;"|"&amp;$B210)</f>
        <v/>
      </c>
    </row>
    <row r="211" customFormat="false" ht="15" hidden="false" customHeight="false" outlineLevel="0" collapsed="false">
      <c r="A211" s="64"/>
      <c r="B211" s="52"/>
      <c r="C211" s="56"/>
      <c r="D211" s="56"/>
      <c r="E211" s="56"/>
      <c r="F211" s="56"/>
      <c r="G211" s="55"/>
      <c r="H211" s="56"/>
      <c r="I211" s="56"/>
      <c r="J211" s="56"/>
      <c r="K211" s="56"/>
      <c r="L211" s="56"/>
      <c r="M211" s="52"/>
      <c r="N211" s="53"/>
      <c r="O211" s="62" t="str">
        <f aca="false">IF($B211="","",TEXT($A211,"YYYY-MM")&amp;"|"&amp;$B211)</f>
        <v/>
      </c>
    </row>
    <row r="212" customFormat="false" ht="15" hidden="false" customHeight="false" outlineLevel="0" collapsed="false">
      <c r="A212" s="63"/>
      <c r="B212" s="46"/>
      <c r="C212" s="50"/>
      <c r="D212" s="50"/>
      <c r="E212" s="50"/>
      <c r="F212" s="50"/>
      <c r="G212" s="49"/>
      <c r="H212" s="50"/>
      <c r="I212" s="50"/>
      <c r="J212" s="50"/>
      <c r="K212" s="50"/>
      <c r="L212" s="50"/>
      <c r="M212" s="46"/>
      <c r="N212" s="47"/>
      <c r="O212" s="62" t="str">
        <f aca="false">IF($B212="","",TEXT($A212,"YYYY-MM")&amp;"|"&amp;$B212)</f>
        <v/>
      </c>
    </row>
    <row r="213" customFormat="false" ht="15" hidden="false" customHeight="false" outlineLevel="0" collapsed="false">
      <c r="A213" s="64"/>
      <c r="B213" s="52"/>
      <c r="C213" s="56"/>
      <c r="D213" s="56"/>
      <c r="E213" s="56"/>
      <c r="F213" s="56"/>
      <c r="G213" s="55"/>
      <c r="H213" s="56"/>
      <c r="I213" s="56"/>
      <c r="J213" s="56"/>
      <c r="K213" s="56"/>
      <c r="L213" s="56"/>
      <c r="M213" s="52"/>
      <c r="N213" s="53"/>
      <c r="O213" s="62" t="str">
        <f aca="false">IF($B213="","",TEXT($A213,"YYYY-MM")&amp;"|"&amp;$B213)</f>
        <v/>
      </c>
    </row>
    <row r="214" customFormat="false" ht="15" hidden="false" customHeight="false" outlineLevel="0" collapsed="false">
      <c r="A214" s="63"/>
      <c r="B214" s="46"/>
      <c r="C214" s="50"/>
      <c r="D214" s="50"/>
      <c r="E214" s="50"/>
      <c r="F214" s="50"/>
      <c r="G214" s="49"/>
      <c r="H214" s="50"/>
      <c r="I214" s="50"/>
      <c r="J214" s="50"/>
      <c r="K214" s="50"/>
      <c r="L214" s="50"/>
      <c r="M214" s="46"/>
      <c r="N214" s="47"/>
      <c r="O214" s="62" t="str">
        <f aca="false">IF($B214="","",TEXT($A214,"YYYY-MM")&amp;"|"&amp;$B214)</f>
        <v/>
      </c>
    </row>
    <row r="215" customFormat="false" ht="15" hidden="false" customHeight="false" outlineLevel="0" collapsed="false">
      <c r="A215" s="64"/>
      <c r="B215" s="52"/>
      <c r="C215" s="56"/>
      <c r="D215" s="56"/>
      <c r="E215" s="56"/>
      <c r="F215" s="56"/>
      <c r="G215" s="55"/>
      <c r="H215" s="56"/>
      <c r="I215" s="56"/>
      <c r="J215" s="56"/>
      <c r="K215" s="56"/>
      <c r="L215" s="56"/>
      <c r="M215" s="52"/>
      <c r="N215" s="53"/>
      <c r="O215" s="62" t="str">
        <f aca="false">IF($B215="","",TEXT($A215,"YYYY-MM")&amp;"|"&amp;$B215)</f>
        <v/>
      </c>
    </row>
    <row r="216" customFormat="false" ht="15" hidden="false" customHeight="false" outlineLevel="0" collapsed="false">
      <c r="A216" s="63"/>
      <c r="B216" s="46"/>
      <c r="C216" s="50"/>
      <c r="D216" s="50"/>
      <c r="E216" s="50"/>
      <c r="F216" s="50"/>
      <c r="G216" s="49"/>
      <c r="H216" s="50"/>
      <c r="I216" s="50"/>
      <c r="J216" s="50"/>
      <c r="K216" s="50"/>
      <c r="L216" s="50"/>
      <c r="M216" s="46"/>
      <c r="N216" s="47"/>
      <c r="O216" s="62" t="str">
        <f aca="false">IF($B216="","",TEXT($A216,"YYYY-MM")&amp;"|"&amp;$B216)</f>
        <v/>
      </c>
    </row>
    <row r="217" customFormat="false" ht="15" hidden="false" customHeight="false" outlineLevel="0" collapsed="false">
      <c r="A217" s="64"/>
      <c r="B217" s="52"/>
      <c r="C217" s="56"/>
      <c r="D217" s="56"/>
      <c r="E217" s="56"/>
      <c r="F217" s="56"/>
      <c r="G217" s="55"/>
      <c r="H217" s="56"/>
      <c r="I217" s="56"/>
      <c r="J217" s="56"/>
      <c r="K217" s="56"/>
      <c r="L217" s="56"/>
      <c r="M217" s="52"/>
      <c r="N217" s="53"/>
      <c r="O217" s="62" t="str">
        <f aca="false">IF($B217="","",TEXT($A217,"YYYY-MM")&amp;"|"&amp;$B217)</f>
        <v/>
      </c>
    </row>
    <row r="218" customFormat="false" ht="15" hidden="false" customHeight="false" outlineLevel="0" collapsed="false">
      <c r="A218" s="63"/>
      <c r="B218" s="46"/>
      <c r="C218" s="50"/>
      <c r="D218" s="50"/>
      <c r="E218" s="50"/>
      <c r="F218" s="50"/>
      <c r="G218" s="49"/>
      <c r="H218" s="50"/>
      <c r="I218" s="50"/>
      <c r="J218" s="50"/>
      <c r="K218" s="50"/>
      <c r="L218" s="50"/>
      <c r="M218" s="46"/>
      <c r="N218" s="47"/>
      <c r="O218" s="62" t="str">
        <f aca="false">IF($B218="","",TEXT($A218,"YYYY-MM")&amp;"|"&amp;$B218)</f>
        <v/>
      </c>
    </row>
    <row r="219" customFormat="false" ht="15" hidden="false" customHeight="false" outlineLevel="0" collapsed="false">
      <c r="A219" s="64"/>
      <c r="B219" s="52"/>
      <c r="C219" s="56"/>
      <c r="D219" s="56"/>
      <c r="E219" s="56"/>
      <c r="F219" s="56"/>
      <c r="G219" s="55"/>
      <c r="H219" s="56"/>
      <c r="I219" s="56"/>
      <c r="J219" s="56"/>
      <c r="K219" s="56"/>
      <c r="L219" s="56"/>
      <c r="M219" s="52"/>
      <c r="N219" s="53"/>
      <c r="O219" s="62" t="str">
        <f aca="false">IF($B219="","",TEXT($A219,"YYYY-MM")&amp;"|"&amp;$B219)</f>
        <v/>
      </c>
    </row>
    <row r="220" customFormat="false" ht="15" hidden="false" customHeight="false" outlineLevel="0" collapsed="false">
      <c r="A220" s="63"/>
      <c r="B220" s="46"/>
      <c r="C220" s="50"/>
      <c r="D220" s="50"/>
      <c r="E220" s="50"/>
      <c r="F220" s="50"/>
      <c r="G220" s="49"/>
      <c r="H220" s="50"/>
      <c r="I220" s="50"/>
      <c r="J220" s="50"/>
      <c r="K220" s="50"/>
      <c r="L220" s="50"/>
      <c r="M220" s="46"/>
      <c r="N220" s="47"/>
      <c r="O220" s="62" t="str">
        <f aca="false">IF($B220="","",TEXT($A220,"YYYY-MM")&amp;"|"&amp;$B220)</f>
        <v/>
      </c>
    </row>
    <row r="221" customFormat="false" ht="15" hidden="false" customHeight="false" outlineLevel="0" collapsed="false">
      <c r="A221" s="64"/>
      <c r="B221" s="52"/>
      <c r="C221" s="56"/>
      <c r="D221" s="56"/>
      <c r="E221" s="56"/>
      <c r="F221" s="56"/>
      <c r="G221" s="55"/>
      <c r="H221" s="56"/>
      <c r="I221" s="56"/>
      <c r="J221" s="56"/>
      <c r="K221" s="56"/>
      <c r="L221" s="56"/>
      <c r="M221" s="52"/>
      <c r="N221" s="53"/>
      <c r="O221" s="62" t="str">
        <f aca="false">IF($B221="","",TEXT($A221,"YYYY-MM")&amp;"|"&amp;$B221)</f>
        <v/>
      </c>
    </row>
    <row r="222" customFormat="false" ht="15" hidden="false" customHeight="false" outlineLevel="0" collapsed="false">
      <c r="A222" s="63"/>
      <c r="B222" s="46"/>
      <c r="C222" s="50"/>
      <c r="D222" s="50"/>
      <c r="E222" s="50"/>
      <c r="F222" s="50"/>
      <c r="G222" s="49"/>
      <c r="H222" s="50"/>
      <c r="I222" s="50"/>
      <c r="J222" s="50"/>
      <c r="K222" s="50"/>
      <c r="L222" s="50"/>
      <c r="M222" s="46"/>
      <c r="N222" s="47"/>
      <c r="O222" s="62" t="str">
        <f aca="false">IF($B222="","",TEXT($A222,"YYYY-MM")&amp;"|"&amp;$B222)</f>
        <v/>
      </c>
    </row>
    <row r="223" customFormat="false" ht="15" hidden="false" customHeight="false" outlineLevel="0" collapsed="false">
      <c r="A223" s="64"/>
      <c r="B223" s="52"/>
      <c r="C223" s="56"/>
      <c r="D223" s="56"/>
      <c r="E223" s="56"/>
      <c r="F223" s="56"/>
      <c r="G223" s="55"/>
      <c r="H223" s="56"/>
      <c r="I223" s="56"/>
      <c r="J223" s="56"/>
      <c r="K223" s="56"/>
      <c r="L223" s="56"/>
      <c r="M223" s="52"/>
      <c r="N223" s="53"/>
      <c r="O223" s="62" t="str">
        <f aca="false">IF($B223="","",TEXT($A223,"YYYY-MM")&amp;"|"&amp;$B223)</f>
        <v/>
      </c>
    </row>
    <row r="224" customFormat="false" ht="15" hidden="false" customHeight="false" outlineLevel="0" collapsed="false">
      <c r="A224" s="63"/>
      <c r="B224" s="46"/>
      <c r="C224" s="50"/>
      <c r="D224" s="50"/>
      <c r="E224" s="50"/>
      <c r="F224" s="50"/>
      <c r="G224" s="49"/>
      <c r="H224" s="50"/>
      <c r="I224" s="50"/>
      <c r="J224" s="50"/>
      <c r="K224" s="50"/>
      <c r="L224" s="50"/>
      <c r="M224" s="46"/>
      <c r="N224" s="47"/>
      <c r="O224" s="62" t="str">
        <f aca="false">IF($B224="","",TEXT($A224,"YYYY-MM")&amp;"|"&amp;$B224)</f>
        <v/>
      </c>
    </row>
    <row r="225" customFormat="false" ht="15" hidden="false" customHeight="false" outlineLevel="0" collapsed="false">
      <c r="A225" s="64"/>
      <c r="B225" s="52"/>
      <c r="C225" s="56"/>
      <c r="D225" s="56"/>
      <c r="E225" s="56"/>
      <c r="F225" s="56"/>
      <c r="G225" s="55"/>
      <c r="H225" s="56"/>
      <c r="I225" s="56"/>
      <c r="J225" s="56"/>
      <c r="K225" s="56"/>
      <c r="L225" s="56"/>
      <c r="M225" s="52"/>
      <c r="N225" s="53"/>
      <c r="O225" s="62" t="str">
        <f aca="false">IF($B225="","",TEXT($A225,"YYYY-MM")&amp;"|"&amp;$B225)</f>
        <v/>
      </c>
    </row>
    <row r="226" customFormat="false" ht="15" hidden="false" customHeight="false" outlineLevel="0" collapsed="false">
      <c r="A226" s="63"/>
      <c r="B226" s="46"/>
      <c r="C226" s="50"/>
      <c r="D226" s="50"/>
      <c r="E226" s="50"/>
      <c r="F226" s="50"/>
      <c r="G226" s="49"/>
      <c r="H226" s="50"/>
      <c r="I226" s="50"/>
      <c r="J226" s="50"/>
      <c r="K226" s="50"/>
      <c r="L226" s="50"/>
      <c r="M226" s="46"/>
      <c r="N226" s="47"/>
      <c r="O226" s="62" t="str">
        <f aca="false">IF($B226="","",TEXT($A226,"YYYY-MM")&amp;"|"&amp;$B226)</f>
        <v/>
      </c>
    </row>
    <row r="227" customFormat="false" ht="15" hidden="false" customHeight="false" outlineLevel="0" collapsed="false">
      <c r="A227" s="64"/>
      <c r="B227" s="52"/>
      <c r="C227" s="56"/>
      <c r="D227" s="56"/>
      <c r="E227" s="56"/>
      <c r="F227" s="56"/>
      <c r="G227" s="55"/>
      <c r="H227" s="56"/>
      <c r="I227" s="56"/>
      <c r="J227" s="56"/>
      <c r="K227" s="56"/>
      <c r="L227" s="56"/>
      <c r="M227" s="52"/>
      <c r="N227" s="53"/>
      <c r="O227" s="62" t="str">
        <f aca="false">IF($B227="","",TEXT($A227,"YYYY-MM")&amp;"|"&amp;$B227)</f>
        <v/>
      </c>
    </row>
    <row r="228" customFormat="false" ht="15" hidden="false" customHeight="false" outlineLevel="0" collapsed="false">
      <c r="A228" s="63"/>
      <c r="B228" s="46"/>
      <c r="C228" s="50"/>
      <c r="D228" s="50"/>
      <c r="E228" s="50"/>
      <c r="F228" s="50"/>
      <c r="G228" s="49"/>
      <c r="H228" s="50"/>
      <c r="I228" s="50"/>
      <c r="J228" s="50"/>
      <c r="K228" s="50"/>
      <c r="L228" s="50"/>
      <c r="M228" s="46"/>
      <c r="N228" s="47"/>
      <c r="O228" s="62" t="str">
        <f aca="false">IF($B228="","",TEXT($A228,"YYYY-MM")&amp;"|"&amp;$B228)</f>
        <v/>
      </c>
    </row>
    <row r="229" customFormat="false" ht="15" hidden="false" customHeight="false" outlineLevel="0" collapsed="false">
      <c r="A229" s="64"/>
      <c r="B229" s="52"/>
      <c r="C229" s="56"/>
      <c r="D229" s="56"/>
      <c r="E229" s="56"/>
      <c r="F229" s="56"/>
      <c r="G229" s="55"/>
      <c r="H229" s="56"/>
      <c r="I229" s="56"/>
      <c r="J229" s="56"/>
      <c r="K229" s="56"/>
      <c r="L229" s="56"/>
      <c r="M229" s="52"/>
      <c r="N229" s="53"/>
      <c r="O229" s="62" t="str">
        <f aca="false">IF($B229="","",TEXT($A229,"YYYY-MM")&amp;"|"&amp;$B229)</f>
        <v/>
      </c>
    </row>
    <row r="230" customFormat="false" ht="15" hidden="false" customHeight="false" outlineLevel="0" collapsed="false">
      <c r="A230" s="63"/>
      <c r="B230" s="46"/>
      <c r="C230" s="50"/>
      <c r="D230" s="50"/>
      <c r="E230" s="50"/>
      <c r="F230" s="50"/>
      <c r="G230" s="49"/>
      <c r="H230" s="50"/>
      <c r="I230" s="50"/>
      <c r="J230" s="50"/>
      <c r="K230" s="50"/>
      <c r="L230" s="50"/>
      <c r="M230" s="46"/>
      <c r="N230" s="47"/>
      <c r="O230" s="62" t="str">
        <f aca="false">IF($B230="","",TEXT($A230,"YYYY-MM")&amp;"|"&amp;$B230)</f>
        <v/>
      </c>
    </row>
    <row r="231" customFormat="false" ht="15" hidden="false" customHeight="false" outlineLevel="0" collapsed="false">
      <c r="A231" s="64"/>
      <c r="B231" s="52"/>
      <c r="C231" s="56"/>
      <c r="D231" s="56"/>
      <c r="E231" s="56"/>
      <c r="F231" s="56"/>
      <c r="G231" s="55"/>
      <c r="H231" s="56"/>
      <c r="I231" s="56"/>
      <c r="J231" s="56"/>
      <c r="K231" s="56"/>
      <c r="L231" s="56"/>
      <c r="M231" s="52"/>
      <c r="N231" s="53"/>
      <c r="O231" s="62" t="str">
        <f aca="false">IF($B231="","",TEXT($A231,"YYYY-MM")&amp;"|"&amp;$B231)</f>
        <v/>
      </c>
    </row>
    <row r="232" customFormat="false" ht="15" hidden="false" customHeight="false" outlineLevel="0" collapsed="false">
      <c r="A232" s="63"/>
      <c r="B232" s="46"/>
      <c r="C232" s="50"/>
      <c r="D232" s="50"/>
      <c r="E232" s="50"/>
      <c r="F232" s="50"/>
      <c r="G232" s="49"/>
      <c r="H232" s="50"/>
      <c r="I232" s="50"/>
      <c r="J232" s="50"/>
      <c r="K232" s="50"/>
      <c r="L232" s="50"/>
      <c r="M232" s="46"/>
      <c r="N232" s="47"/>
      <c r="O232" s="62" t="str">
        <f aca="false">IF($B232="","",TEXT($A232,"YYYY-MM")&amp;"|"&amp;$B232)</f>
        <v/>
      </c>
    </row>
    <row r="233" customFormat="false" ht="15" hidden="false" customHeight="false" outlineLevel="0" collapsed="false">
      <c r="A233" s="64"/>
      <c r="B233" s="52"/>
      <c r="C233" s="56"/>
      <c r="D233" s="56"/>
      <c r="E233" s="56"/>
      <c r="F233" s="56"/>
      <c r="G233" s="55"/>
      <c r="H233" s="56"/>
      <c r="I233" s="56"/>
      <c r="J233" s="56"/>
      <c r="K233" s="56"/>
      <c r="L233" s="56"/>
      <c r="M233" s="52"/>
      <c r="N233" s="53"/>
      <c r="O233" s="62" t="str">
        <f aca="false">IF($B233="","",TEXT($A233,"YYYY-MM")&amp;"|"&amp;$B233)</f>
        <v/>
      </c>
    </row>
    <row r="234" customFormat="false" ht="15" hidden="false" customHeight="false" outlineLevel="0" collapsed="false">
      <c r="A234" s="63"/>
      <c r="B234" s="46"/>
      <c r="C234" s="50"/>
      <c r="D234" s="50"/>
      <c r="E234" s="50"/>
      <c r="F234" s="50"/>
      <c r="G234" s="49"/>
      <c r="H234" s="50"/>
      <c r="I234" s="50"/>
      <c r="J234" s="50"/>
      <c r="K234" s="50"/>
      <c r="L234" s="50"/>
      <c r="M234" s="46"/>
      <c r="N234" s="47"/>
      <c r="O234" s="62" t="str">
        <f aca="false">IF($B234="","",TEXT($A234,"YYYY-MM")&amp;"|"&amp;$B234)</f>
        <v/>
      </c>
    </row>
    <row r="235" customFormat="false" ht="15" hidden="false" customHeight="false" outlineLevel="0" collapsed="false">
      <c r="A235" s="64"/>
      <c r="B235" s="52"/>
      <c r="C235" s="56"/>
      <c r="D235" s="56"/>
      <c r="E235" s="56"/>
      <c r="F235" s="56"/>
      <c r="G235" s="55"/>
      <c r="H235" s="56"/>
      <c r="I235" s="56"/>
      <c r="J235" s="56"/>
      <c r="K235" s="56"/>
      <c r="L235" s="56"/>
      <c r="M235" s="52"/>
      <c r="N235" s="53"/>
      <c r="O235" s="62" t="str">
        <f aca="false">IF($B235="","",TEXT($A235,"YYYY-MM")&amp;"|"&amp;$B235)</f>
        <v/>
      </c>
    </row>
    <row r="236" customFormat="false" ht="15" hidden="false" customHeight="false" outlineLevel="0" collapsed="false">
      <c r="A236" s="63"/>
      <c r="B236" s="46"/>
      <c r="C236" s="50"/>
      <c r="D236" s="50"/>
      <c r="E236" s="50"/>
      <c r="F236" s="50"/>
      <c r="G236" s="49"/>
      <c r="H236" s="50"/>
      <c r="I236" s="50"/>
      <c r="J236" s="50"/>
      <c r="K236" s="50"/>
      <c r="L236" s="50"/>
      <c r="M236" s="46"/>
      <c r="N236" s="47"/>
      <c r="O236" s="62" t="str">
        <f aca="false">IF($B236="","",TEXT($A236,"YYYY-MM")&amp;"|"&amp;$B236)</f>
        <v/>
      </c>
    </row>
    <row r="237" customFormat="false" ht="15" hidden="false" customHeight="false" outlineLevel="0" collapsed="false">
      <c r="A237" s="64"/>
      <c r="B237" s="52"/>
      <c r="C237" s="56"/>
      <c r="D237" s="56"/>
      <c r="E237" s="56"/>
      <c r="F237" s="56"/>
      <c r="G237" s="55"/>
      <c r="H237" s="56"/>
      <c r="I237" s="56"/>
      <c r="J237" s="56"/>
      <c r="K237" s="56"/>
      <c r="L237" s="56"/>
      <c r="M237" s="52"/>
      <c r="N237" s="53"/>
      <c r="O237" s="62" t="str">
        <f aca="false">IF($B237="","",TEXT($A237,"YYYY-MM")&amp;"|"&amp;$B237)</f>
        <v/>
      </c>
    </row>
    <row r="238" customFormat="false" ht="15" hidden="false" customHeight="false" outlineLevel="0" collapsed="false">
      <c r="A238" s="63"/>
      <c r="B238" s="46"/>
      <c r="C238" s="50"/>
      <c r="D238" s="50"/>
      <c r="E238" s="50"/>
      <c r="F238" s="50"/>
      <c r="G238" s="49"/>
      <c r="H238" s="50"/>
      <c r="I238" s="50"/>
      <c r="J238" s="50"/>
      <c r="K238" s="50"/>
      <c r="L238" s="50"/>
      <c r="M238" s="46"/>
      <c r="N238" s="47"/>
      <c r="O238" s="62" t="str">
        <f aca="false">IF($B238="","",TEXT($A238,"YYYY-MM")&amp;"|"&amp;$B238)</f>
        <v/>
      </c>
    </row>
    <row r="239" customFormat="false" ht="15" hidden="false" customHeight="false" outlineLevel="0" collapsed="false">
      <c r="A239" s="64"/>
      <c r="B239" s="52"/>
      <c r="C239" s="56"/>
      <c r="D239" s="56"/>
      <c r="E239" s="56"/>
      <c r="F239" s="56"/>
      <c r="G239" s="55"/>
      <c r="H239" s="56"/>
      <c r="I239" s="56"/>
      <c r="J239" s="56"/>
      <c r="K239" s="56"/>
      <c r="L239" s="56"/>
      <c r="M239" s="52"/>
      <c r="N239" s="53"/>
      <c r="O239" s="62" t="str">
        <f aca="false">IF($B239="","",TEXT($A239,"YYYY-MM")&amp;"|"&amp;$B239)</f>
        <v/>
      </c>
    </row>
    <row r="240" customFormat="false" ht="15" hidden="false" customHeight="false" outlineLevel="0" collapsed="false">
      <c r="A240" s="63"/>
      <c r="B240" s="46"/>
      <c r="C240" s="50"/>
      <c r="D240" s="50"/>
      <c r="E240" s="50"/>
      <c r="F240" s="50"/>
      <c r="G240" s="49"/>
      <c r="H240" s="50"/>
      <c r="I240" s="50"/>
      <c r="J240" s="50"/>
      <c r="K240" s="50"/>
      <c r="L240" s="50"/>
      <c r="M240" s="46"/>
      <c r="N240" s="47"/>
      <c r="O240" s="62" t="str">
        <f aca="false">IF($B240="","",TEXT($A240,"YYYY-MM")&amp;"|"&amp;$B240)</f>
        <v/>
      </c>
    </row>
    <row r="241" customFormat="false" ht="15" hidden="false" customHeight="false" outlineLevel="0" collapsed="false">
      <c r="A241" s="64"/>
      <c r="B241" s="52"/>
      <c r="C241" s="56"/>
      <c r="D241" s="56"/>
      <c r="E241" s="56"/>
      <c r="F241" s="56"/>
      <c r="G241" s="55"/>
      <c r="H241" s="56"/>
      <c r="I241" s="56"/>
      <c r="J241" s="56"/>
      <c r="K241" s="56"/>
      <c r="L241" s="56"/>
      <c r="M241" s="52"/>
      <c r="N241" s="53"/>
      <c r="O241" s="62" t="str">
        <f aca="false">IF($B241="","",TEXT($A241,"YYYY-MM")&amp;"|"&amp;$B241)</f>
        <v/>
      </c>
    </row>
    <row r="242" customFormat="false" ht="15" hidden="false" customHeight="false" outlineLevel="0" collapsed="false">
      <c r="A242" s="63"/>
      <c r="B242" s="46"/>
      <c r="C242" s="50"/>
      <c r="D242" s="50"/>
      <c r="E242" s="50"/>
      <c r="F242" s="50"/>
      <c r="G242" s="49"/>
      <c r="H242" s="50"/>
      <c r="I242" s="50"/>
      <c r="J242" s="50"/>
      <c r="K242" s="50"/>
      <c r="L242" s="50"/>
      <c r="M242" s="46"/>
      <c r="N242" s="47"/>
      <c r="O242" s="62" t="str">
        <f aca="false">IF($B242="","",TEXT($A242,"YYYY-MM")&amp;"|"&amp;$B242)</f>
        <v/>
      </c>
    </row>
    <row r="243" customFormat="false" ht="15" hidden="false" customHeight="false" outlineLevel="0" collapsed="false">
      <c r="A243" s="64"/>
      <c r="B243" s="52"/>
      <c r="C243" s="56"/>
      <c r="D243" s="56"/>
      <c r="E243" s="56"/>
      <c r="F243" s="56"/>
      <c r="G243" s="55"/>
      <c r="H243" s="56"/>
      <c r="I243" s="56"/>
      <c r="J243" s="56"/>
      <c r="K243" s="56"/>
      <c r="L243" s="56"/>
      <c r="M243" s="52"/>
      <c r="N243" s="53"/>
      <c r="O243" s="62" t="str">
        <f aca="false">IF($B243="","",TEXT($A243,"YYYY-MM")&amp;"|"&amp;$B243)</f>
        <v/>
      </c>
    </row>
    <row r="244" customFormat="false" ht="15" hidden="false" customHeight="false" outlineLevel="0" collapsed="false">
      <c r="A244" s="63"/>
      <c r="B244" s="46"/>
      <c r="C244" s="50"/>
      <c r="D244" s="50"/>
      <c r="E244" s="50"/>
      <c r="F244" s="50"/>
      <c r="G244" s="49"/>
      <c r="H244" s="50"/>
      <c r="I244" s="50"/>
      <c r="J244" s="50"/>
      <c r="K244" s="50"/>
      <c r="L244" s="50"/>
      <c r="M244" s="46"/>
      <c r="N244" s="47"/>
      <c r="O244" s="62" t="str">
        <f aca="false">IF($B244="","",TEXT($A244,"YYYY-MM")&amp;"|"&amp;$B244)</f>
        <v/>
      </c>
    </row>
    <row r="245" customFormat="false" ht="15" hidden="false" customHeight="false" outlineLevel="0" collapsed="false">
      <c r="A245" s="64"/>
      <c r="B245" s="52"/>
      <c r="C245" s="56"/>
      <c r="D245" s="56"/>
      <c r="E245" s="56"/>
      <c r="F245" s="56"/>
      <c r="G245" s="55"/>
      <c r="H245" s="56"/>
      <c r="I245" s="56"/>
      <c r="J245" s="56"/>
      <c r="K245" s="56"/>
      <c r="L245" s="56"/>
      <c r="M245" s="52"/>
      <c r="N245" s="53"/>
      <c r="O245" s="62" t="str">
        <f aca="false">IF($B245="","",TEXT($A245,"YYYY-MM")&amp;"|"&amp;$B245)</f>
        <v/>
      </c>
    </row>
    <row r="246" customFormat="false" ht="15" hidden="false" customHeight="false" outlineLevel="0" collapsed="false">
      <c r="A246" s="63"/>
      <c r="B246" s="46"/>
      <c r="C246" s="50"/>
      <c r="D246" s="50"/>
      <c r="E246" s="50"/>
      <c r="F246" s="50"/>
      <c r="G246" s="49"/>
      <c r="H246" s="50"/>
      <c r="I246" s="50"/>
      <c r="J246" s="50"/>
      <c r="K246" s="50"/>
      <c r="L246" s="50"/>
      <c r="M246" s="46"/>
      <c r="N246" s="47"/>
      <c r="O246" s="62" t="str">
        <f aca="false">IF($B246="","",TEXT($A246,"YYYY-MM")&amp;"|"&amp;$B246)</f>
        <v/>
      </c>
    </row>
    <row r="247" customFormat="false" ht="15" hidden="false" customHeight="false" outlineLevel="0" collapsed="false">
      <c r="A247" s="64"/>
      <c r="B247" s="52"/>
      <c r="C247" s="56"/>
      <c r="D247" s="56"/>
      <c r="E247" s="56"/>
      <c r="F247" s="56"/>
      <c r="G247" s="55"/>
      <c r="H247" s="56"/>
      <c r="I247" s="56"/>
      <c r="J247" s="56"/>
      <c r="K247" s="56"/>
      <c r="L247" s="56"/>
      <c r="M247" s="52"/>
      <c r="N247" s="53"/>
      <c r="O247" s="62" t="str">
        <f aca="false">IF($B247="","",TEXT($A247,"YYYY-MM")&amp;"|"&amp;$B247)</f>
        <v/>
      </c>
    </row>
    <row r="248" customFormat="false" ht="15" hidden="false" customHeight="false" outlineLevel="0" collapsed="false">
      <c r="A248" s="63"/>
      <c r="B248" s="46"/>
      <c r="C248" s="50"/>
      <c r="D248" s="50"/>
      <c r="E248" s="50"/>
      <c r="F248" s="50"/>
      <c r="G248" s="49"/>
      <c r="H248" s="50"/>
      <c r="I248" s="50"/>
      <c r="J248" s="50"/>
      <c r="K248" s="50"/>
      <c r="L248" s="50"/>
      <c r="M248" s="46"/>
      <c r="N248" s="47"/>
      <c r="O248" s="62" t="str">
        <f aca="false">IF($B248="","",TEXT($A248,"YYYY-MM")&amp;"|"&amp;$B248)</f>
        <v/>
      </c>
    </row>
    <row r="249" customFormat="false" ht="15" hidden="false" customHeight="false" outlineLevel="0" collapsed="false">
      <c r="A249" s="64"/>
      <c r="B249" s="52"/>
      <c r="C249" s="56"/>
      <c r="D249" s="56"/>
      <c r="E249" s="56"/>
      <c r="F249" s="56"/>
      <c r="G249" s="55"/>
      <c r="H249" s="56"/>
      <c r="I249" s="56"/>
      <c r="J249" s="56"/>
      <c r="K249" s="56"/>
      <c r="L249" s="56"/>
      <c r="M249" s="52"/>
      <c r="N249" s="53"/>
      <c r="O249" s="62" t="str">
        <f aca="false">IF($B249="","",TEXT($A249,"YYYY-MM")&amp;"|"&amp;$B249)</f>
        <v/>
      </c>
    </row>
    <row r="250" customFormat="false" ht="15" hidden="false" customHeight="false" outlineLevel="0" collapsed="false">
      <c r="A250" s="63"/>
      <c r="B250" s="46"/>
      <c r="C250" s="50"/>
      <c r="D250" s="50"/>
      <c r="E250" s="50"/>
      <c r="F250" s="50"/>
      <c r="G250" s="49"/>
      <c r="H250" s="50"/>
      <c r="I250" s="50"/>
      <c r="J250" s="50"/>
      <c r="K250" s="50"/>
      <c r="L250" s="50"/>
      <c r="M250" s="46"/>
      <c r="N250" s="47"/>
      <c r="O250" s="62" t="str">
        <f aca="false">IF($B250="","",TEXT($A250,"YYYY-MM")&amp;"|"&amp;$B250)</f>
        <v/>
      </c>
    </row>
    <row r="251" customFormat="false" ht="15" hidden="false" customHeight="false" outlineLevel="0" collapsed="false">
      <c r="A251" s="64"/>
      <c r="B251" s="52"/>
      <c r="C251" s="56"/>
      <c r="D251" s="56"/>
      <c r="E251" s="56"/>
      <c r="F251" s="56"/>
      <c r="G251" s="55"/>
      <c r="H251" s="56"/>
      <c r="I251" s="56"/>
      <c r="J251" s="56"/>
      <c r="K251" s="56"/>
      <c r="L251" s="56"/>
      <c r="M251" s="52"/>
      <c r="N251" s="53"/>
      <c r="O251" s="62" t="str">
        <f aca="false">IF($B251="","",TEXT($A251,"YYYY-MM")&amp;"|"&amp;$B251)</f>
        <v/>
      </c>
    </row>
    <row r="252" customFormat="false" ht="15" hidden="false" customHeight="false" outlineLevel="0" collapsed="false">
      <c r="A252" s="63"/>
      <c r="B252" s="46"/>
      <c r="C252" s="50"/>
      <c r="D252" s="50"/>
      <c r="E252" s="50"/>
      <c r="F252" s="50"/>
      <c r="G252" s="49"/>
      <c r="H252" s="50"/>
      <c r="I252" s="50"/>
      <c r="J252" s="50"/>
      <c r="K252" s="50"/>
      <c r="L252" s="50"/>
      <c r="M252" s="46"/>
      <c r="N252" s="47"/>
      <c r="O252" s="62" t="str">
        <f aca="false">IF($B252="","",TEXT($A252,"YYYY-MM")&amp;"|"&amp;$B252)</f>
        <v/>
      </c>
    </row>
    <row r="253" customFormat="false" ht="15" hidden="false" customHeight="false" outlineLevel="0" collapsed="false">
      <c r="A253" s="64"/>
      <c r="B253" s="52"/>
      <c r="C253" s="56"/>
      <c r="D253" s="56"/>
      <c r="E253" s="56"/>
      <c r="F253" s="56"/>
      <c r="G253" s="55"/>
      <c r="H253" s="56"/>
      <c r="I253" s="56"/>
      <c r="J253" s="56"/>
      <c r="K253" s="56"/>
      <c r="L253" s="56"/>
      <c r="M253" s="52"/>
      <c r="N253" s="53"/>
      <c r="O253" s="62" t="str">
        <f aca="false">IF($B253="","",TEXT($A253,"YYYY-MM")&amp;"|"&amp;$B253)</f>
        <v/>
      </c>
    </row>
    <row r="254" customFormat="false" ht="15" hidden="false" customHeight="false" outlineLevel="0" collapsed="false">
      <c r="A254" s="63"/>
      <c r="B254" s="46"/>
      <c r="C254" s="50"/>
      <c r="D254" s="50"/>
      <c r="E254" s="50"/>
      <c r="F254" s="50"/>
      <c r="G254" s="49"/>
      <c r="H254" s="50"/>
      <c r="I254" s="50"/>
      <c r="J254" s="50"/>
      <c r="K254" s="50"/>
      <c r="L254" s="50"/>
      <c r="M254" s="46"/>
      <c r="N254" s="47"/>
      <c r="O254" s="62" t="str">
        <f aca="false">IF($B254="","",TEXT($A254,"YYYY-MM")&amp;"|"&amp;$B254)</f>
        <v/>
      </c>
    </row>
    <row r="255" customFormat="false" ht="15" hidden="false" customHeight="false" outlineLevel="0" collapsed="false">
      <c r="A255" s="64"/>
      <c r="B255" s="52"/>
      <c r="C255" s="56"/>
      <c r="D255" s="56"/>
      <c r="E255" s="56"/>
      <c r="F255" s="56"/>
      <c r="G255" s="55"/>
      <c r="H255" s="56"/>
      <c r="I255" s="56"/>
      <c r="J255" s="56"/>
      <c r="K255" s="56"/>
      <c r="L255" s="56"/>
      <c r="M255" s="52"/>
      <c r="N255" s="53"/>
      <c r="O255" s="62" t="str">
        <f aca="false">IF($B255="","",TEXT($A255,"YYYY-MM")&amp;"|"&amp;$B255)</f>
        <v/>
      </c>
    </row>
    <row r="256" customFormat="false" ht="15" hidden="false" customHeight="false" outlineLevel="0" collapsed="false">
      <c r="A256" s="63"/>
      <c r="B256" s="46"/>
      <c r="C256" s="50"/>
      <c r="D256" s="50"/>
      <c r="E256" s="50"/>
      <c r="F256" s="50"/>
      <c r="G256" s="49"/>
      <c r="H256" s="50"/>
      <c r="I256" s="50"/>
      <c r="J256" s="50"/>
      <c r="K256" s="50"/>
      <c r="L256" s="50"/>
      <c r="M256" s="46"/>
      <c r="N256" s="47"/>
      <c r="O256" s="62" t="str">
        <f aca="false">IF($B256="","",TEXT($A256,"YYYY-MM")&amp;"|"&amp;$B256)</f>
        <v/>
      </c>
    </row>
    <row r="257" customFormat="false" ht="15" hidden="false" customHeight="false" outlineLevel="0" collapsed="false">
      <c r="A257" s="64"/>
      <c r="B257" s="52"/>
      <c r="C257" s="56"/>
      <c r="D257" s="56"/>
      <c r="E257" s="56"/>
      <c r="F257" s="56"/>
      <c r="G257" s="55"/>
      <c r="H257" s="56"/>
      <c r="I257" s="56"/>
      <c r="J257" s="56"/>
      <c r="K257" s="56"/>
      <c r="L257" s="56"/>
      <c r="M257" s="52"/>
      <c r="N257" s="53"/>
      <c r="O257" s="62" t="str">
        <f aca="false">IF($B257="","",TEXT($A257,"YYYY-MM")&amp;"|"&amp;$B257)</f>
        <v/>
      </c>
    </row>
    <row r="258" customFormat="false" ht="15" hidden="false" customHeight="false" outlineLevel="0" collapsed="false">
      <c r="A258" s="63"/>
      <c r="B258" s="46"/>
      <c r="C258" s="50"/>
      <c r="D258" s="50"/>
      <c r="E258" s="50"/>
      <c r="F258" s="50"/>
      <c r="G258" s="49"/>
      <c r="H258" s="50"/>
      <c r="I258" s="50"/>
      <c r="J258" s="50"/>
      <c r="K258" s="50"/>
      <c r="L258" s="50"/>
      <c r="M258" s="46"/>
      <c r="N258" s="47"/>
      <c r="O258" s="62" t="str">
        <f aca="false">IF($B258="","",TEXT($A258,"YYYY-MM")&amp;"|"&amp;$B258)</f>
        <v/>
      </c>
    </row>
    <row r="259" customFormat="false" ht="15" hidden="false" customHeight="false" outlineLevel="0" collapsed="false">
      <c r="A259" s="64"/>
      <c r="B259" s="52"/>
      <c r="C259" s="56"/>
      <c r="D259" s="56"/>
      <c r="E259" s="56"/>
      <c r="F259" s="56"/>
      <c r="G259" s="55"/>
      <c r="H259" s="56"/>
      <c r="I259" s="56"/>
      <c r="J259" s="56"/>
      <c r="K259" s="56"/>
      <c r="L259" s="56"/>
      <c r="M259" s="52"/>
      <c r="N259" s="53"/>
      <c r="O259" s="62" t="str">
        <f aca="false">IF($B259="","",TEXT($A259,"YYYY-MM")&amp;"|"&amp;$B259)</f>
        <v/>
      </c>
    </row>
    <row r="260" customFormat="false" ht="15" hidden="false" customHeight="false" outlineLevel="0" collapsed="false">
      <c r="A260" s="63"/>
      <c r="B260" s="46"/>
      <c r="C260" s="50"/>
      <c r="D260" s="50"/>
      <c r="E260" s="50"/>
      <c r="F260" s="50"/>
      <c r="G260" s="49"/>
      <c r="H260" s="50"/>
      <c r="I260" s="50"/>
      <c r="J260" s="50"/>
      <c r="K260" s="50"/>
      <c r="L260" s="50"/>
      <c r="M260" s="46"/>
      <c r="N260" s="47"/>
      <c r="O260" s="62" t="str">
        <f aca="false">IF($B260="","",TEXT($A260,"YYYY-MM")&amp;"|"&amp;$B260)</f>
        <v/>
      </c>
    </row>
    <row r="261" customFormat="false" ht="15" hidden="false" customHeight="false" outlineLevel="0" collapsed="false">
      <c r="A261" s="64"/>
      <c r="B261" s="52"/>
      <c r="C261" s="56"/>
      <c r="D261" s="56"/>
      <c r="E261" s="56"/>
      <c r="F261" s="56"/>
      <c r="G261" s="55"/>
      <c r="H261" s="56"/>
      <c r="I261" s="56"/>
      <c r="J261" s="56"/>
      <c r="K261" s="56"/>
      <c r="L261" s="56"/>
      <c r="M261" s="52"/>
      <c r="N261" s="53"/>
      <c r="O261" s="62" t="str">
        <f aca="false">IF($B261="","",TEXT($A261,"YYYY-MM")&amp;"|"&amp;$B261)</f>
        <v/>
      </c>
    </row>
    <row r="262" customFormat="false" ht="15" hidden="false" customHeight="false" outlineLevel="0" collapsed="false">
      <c r="A262" s="63"/>
      <c r="B262" s="46"/>
      <c r="C262" s="50"/>
      <c r="D262" s="50"/>
      <c r="E262" s="50"/>
      <c r="F262" s="50"/>
      <c r="G262" s="49"/>
      <c r="H262" s="50"/>
      <c r="I262" s="50"/>
      <c r="J262" s="50"/>
      <c r="K262" s="50"/>
      <c r="L262" s="50"/>
      <c r="M262" s="46"/>
      <c r="N262" s="47"/>
      <c r="O262" s="62" t="str">
        <f aca="false">IF($B262="","",TEXT($A262,"YYYY-MM")&amp;"|"&amp;$B262)</f>
        <v/>
      </c>
    </row>
    <row r="263" customFormat="false" ht="15" hidden="false" customHeight="false" outlineLevel="0" collapsed="false">
      <c r="A263" s="64"/>
      <c r="B263" s="52"/>
      <c r="C263" s="56"/>
      <c r="D263" s="56"/>
      <c r="E263" s="56"/>
      <c r="F263" s="56"/>
      <c r="G263" s="55"/>
      <c r="H263" s="56"/>
      <c r="I263" s="56"/>
      <c r="J263" s="56"/>
      <c r="K263" s="56"/>
      <c r="L263" s="56"/>
      <c r="M263" s="52"/>
      <c r="N263" s="53"/>
      <c r="O263" s="62" t="str">
        <f aca="false">IF($B263="","",TEXT($A263,"YYYY-MM")&amp;"|"&amp;$B263)</f>
        <v/>
      </c>
    </row>
    <row r="264" customFormat="false" ht="15" hidden="false" customHeight="false" outlineLevel="0" collapsed="false">
      <c r="A264" s="63"/>
      <c r="B264" s="46"/>
      <c r="C264" s="50"/>
      <c r="D264" s="50"/>
      <c r="E264" s="50"/>
      <c r="F264" s="50"/>
      <c r="G264" s="49"/>
      <c r="H264" s="50"/>
      <c r="I264" s="50"/>
      <c r="J264" s="50"/>
      <c r="K264" s="50"/>
      <c r="L264" s="50"/>
      <c r="M264" s="46"/>
      <c r="N264" s="47"/>
      <c r="O264" s="62" t="str">
        <f aca="false">IF($B264="","",TEXT($A264,"YYYY-MM")&amp;"|"&amp;$B264)</f>
        <v/>
      </c>
    </row>
    <row r="265" customFormat="false" ht="15" hidden="false" customHeight="false" outlineLevel="0" collapsed="false">
      <c r="A265" s="64"/>
      <c r="B265" s="52"/>
      <c r="C265" s="56"/>
      <c r="D265" s="56"/>
      <c r="E265" s="56"/>
      <c r="F265" s="56"/>
      <c r="G265" s="55"/>
      <c r="H265" s="56"/>
      <c r="I265" s="56"/>
      <c r="J265" s="56"/>
      <c r="K265" s="56"/>
      <c r="L265" s="56"/>
      <c r="M265" s="52"/>
      <c r="N265" s="53"/>
      <c r="O265" s="62" t="str">
        <f aca="false">IF($B265="","",TEXT($A265,"YYYY-MM")&amp;"|"&amp;$B265)</f>
        <v/>
      </c>
    </row>
    <row r="266" customFormat="false" ht="15" hidden="false" customHeight="false" outlineLevel="0" collapsed="false">
      <c r="A266" s="63"/>
      <c r="B266" s="46"/>
      <c r="C266" s="50"/>
      <c r="D266" s="50"/>
      <c r="E266" s="50"/>
      <c r="F266" s="50"/>
      <c r="G266" s="49"/>
      <c r="H266" s="50"/>
      <c r="I266" s="50"/>
      <c r="J266" s="50"/>
      <c r="K266" s="50"/>
      <c r="L266" s="50"/>
      <c r="M266" s="46"/>
      <c r="N266" s="47"/>
      <c r="O266" s="62" t="str">
        <f aca="false">IF($B266="","",TEXT($A266,"YYYY-MM")&amp;"|"&amp;$B266)</f>
        <v/>
      </c>
    </row>
    <row r="267" customFormat="false" ht="15" hidden="false" customHeight="false" outlineLevel="0" collapsed="false">
      <c r="A267" s="64"/>
      <c r="B267" s="52"/>
      <c r="C267" s="56"/>
      <c r="D267" s="56"/>
      <c r="E267" s="56"/>
      <c r="F267" s="56"/>
      <c r="G267" s="55"/>
      <c r="H267" s="56"/>
      <c r="I267" s="56"/>
      <c r="J267" s="56"/>
      <c r="K267" s="56"/>
      <c r="L267" s="56"/>
      <c r="M267" s="52"/>
      <c r="N267" s="53"/>
      <c r="O267" s="62" t="str">
        <f aca="false">IF($B267="","",TEXT($A267,"YYYY-MM")&amp;"|"&amp;$B267)</f>
        <v/>
      </c>
    </row>
    <row r="268" customFormat="false" ht="15" hidden="false" customHeight="false" outlineLevel="0" collapsed="false">
      <c r="A268" s="63"/>
      <c r="B268" s="46"/>
      <c r="C268" s="50"/>
      <c r="D268" s="50"/>
      <c r="E268" s="50"/>
      <c r="F268" s="50"/>
      <c r="G268" s="49"/>
      <c r="H268" s="50"/>
      <c r="I268" s="50"/>
      <c r="J268" s="50"/>
      <c r="K268" s="50"/>
      <c r="L268" s="50"/>
      <c r="M268" s="46"/>
      <c r="N268" s="47"/>
      <c r="O268" s="62" t="str">
        <f aca="false">IF($B268="","",TEXT($A268,"YYYY-MM")&amp;"|"&amp;$B268)</f>
        <v/>
      </c>
    </row>
    <row r="269" customFormat="false" ht="15" hidden="false" customHeight="false" outlineLevel="0" collapsed="false">
      <c r="A269" s="64"/>
      <c r="B269" s="52"/>
      <c r="C269" s="56"/>
      <c r="D269" s="56"/>
      <c r="E269" s="56"/>
      <c r="F269" s="56"/>
      <c r="G269" s="55"/>
      <c r="H269" s="56"/>
      <c r="I269" s="56"/>
      <c r="J269" s="56"/>
      <c r="K269" s="56"/>
      <c r="L269" s="56"/>
      <c r="M269" s="52"/>
      <c r="N269" s="53"/>
      <c r="O269" s="62" t="str">
        <f aca="false">IF($B269="","",TEXT($A269,"YYYY-MM")&amp;"|"&amp;$B269)</f>
        <v/>
      </c>
    </row>
    <row r="270" customFormat="false" ht="15" hidden="false" customHeight="false" outlineLevel="0" collapsed="false">
      <c r="A270" s="63"/>
      <c r="B270" s="46"/>
      <c r="C270" s="50"/>
      <c r="D270" s="50"/>
      <c r="E270" s="50"/>
      <c r="F270" s="50"/>
      <c r="G270" s="49"/>
      <c r="H270" s="50"/>
      <c r="I270" s="50"/>
      <c r="J270" s="50"/>
      <c r="K270" s="50"/>
      <c r="L270" s="50"/>
      <c r="M270" s="46"/>
      <c r="N270" s="47"/>
      <c r="O270" s="62" t="str">
        <f aca="false">IF($B270="","",TEXT($A270,"YYYY-MM")&amp;"|"&amp;$B270)</f>
        <v/>
      </c>
    </row>
    <row r="271" customFormat="false" ht="15" hidden="false" customHeight="false" outlineLevel="0" collapsed="false">
      <c r="A271" s="64"/>
      <c r="B271" s="52"/>
      <c r="C271" s="56"/>
      <c r="D271" s="56"/>
      <c r="E271" s="56"/>
      <c r="F271" s="56"/>
      <c r="G271" s="55"/>
      <c r="H271" s="56"/>
      <c r="I271" s="56"/>
      <c r="J271" s="56"/>
      <c r="K271" s="56"/>
      <c r="L271" s="56"/>
      <c r="M271" s="52"/>
      <c r="N271" s="53"/>
      <c r="O271" s="62" t="str">
        <f aca="false">IF($B271="","",TEXT($A271,"YYYY-MM")&amp;"|"&amp;$B271)</f>
        <v/>
      </c>
    </row>
    <row r="272" customFormat="false" ht="15" hidden="false" customHeight="false" outlineLevel="0" collapsed="false">
      <c r="A272" s="63"/>
      <c r="B272" s="46"/>
      <c r="C272" s="50"/>
      <c r="D272" s="50"/>
      <c r="E272" s="50"/>
      <c r="F272" s="50"/>
      <c r="G272" s="49"/>
      <c r="H272" s="50"/>
      <c r="I272" s="50"/>
      <c r="J272" s="50"/>
      <c r="K272" s="50"/>
      <c r="L272" s="50"/>
      <c r="M272" s="46"/>
      <c r="N272" s="47"/>
      <c r="O272" s="62" t="str">
        <f aca="false">IF($B272="","",TEXT($A272,"YYYY-MM")&amp;"|"&amp;$B272)</f>
        <v/>
      </c>
    </row>
    <row r="273" customFormat="false" ht="15" hidden="false" customHeight="false" outlineLevel="0" collapsed="false">
      <c r="A273" s="64"/>
      <c r="B273" s="52"/>
      <c r="C273" s="56"/>
      <c r="D273" s="56"/>
      <c r="E273" s="56"/>
      <c r="F273" s="56"/>
      <c r="G273" s="55"/>
      <c r="H273" s="56"/>
      <c r="I273" s="56"/>
      <c r="J273" s="56"/>
      <c r="K273" s="56"/>
      <c r="L273" s="56"/>
      <c r="M273" s="52"/>
      <c r="N273" s="53"/>
      <c r="O273" s="62" t="str">
        <f aca="false">IF($B273="","",TEXT($A273,"YYYY-MM")&amp;"|"&amp;$B273)</f>
        <v/>
      </c>
    </row>
    <row r="274" customFormat="false" ht="15" hidden="false" customHeight="false" outlineLevel="0" collapsed="false">
      <c r="A274" s="63"/>
      <c r="B274" s="46"/>
      <c r="C274" s="50"/>
      <c r="D274" s="50"/>
      <c r="E274" s="50"/>
      <c r="F274" s="50"/>
      <c r="G274" s="49"/>
      <c r="H274" s="50"/>
      <c r="I274" s="50"/>
      <c r="J274" s="50"/>
      <c r="K274" s="50"/>
      <c r="L274" s="50"/>
      <c r="M274" s="46"/>
      <c r="N274" s="47"/>
      <c r="O274" s="62" t="str">
        <f aca="false">IF($B274="","",TEXT($A274,"YYYY-MM")&amp;"|"&amp;$B274)</f>
        <v/>
      </c>
    </row>
    <row r="275" customFormat="false" ht="15" hidden="false" customHeight="false" outlineLevel="0" collapsed="false">
      <c r="A275" s="64"/>
      <c r="B275" s="52"/>
      <c r="C275" s="56"/>
      <c r="D275" s="56"/>
      <c r="E275" s="56"/>
      <c r="F275" s="56"/>
      <c r="G275" s="55"/>
      <c r="H275" s="56"/>
      <c r="I275" s="56"/>
      <c r="J275" s="56"/>
      <c r="K275" s="56"/>
      <c r="L275" s="56"/>
      <c r="M275" s="52"/>
      <c r="N275" s="53"/>
      <c r="O275" s="62" t="str">
        <f aca="false">IF($B275="","",TEXT($A275,"YYYY-MM")&amp;"|"&amp;$B275)</f>
        <v/>
      </c>
    </row>
    <row r="276" customFormat="false" ht="15" hidden="false" customHeight="false" outlineLevel="0" collapsed="false">
      <c r="A276" s="63"/>
      <c r="B276" s="46"/>
      <c r="C276" s="50"/>
      <c r="D276" s="50"/>
      <c r="E276" s="50"/>
      <c r="F276" s="50"/>
      <c r="G276" s="49"/>
      <c r="H276" s="50"/>
      <c r="I276" s="50"/>
      <c r="J276" s="50"/>
      <c r="K276" s="50"/>
      <c r="L276" s="50"/>
      <c r="M276" s="46"/>
      <c r="N276" s="47"/>
      <c r="O276" s="62" t="str">
        <f aca="false">IF($B276="","",TEXT($A276,"YYYY-MM")&amp;"|"&amp;$B276)</f>
        <v/>
      </c>
    </row>
    <row r="277" customFormat="false" ht="15" hidden="false" customHeight="false" outlineLevel="0" collapsed="false">
      <c r="A277" s="64"/>
      <c r="B277" s="52"/>
      <c r="C277" s="56"/>
      <c r="D277" s="56"/>
      <c r="E277" s="56"/>
      <c r="F277" s="56"/>
      <c r="G277" s="55"/>
      <c r="H277" s="56"/>
      <c r="I277" s="56"/>
      <c r="J277" s="56"/>
      <c r="K277" s="56"/>
      <c r="L277" s="56"/>
      <c r="M277" s="52"/>
      <c r="N277" s="53"/>
      <c r="O277" s="62" t="str">
        <f aca="false">IF($B277="","",TEXT($A277,"YYYY-MM")&amp;"|"&amp;$B277)</f>
        <v/>
      </c>
    </row>
    <row r="278" customFormat="false" ht="15" hidden="false" customHeight="false" outlineLevel="0" collapsed="false">
      <c r="A278" s="63"/>
      <c r="B278" s="46"/>
      <c r="C278" s="50"/>
      <c r="D278" s="50"/>
      <c r="E278" s="50"/>
      <c r="F278" s="50"/>
      <c r="G278" s="49"/>
      <c r="H278" s="50"/>
      <c r="I278" s="50"/>
      <c r="J278" s="50"/>
      <c r="K278" s="50"/>
      <c r="L278" s="50"/>
      <c r="M278" s="46"/>
      <c r="N278" s="47"/>
      <c r="O278" s="62" t="str">
        <f aca="false">IF($B278="","",TEXT($A278,"YYYY-MM")&amp;"|"&amp;$B278)</f>
        <v/>
      </c>
    </row>
    <row r="279" customFormat="false" ht="15" hidden="false" customHeight="false" outlineLevel="0" collapsed="false">
      <c r="A279" s="64"/>
      <c r="B279" s="52"/>
      <c r="C279" s="56"/>
      <c r="D279" s="56"/>
      <c r="E279" s="56"/>
      <c r="F279" s="56"/>
      <c r="G279" s="55"/>
      <c r="H279" s="56"/>
      <c r="I279" s="56"/>
      <c r="J279" s="56"/>
      <c r="K279" s="56"/>
      <c r="L279" s="56"/>
      <c r="M279" s="52"/>
      <c r="N279" s="53"/>
      <c r="O279" s="62" t="str">
        <f aca="false">IF($B279="","",TEXT($A279,"YYYY-MM")&amp;"|"&amp;$B279)</f>
        <v/>
      </c>
    </row>
    <row r="280" customFormat="false" ht="15" hidden="false" customHeight="false" outlineLevel="0" collapsed="false">
      <c r="A280" s="63"/>
      <c r="B280" s="46"/>
      <c r="C280" s="50"/>
      <c r="D280" s="50"/>
      <c r="E280" s="50"/>
      <c r="F280" s="50"/>
      <c r="G280" s="49"/>
      <c r="H280" s="50"/>
      <c r="I280" s="50"/>
      <c r="J280" s="50"/>
      <c r="K280" s="50"/>
      <c r="L280" s="50"/>
      <c r="M280" s="46"/>
      <c r="N280" s="47"/>
      <c r="O280" s="62" t="str">
        <f aca="false">IF($B280="","",TEXT($A280,"YYYY-MM")&amp;"|"&amp;$B280)</f>
        <v/>
      </c>
    </row>
    <row r="281" customFormat="false" ht="15" hidden="false" customHeight="false" outlineLevel="0" collapsed="false">
      <c r="A281" s="64"/>
      <c r="B281" s="52"/>
      <c r="C281" s="56"/>
      <c r="D281" s="56"/>
      <c r="E281" s="56"/>
      <c r="F281" s="56"/>
      <c r="G281" s="55"/>
      <c r="H281" s="56"/>
      <c r="I281" s="56"/>
      <c r="J281" s="56"/>
      <c r="K281" s="56"/>
      <c r="L281" s="56"/>
      <c r="M281" s="52"/>
      <c r="N281" s="53"/>
      <c r="O281" s="62" t="str">
        <f aca="false">IF($B281="","",TEXT($A281,"YYYY-MM")&amp;"|"&amp;$B281)</f>
        <v/>
      </c>
    </row>
    <row r="282" customFormat="false" ht="15" hidden="false" customHeight="false" outlineLevel="0" collapsed="false">
      <c r="A282" s="63"/>
      <c r="B282" s="46"/>
      <c r="C282" s="50"/>
      <c r="D282" s="50"/>
      <c r="E282" s="50"/>
      <c r="F282" s="50"/>
      <c r="G282" s="49"/>
      <c r="H282" s="50"/>
      <c r="I282" s="50"/>
      <c r="J282" s="50"/>
      <c r="K282" s="50"/>
      <c r="L282" s="50"/>
      <c r="M282" s="46"/>
      <c r="N282" s="47"/>
      <c r="O282" s="62" t="str">
        <f aca="false">IF($B282="","",TEXT($A282,"YYYY-MM")&amp;"|"&amp;$B282)</f>
        <v/>
      </c>
    </row>
    <row r="283" customFormat="false" ht="15" hidden="false" customHeight="false" outlineLevel="0" collapsed="false">
      <c r="A283" s="64"/>
      <c r="B283" s="52"/>
      <c r="C283" s="56"/>
      <c r="D283" s="56"/>
      <c r="E283" s="56"/>
      <c r="F283" s="56"/>
      <c r="G283" s="55"/>
      <c r="H283" s="56"/>
      <c r="I283" s="56"/>
      <c r="J283" s="56"/>
      <c r="K283" s="56"/>
      <c r="L283" s="56"/>
      <c r="M283" s="52"/>
      <c r="N283" s="53"/>
      <c r="O283" s="62" t="str">
        <f aca="false">IF($B283="","",TEXT($A283,"YYYY-MM")&amp;"|"&amp;$B283)</f>
        <v/>
      </c>
    </row>
    <row r="284" customFormat="false" ht="15" hidden="false" customHeight="false" outlineLevel="0" collapsed="false">
      <c r="A284" s="63"/>
      <c r="B284" s="46"/>
      <c r="C284" s="50"/>
      <c r="D284" s="50"/>
      <c r="E284" s="50"/>
      <c r="F284" s="50"/>
      <c r="G284" s="49"/>
      <c r="H284" s="50"/>
      <c r="I284" s="50"/>
      <c r="J284" s="50"/>
      <c r="K284" s="50"/>
      <c r="L284" s="50"/>
      <c r="M284" s="46"/>
      <c r="N284" s="47"/>
      <c r="O284" s="62" t="str">
        <f aca="false">IF($B284="","",TEXT($A284,"YYYY-MM")&amp;"|"&amp;$B284)</f>
        <v/>
      </c>
    </row>
    <row r="285" customFormat="false" ht="15" hidden="false" customHeight="false" outlineLevel="0" collapsed="false">
      <c r="A285" s="64"/>
      <c r="B285" s="52"/>
      <c r="C285" s="56"/>
      <c r="D285" s="56"/>
      <c r="E285" s="56"/>
      <c r="F285" s="56"/>
      <c r="G285" s="55"/>
      <c r="H285" s="56"/>
      <c r="I285" s="56"/>
      <c r="J285" s="56"/>
      <c r="K285" s="56"/>
      <c r="L285" s="56"/>
      <c r="M285" s="52"/>
      <c r="N285" s="53"/>
      <c r="O285" s="62" t="str">
        <f aca="false">IF($B285="","",TEXT($A285,"YYYY-MM")&amp;"|"&amp;$B285)</f>
        <v/>
      </c>
    </row>
    <row r="286" customFormat="false" ht="15" hidden="false" customHeight="false" outlineLevel="0" collapsed="false">
      <c r="A286" s="63"/>
      <c r="B286" s="46"/>
      <c r="C286" s="50"/>
      <c r="D286" s="50"/>
      <c r="E286" s="50"/>
      <c r="F286" s="50"/>
      <c r="G286" s="49"/>
      <c r="H286" s="50"/>
      <c r="I286" s="50"/>
      <c r="J286" s="50"/>
      <c r="K286" s="50"/>
      <c r="L286" s="50"/>
      <c r="M286" s="46"/>
      <c r="N286" s="47"/>
      <c r="O286" s="62" t="str">
        <f aca="false">IF($B286="","",TEXT($A286,"YYYY-MM")&amp;"|"&amp;$B286)</f>
        <v/>
      </c>
    </row>
    <row r="287" customFormat="false" ht="15" hidden="false" customHeight="false" outlineLevel="0" collapsed="false">
      <c r="A287" s="64"/>
      <c r="B287" s="52"/>
      <c r="C287" s="56"/>
      <c r="D287" s="56"/>
      <c r="E287" s="56"/>
      <c r="F287" s="56"/>
      <c r="G287" s="55"/>
      <c r="H287" s="56"/>
      <c r="I287" s="56"/>
      <c r="J287" s="56"/>
      <c r="K287" s="56"/>
      <c r="L287" s="56"/>
      <c r="M287" s="52"/>
      <c r="N287" s="53"/>
      <c r="O287" s="62" t="str">
        <f aca="false">IF($B287="","",TEXT($A287,"YYYY-MM")&amp;"|"&amp;$B287)</f>
        <v/>
      </c>
    </row>
    <row r="288" customFormat="false" ht="15" hidden="false" customHeight="false" outlineLevel="0" collapsed="false">
      <c r="A288" s="63"/>
      <c r="B288" s="46"/>
      <c r="C288" s="50"/>
      <c r="D288" s="50"/>
      <c r="E288" s="50"/>
      <c r="F288" s="50"/>
      <c r="G288" s="49"/>
      <c r="H288" s="50"/>
      <c r="I288" s="50"/>
      <c r="J288" s="50"/>
      <c r="K288" s="50"/>
      <c r="L288" s="50"/>
      <c r="M288" s="46"/>
      <c r="N288" s="47"/>
      <c r="O288" s="62" t="str">
        <f aca="false">IF($B288="","",TEXT($A288,"YYYY-MM")&amp;"|"&amp;$B288)</f>
        <v/>
      </c>
    </row>
    <row r="289" customFormat="false" ht="15" hidden="false" customHeight="false" outlineLevel="0" collapsed="false">
      <c r="A289" s="64"/>
      <c r="B289" s="52"/>
      <c r="C289" s="56"/>
      <c r="D289" s="56"/>
      <c r="E289" s="56"/>
      <c r="F289" s="56"/>
      <c r="G289" s="55"/>
      <c r="H289" s="56"/>
      <c r="I289" s="56"/>
      <c r="J289" s="56"/>
      <c r="K289" s="56"/>
      <c r="L289" s="56"/>
      <c r="M289" s="52"/>
      <c r="N289" s="53"/>
      <c r="O289" s="62" t="str">
        <f aca="false">IF($B289="","",TEXT($A289,"YYYY-MM")&amp;"|"&amp;$B289)</f>
        <v/>
      </c>
    </row>
    <row r="290" customFormat="false" ht="15" hidden="false" customHeight="false" outlineLevel="0" collapsed="false">
      <c r="A290" s="63"/>
      <c r="B290" s="46"/>
      <c r="C290" s="50"/>
      <c r="D290" s="50"/>
      <c r="E290" s="50"/>
      <c r="F290" s="50"/>
      <c r="G290" s="49"/>
      <c r="H290" s="50"/>
      <c r="I290" s="50"/>
      <c r="J290" s="50"/>
      <c r="K290" s="50"/>
      <c r="L290" s="50"/>
      <c r="M290" s="46"/>
      <c r="N290" s="47"/>
      <c r="O290" s="62" t="str">
        <f aca="false">IF($B290="","",TEXT($A290,"YYYY-MM")&amp;"|"&amp;$B290)</f>
        <v/>
      </c>
    </row>
    <row r="291" customFormat="false" ht="15" hidden="false" customHeight="false" outlineLevel="0" collapsed="false">
      <c r="A291" s="64"/>
      <c r="B291" s="52"/>
      <c r="C291" s="56"/>
      <c r="D291" s="56"/>
      <c r="E291" s="56"/>
      <c r="F291" s="56"/>
      <c r="G291" s="55"/>
      <c r="H291" s="56"/>
      <c r="I291" s="56"/>
      <c r="J291" s="56"/>
      <c r="K291" s="56"/>
      <c r="L291" s="56"/>
      <c r="M291" s="52"/>
      <c r="N291" s="53"/>
      <c r="O291" s="62" t="str">
        <f aca="false">IF($B291="","",TEXT($A291,"YYYY-MM")&amp;"|"&amp;$B291)</f>
        <v/>
      </c>
    </row>
    <row r="292" customFormat="false" ht="15" hidden="false" customHeight="false" outlineLevel="0" collapsed="false">
      <c r="A292" s="63"/>
      <c r="B292" s="46"/>
      <c r="C292" s="50"/>
      <c r="D292" s="50"/>
      <c r="E292" s="50"/>
      <c r="F292" s="50"/>
      <c r="G292" s="49"/>
      <c r="H292" s="50"/>
      <c r="I292" s="50"/>
      <c r="J292" s="50"/>
      <c r="K292" s="50"/>
      <c r="L292" s="50"/>
      <c r="M292" s="46"/>
      <c r="N292" s="47"/>
      <c r="O292" s="62" t="str">
        <f aca="false">IF($B292="","",TEXT($A292,"YYYY-MM")&amp;"|"&amp;$B292)</f>
        <v/>
      </c>
    </row>
    <row r="293" customFormat="false" ht="15" hidden="false" customHeight="false" outlineLevel="0" collapsed="false">
      <c r="A293" s="64"/>
      <c r="B293" s="52"/>
      <c r="C293" s="56"/>
      <c r="D293" s="56"/>
      <c r="E293" s="56"/>
      <c r="F293" s="56"/>
      <c r="G293" s="55"/>
      <c r="H293" s="56"/>
      <c r="I293" s="56"/>
      <c r="J293" s="56"/>
      <c r="K293" s="56"/>
      <c r="L293" s="56"/>
      <c r="M293" s="52"/>
      <c r="N293" s="53"/>
      <c r="O293" s="62" t="str">
        <f aca="false">IF($B293="","",TEXT($A293,"YYYY-MM")&amp;"|"&amp;$B293)</f>
        <v/>
      </c>
    </row>
    <row r="294" customFormat="false" ht="15" hidden="false" customHeight="false" outlineLevel="0" collapsed="false">
      <c r="A294" s="63"/>
      <c r="B294" s="46"/>
      <c r="C294" s="50"/>
      <c r="D294" s="50"/>
      <c r="E294" s="50"/>
      <c r="F294" s="50"/>
      <c r="G294" s="49"/>
      <c r="H294" s="50"/>
      <c r="I294" s="50"/>
      <c r="J294" s="50"/>
      <c r="K294" s="50"/>
      <c r="L294" s="50"/>
      <c r="M294" s="46"/>
      <c r="N294" s="47"/>
      <c r="O294" s="62" t="str">
        <f aca="false">IF($B294="","",TEXT($A294,"YYYY-MM")&amp;"|"&amp;$B294)</f>
        <v/>
      </c>
    </row>
    <row r="295" customFormat="false" ht="15" hidden="false" customHeight="false" outlineLevel="0" collapsed="false">
      <c r="A295" s="64"/>
      <c r="B295" s="52"/>
      <c r="C295" s="56"/>
      <c r="D295" s="56"/>
      <c r="E295" s="56"/>
      <c r="F295" s="56"/>
      <c r="G295" s="55"/>
      <c r="H295" s="56"/>
      <c r="I295" s="56"/>
      <c r="J295" s="56"/>
      <c r="K295" s="56"/>
      <c r="L295" s="56"/>
      <c r="M295" s="52"/>
      <c r="N295" s="53"/>
      <c r="O295" s="62" t="str">
        <f aca="false">IF($B295="","",TEXT($A295,"YYYY-MM")&amp;"|"&amp;$B295)</f>
        <v/>
      </c>
    </row>
    <row r="296" customFormat="false" ht="15" hidden="false" customHeight="false" outlineLevel="0" collapsed="false">
      <c r="A296" s="63"/>
      <c r="B296" s="46"/>
      <c r="C296" s="50"/>
      <c r="D296" s="50"/>
      <c r="E296" s="50"/>
      <c r="F296" s="50"/>
      <c r="G296" s="49"/>
      <c r="H296" s="50"/>
      <c r="I296" s="50"/>
      <c r="J296" s="50"/>
      <c r="K296" s="50"/>
      <c r="L296" s="50"/>
      <c r="M296" s="46"/>
      <c r="N296" s="47"/>
      <c r="O296" s="62" t="str">
        <f aca="false">IF($B296="","",TEXT($A296,"YYYY-MM")&amp;"|"&amp;$B296)</f>
        <v/>
      </c>
    </row>
    <row r="297" customFormat="false" ht="15" hidden="false" customHeight="false" outlineLevel="0" collapsed="false">
      <c r="A297" s="64"/>
      <c r="B297" s="52"/>
      <c r="C297" s="56"/>
      <c r="D297" s="56"/>
      <c r="E297" s="56"/>
      <c r="F297" s="56"/>
      <c r="G297" s="55"/>
      <c r="H297" s="56"/>
      <c r="I297" s="56"/>
      <c r="J297" s="56"/>
      <c r="K297" s="56"/>
      <c r="L297" s="56"/>
      <c r="M297" s="52"/>
      <c r="N297" s="53"/>
      <c r="O297" s="62" t="str">
        <f aca="false">IF($B297="","",TEXT($A297,"YYYY-MM")&amp;"|"&amp;$B297)</f>
        <v/>
      </c>
    </row>
    <row r="298" customFormat="false" ht="15" hidden="false" customHeight="false" outlineLevel="0" collapsed="false">
      <c r="A298" s="63"/>
      <c r="B298" s="46"/>
      <c r="C298" s="50"/>
      <c r="D298" s="50"/>
      <c r="E298" s="50"/>
      <c r="F298" s="50"/>
      <c r="G298" s="49"/>
      <c r="H298" s="50"/>
      <c r="I298" s="50"/>
      <c r="J298" s="50"/>
      <c r="K298" s="50"/>
      <c r="L298" s="50"/>
      <c r="M298" s="46"/>
      <c r="N298" s="47"/>
      <c r="O298" s="62" t="str">
        <f aca="false">IF($B298="","",TEXT($A298,"YYYY-MM")&amp;"|"&amp;$B298)</f>
        <v/>
      </c>
    </row>
    <row r="299" customFormat="false" ht="15" hidden="false" customHeight="false" outlineLevel="0" collapsed="false">
      <c r="A299" s="64"/>
      <c r="B299" s="52"/>
      <c r="C299" s="56"/>
      <c r="D299" s="56"/>
      <c r="E299" s="56"/>
      <c r="F299" s="56"/>
      <c r="G299" s="55"/>
      <c r="H299" s="56"/>
      <c r="I299" s="56"/>
      <c r="J299" s="56"/>
      <c r="K299" s="56"/>
      <c r="L299" s="56"/>
      <c r="M299" s="52"/>
      <c r="N299" s="53"/>
      <c r="O299" s="62" t="str">
        <f aca="false">IF($B299="","",TEXT($A299,"YYYY-MM")&amp;"|"&amp;$B299)</f>
        <v/>
      </c>
    </row>
    <row r="300" customFormat="false" ht="15" hidden="false" customHeight="false" outlineLevel="0" collapsed="false">
      <c r="A300" s="63"/>
      <c r="B300" s="46"/>
      <c r="C300" s="50"/>
      <c r="D300" s="50"/>
      <c r="E300" s="50"/>
      <c r="F300" s="50"/>
      <c r="G300" s="49"/>
      <c r="H300" s="50"/>
      <c r="I300" s="50"/>
      <c r="J300" s="50"/>
      <c r="K300" s="50"/>
      <c r="L300" s="50"/>
      <c r="M300" s="46"/>
      <c r="N300" s="47"/>
      <c r="O300" s="62" t="str">
        <f aca="false">IF($B300="","",TEXT($A300,"YYYY-MM")&amp;"|"&amp;$B300)</f>
        <v/>
      </c>
    </row>
    <row r="301" customFormat="false" ht="15" hidden="false" customHeight="false" outlineLevel="0" collapsed="false">
      <c r="A301" s="64"/>
      <c r="B301" s="52"/>
      <c r="C301" s="56"/>
      <c r="D301" s="56"/>
      <c r="E301" s="56"/>
      <c r="F301" s="56"/>
      <c r="G301" s="55"/>
      <c r="H301" s="56"/>
      <c r="I301" s="56"/>
      <c r="J301" s="56"/>
      <c r="K301" s="56"/>
      <c r="L301" s="56"/>
      <c r="M301" s="52"/>
      <c r="N301" s="53"/>
      <c r="O301" s="62" t="str">
        <f aca="false">IF($B301="","",TEXT($A301,"YYYY-MM")&amp;"|"&amp;$B301)</f>
        <v/>
      </c>
    </row>
    <row r="302" customFormat="false" ht="15" hidden="false" customHeight="false" outlineLevel="0" collapsed="false">
      <c r="A302" s="63"/>
      <c r="B302" s="46"/>
      <c r="C302" s="50"/>
      <c r="D302" s="50"/>
      <c r="E302" s="50"/>
      <c r="F302" s="50"/>
      <c r="G302" s="49"/>
      <c r="H302" s="50"/>
      <c r="I302" s="50"/>
      <c r="J302" s="50"/>
      <c r="K302" s="50"/>
      <c r="L302" s="50"/>
      <c r="M302" s="46"/>
      <c r="N302" s="47"/>
      <c r="O302" s="62" t="str">
        <f aca="false">IF($B302="","",TEXT($A302,"YYYY-MM")&amp;"|"&amp;$B302)</f>
        <v/>
      </c>
    </row>
    <row r="303" customFormat="false" ht="15" hidden="false" customHeight="false" outlineLevel="0" collapsed="false">
      <c r="A303" s="64"/>
      <c r="B303" s="52"/>
      <c r="C303" s="56"/>
      <c r="D303" s="56"/>
      <c r="E303" s="56"/>
      <c r="F303" s="56"/>
      <c r="G303" s="55"/>
      <c r="H303" s="56"/>
      <c r="I303" s="56"/>
      <c r="J303" s="56"/>
      <c r="K303" s="56"/>
      <c r="L303" s="56"/>
      <c r="M303" s="52"/>
      <c r="N303" s="53"/>
      <c r="O303" s="62" t="str">
        <f aca="false">IF($B303="","",TEXT($A303,"YYYY-MM")&amp;"|"&amp;$B303)</f>
        <v/>
      </c>
    </row>
  </sheetData>
  <autoFilter ref="A3:N303"/>
  <mergeCells count="2">
    <mergeCell ref="A1:O1"/>
    <mergeCell ref="A2:O2"/>
  </mergeCells>
  <dataValidations count="2">
    <dataValidation allowBlank="true" error="Pick a value from the list on the Lists tab." errorStyle="stop" errorTitle="Not a valid entry" operator="between" showDropDown="false" showErrorMessage="true" showInputMessage="false" sqref="M4:M303" type="list">
      <formula1>Lists!$A$4:$A$6</formula1>
      <formula2>0</formula2>
    </dataValidation>
    <dataValidation allowBlank="true" errorStyle="stop" operator="between" showDropDown="false" showErrorMessage="false" showInputMessage="false" sqref="B4:B303" type="list">
      <formula1>'TOR Register'!$A$4:$A$43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546A"/>
    <pageSetUpPr fitToPage="false"/>
  </sheetPr>
  <dimension ref="A1:O2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0"/>
    <col collapsed="false" customWidth="true" hidden="false" outlineLevel="0" max="3" min="3" style="0" width="36"/>
    <col collapsed="false" customWidth="true" hidden="false" outlineLevel="0" max="4" min="4" style="0" width="17"/>
    <col collapsed="false" customWidth="true" hidden="false" outlineLevel="0" max="6" min="5" style="0" width="15"/>
    <col collapsed="false" customWidth="true" hidden="false" outlineLevel="0" max="7" min="7" style="0" width="17"/>
    <col collapsed="false" customWidth="true" hidden="false" outlineLevel="0" max="8" min="8" style="0" width="15"/>
    <col collapsed="false" customWidth="true" hidden="false" outlineLevel="0" max="9" min="9" style="0" width="12"/>
    <col collapsed="false" customWidth="true" hidden="false" outlineLevel="0" max="10" min="10" style="0" width="13"/>
    <col collapsed="false" customWidth="true" hidden="false" outlineLevel="0" max="11" min="11" style="0" width="3"/>
    <col collapsed="false" customWidth="true" hidden="false" outlineLevel="0" max="12" min="12" style="0" width="10"/>
    <col collapsed="false" customWidth="true" hidden="false" outlineLevel="0" max="15" min="13" style="0" width="13"/>
  </cols>
  <sheetData>
    <row r="1" customFormat="false" ht="25.5" hidden="false" customHeight="true" outlineLevel="0" collapsed="false">
      <c r="A1" s="1" t="s">
        <v>250</v>
      </c>
      <c r="B1" s="1"/>
      <c r="C1" s="1"/>
      <c r="D1" s="1"/>
      <c r="E1" s="1"/>
      <c r="F1" s="1"/>
      <c r="G1" s="1"/>
      <c r="H1" s="1"/>
      <c r="I1" s="1"/>
      <c r="J1" s="1"/>
      <c r="K1" s="3"/>
      <c r="L1" s="3"/>
      <c r="M1" s="3"/>
      <c r="N1" s="3"/>
      <c r="O1" s="3"/>
    </row>
    <row r="2" customFormat="false" ht="15" hidden="false" customHeight="false" outlineLevel="0" collapsed="false">
      <c r="A2" s="2" t="s">
        <v>251</v>
      </c>
      <c r="B2" s="2"/>
      <c r="C2" s="2"/>
      <c r="D2" s="2"/>
      <c r="E2" s="2"/>
      <c r="F2" s="2"/>
      <c r="G2" s="2"/>
      <c r="H2" s="2"/>
      <c r="I2" s="2"/>
      <c r="J2" s="2"/>
      <c r="K2" s="3"/>
      <c r="L2" s="12" t="s">
        <v>252</v>
      </c>
      <c r="M2" s="3"/>
      <c r="N2" s="3"/>
      <c r="O2" s="3"/>
    </row>
    <row r="3" customFormat="false" ht="31.5" hidden="false" customHeight="true" outlineLevel="0" collapsed="false">
      <c r="A3" s="45" t="s">
        <v>253</v>
      </c>
      <c r="B3" s="45" t="s">
        <v>129</v>
      </c>
      <c r="C3" s="45" t="s">
        <v>254</v>
      </c>
      <c r="D3" s="45" t="s">
        <v>255</v>
      </c>
      <c r="E3" s="45" t="s">
        <v>256</v>
      </c>
      <c r="F3" s="45" t="s">
        <v>257</v>
      </c>
      <c r="G3" s="45" t="s">
        <v>258</v>
      </c>
      <c r="H3" s="45" t="s">
        <v>259</v>
      </c>
      <c r="I3" s="45" t="s">
        <v>260</v>
      </c>
      <c r="J3" s="45" t="s">
        <v>261</v>
      </c>
      <c r="K3" s="3"/>
      <c r="L3" s="45" t="s">
        <v>87</v>
      </c>
      <c r="M3" s="45" t="s">
        <v>262</v>
      </c>
      <c r="N3" s="45" t="s">
        <v>263</v>
      </c>
      <c r="O3" s="45" t="s">
        <v>264</v>
      </c>
    </row>
    <row r="4" customFormat="false" ht="15" hidden="false" customHeight="false" outlineLevel="0" collapsed="false">
      <c r="A4" s="46" t="s">
        <v>265</v>
      </c>
      <c r="B4" s="46" t="s">
        <v>143</v>
      </c>
      <c r="C4" s="51" t="s">
        <v>266</v>
      </c>
      <c r="D4" s="47" t="s">
        <v>267</v>
      </c>
      <c r="E4" s="47" t="s">
        <v>147</v>
      </c>
      <c r="F4" s="47" t="s">
        <v>146</v>
      </c>
      <c r="G4" s="47" t="s">
        <v>268</v>
      </c>
      <c r="H4" s="47" t="s">
        <v>269</v>
      </c>
      <c r="I4" s="48" t="n">
        <v>46142</v>
      </c>
      <c r="J4" s="46" t="s">
        <v>263</v>
      </c>
      <c r="K4" s="3"/>
      <c r="L4" s="19" t="s">
        <v>143</v>
      </c>
      <c r="M4" s="20" t="n">
        <f aca="false">COUNTIFS($B$4:$B$203,$L4)</f>
        <v>4</v>
      </c>
      <c r="N4" s="20" t="n">
        <f aca="false">COUNTIFS($B$4:$B$203,$L4,$J$4:$J$203,"Accepted")</f>
        <v>1</v>
      </c>
      <c r="O4" s="20" t="n">
        <f aca="false">COUNTIFS($B$4:$B$203,$L4,$F$4:$F$203,"")</f>
        <v>2</v>
      </c>
    </row>
    <row r="5" customFormat="false" ht="15" hidden="false" customHeight="false" outlineLevel="0" collapsed="false">
      <c r="A5" s="52" t="s">
        <v>270</v>
      </c>
      <c r="B5" s="52" t="s">
        <v>143</v>
      </c>
      <c r="C5" s="57" t="s">
        <v>271</v>
      </c>
      <c r="D5" s="53" t="s">
        <v>272</v>
      </c>
      <c r="E5" s="53" t="s">
        <v>273</v>
      </c>
      <c r="F5" s="53" t="s">
        <v>147</v>
      </c>
      <c r="G5" s="53" t="s">
        <v>274</v>
      </c>
      <c r="H5" s="53" t="s">
        <v>275</v>
      </c>
      <c r="I5" s="54" t="n">
        <v>46234</v>
      </c>
      <c r="J5" s="52" t="s">
        <v>276</v>
      </c>
      <c r="K5" s="3"/>
      <c r="L5" s="19" t="s">
        <v>151</v>
      </c>
      <c r="M5" s="20" t="n">
        <f aca="false">COUNTIFS($B$4:$B$203,$L5)</f>
        <v>3</v>
      </c>
      <c r="N5" s="20" t="n">
        <f aca="false">COUNTIFS($B$4:$B$203,$L5,$J$4:$J$203,"Accepted")</f>
        <v>1</v>
      </c>
      <c r="O5" s="20" t="n">
        <f aca="false">COUNTIFS($B$4:$B$203,$L5,$F$4:$F$203,"")</f>
        <v>0</v>
      </c>
    </row>
    <row r="6" customFormat="false" ht="15" hidden="false" customHeight="false" outlineLevel="0" collapsed="false">
      <c r="A6" s="46" t="s">
        <v>277</v>
      </c>
      <c r="B6" s="46" t="s">
        <v>143</v>
      </c>
      <c r="C6" s="51" t="s">
        <v>278</v>
      </c>
      <c r="D6" s="47" t="s">
        <v>279</v>
      </c>
      <c r="E6" s="47" t="s">
        <v>273</v>
      </c>
      <c r="F6" s="65"/>
      <c r="G6" s="47" t="s">
        <v>280</v>
      </c>
      <c r="H6" s="47" t="s">
        <v>281</v>
      </c>
      <c r="I6" s="48" t="n">
        <v>46295</v>
      </c>
      <c r="J6" s="46" t="s">
        <v>282</v>
      </c>
      <c r="K6" s="3"/>
      <c r="L6" s="19" t="s">
        <v>159</v>
      </c>
      <c r="M6" s="20" t="n">
        <f aca="false">COUNTIFS($B$4:$B$203,$L6)</f>
        <v>5</v>
      </c>
      <c r="N6" s="20" t="n">
        <f aca="false">COUNTIFS($B$4:$B$203,$L6,$J$4:$J$203,"Accepted")</f>
        <v>1</v>
      </c>
      <c r="O6" s="20" t="n">
        <f aca="false">COUNTIFS($B$4:$B$203,$L6,$F$4:$F$203,"")</f>
        <v>4</v>
      </c>
    </row>
    <row r="7" customFormat="false" ht="15" hidden="false" customHeight="false" outlineLevel="0" collapsed="false">
      <c r="A7" s="52" t="s">
        <v>283</v>
      </c>
      <c r="B7" s="52" t="s">
        <v>143</v>
      </c>
      <c r="C7" s="57" t="s">
        <v>284</v>
      </c>
      <c r="D7" s="53" t="s">
        <v>285</v>
      </c>
      <c r="E7" s="53" t="s">
        <v>286</v>
      </c>
      <c r="F7" s="65"/>
      <c r="G7" s="53" t="s">
        <v>287</v>
      </c>
      <c r="H7" s="53" t="s">
        <v>269</v>
      </c>
      <c r="I7" s="54" t="n">
        <v>46325</v>
      </c>
      <c r="J7" s="52" t="s">
        <v>288</v>
      </c>
      <c r="K7" s="3"/>
      <c r="L7" s="19" t="s">
        <v>167</v>
      </c>
      <c r="M7" s="20" t="n">
        <f aca="false">COUNTIFS($B$4:$B$203,$L7)</f>
        <v>3</v>
      </c>
      <c r="N7" s="20" t="n">
        <f aca="false">COUNTIFS($B$4:$B$203,$L7,$J$4:$J$203,"Accepted")</f>
        <v>2</v>
      </c>
      <c r="O7" s="20" t="n">
        <f aca="false">COUNTIFS($B$4:$B$203,$L7,$F$4:$F$203,"")</f>
        <v>0</v>
      </c>
    </row>
    <row r="8" customFormat="false" ht="15" hidden="false" customHeight="false" outlineLevel="0" collapsed="false">
      <c r="A8" s="46" t="s">
        <v>289</v>
      </c>
      <c r="B8" s="46" t="s">
        <v>151</v>
      </c>
      <c r="C8" s="51" t="s">
        <v>290</v>
      </c>
      <c r="D8" s="47" t="s">
        <v>291</v>
      </c>
      <c r="E8" s="47" t="s">
        <v>155</v>
      </c>
      <c r="F8" s="47" t="s">
        <v>154</v>
      </c>
      <c r="G8" s="47" t="s">
        <v>292</v>
      </c>
      <c r="H8" s="47" t="s">
        <v>293</v>
      </c>
      <c r="I8" s="48" t="n">
        <v>46171</v>
      </c>
      <c r="J8" s="46" t="s">
        <v>263</v>
      </c>
      <c r="K8" s="3"/>
      <c r="L8" s="19" t="s">
        <v>174</v>
      </c>
      <c r="M8" s="20" t="n">
        <f aca="false">COUNTIFS($B$4:$B$203,$L8)</f>
        <v>3</v>
      </c>
      <c r="N8" s="20" t="n">
        <f aca="false">COUNTIFS($B$4:$B$203,$L8,$J$4:$J$203,"Accepted")</f>
        <v>1</v>
      </c>
      <c r="O8" s="20" t="n">
        <f aca="false">COUNTIFS($B$4:$B$203,$L8,$F$4:$F$203,"")</f>
        <v>1</v>
      </c>
    </row>
    <row r="9" customFormat="false" ht="15" hidden="false" customHeight="false" outlineLevel="0" collapsed="false">
      <c r="A9" s="52" t="s">
        <v>294</v>
      </c>
      <c r="B9" s="52" t="s">
        <v>151</v>
      </c>
      <c r="C9" s="57" t="s">
        <v>295</v>
      </c>
      <c r="D9" s="53" t="s">
        <v>296</v>
      </c>
      <c r="E9" s="53" t="s">
        <v>297</v>
      </c>
      <c r="F9" s="53" t="s">
        <v>155</v>
      </c>
      <c r="G9" s="53" t="s">
        <v>298</v>
      </c>
      <c r="H9" s="53" t="s">
        <v>299</v>
      </c>
      <c r="I9" s="54" t="n">
        <v>46265</v>
      </c>
      <c r="J9" s="52" t="s">
        <v>276</v>
      </c>
      <c r="K9" s="3"/>
      <c r="L9" s="3"/>
      <c r="M9" s="3"/>
      <c r="N9" s="3"/>
      <c r="O9" s="3"/>
    </row>
    <row r="10" customFormat="false" ht="15" hidden="false" customHeight="true" outlineLevel="0" collapsed="false">
      <c r="A10" s="46" t="s">
        <v>300</v>
      </c>
      <c r="B10" s="46" t="s">
        <v>151</v>
      </c>
      <c r="C10" s="51" t="s">
        <v>301</v>
      </c>
      <c r="D10" s="47" t="s">
        <v>302</v>
      </c>
      <c r="E10" s="47" t="s">
        <v>297</v>
      </c>
      <c r="F10" s="47" t="s">
        <v>155</v>
      </c>
      <c r="G10" s="47" t="s">
        <v>303</v>
      </c>
      <c r="H10" s="47" t="s">
        <v>293</v>
      </c>
      <c r="I10" s="48" t="n">
        <v>46325</v>
      </c>
      <c r="J10" s="46" t="s">
        <v>282</v>
      </c>
      <c r="K10" s="3"/>
      <c r="L10" s="66" t="s">
        <v>304</v>
      </c>
      <c r="M10" s="66"/>
      <c r="N10" s="66"/>
      <c r="O10" s="66"/>
    </row>
    <row r="11" customFormat="false" ht="15" hidden="false" customHeight="false" outlineLevel="0" collapsed="false">
      <c r="A11" s="52" t="s">
        <v>305</v>
      </c>
      <c r="B11" s="52" t="s">
        <v>159</v>
      </c>
      <c r="C11" s="57" t="s">
        <v>306</v>
      </c>
      <c r="D11" s="53" t="s">
        <v>307</v>
      </c>
      <c r="E11" s="53" t="s">
        <v>163</v>
      </c>
      <c r="F11" s="53" t="s">
        <v>162</v>
      </c>
      <c r="G11" s="53" t="s">
        <v>308</v>
      </c>
      <c r="H11" s="53" t="s">
        <v>309</v>
      </c>
      <c r="I11" s="54" t="n">
        <v>46171</v>
      </c>
      <c r="J11" s="52" t="s">
        <v>263</v>
      </c>
      <c r="K11" s="3"/>
      <c r="L11" s="66"/>
      <c r="M11" s="66"/>
      <c r="N11" s="66"/>
      <c r="O11" s="66"/>
    </row>
    <row r="12" customFormat="false" ht="15" hidden="false" customHeight="false" outlineLevel="0" collapsed="false">
      <c r="A12" s="46" t="s">
        <v>310</v>
      </c>
      <c r="B12" s="46" t="s">
        <v>159</v>
      </c>
      <c r="C12" s="51" t="s">
        <v>311</v>
      </c>
      <c r="D12" s="47" t="s">
        <v>312</v>
      </c>
      <c r="E12" s="47" t="s">
        <v>313</v>
      </c>
      <c r="F12" s="65"/>
      <c r="G12" s="47" t="s">
        <v>314</v>
      </c>
      <c r="H12" s="47" t="s">
        <v>309</v>
      </c>
      <c r="I12" s="48" t="n">
        <v>46265</v>
      </c>
      <c r="J12" s="46" t="s">
        <v>282</v>
      </c>
      <c r="K12" s="3"/>
      <c r="L12" s="66"/>
      <c r="M12" s="66"/>
      <c r="N12" s="66"/>
      <c r="O12" s="66"/>
    </row>
    <row r="13" customFormat="false" ht="15" hidden="false" customHeight="false" outlineLevel="0" collapsed="false">
      <c r="A13" s="52" t="s">
        <v>315</v>
      </c>
      <c r="B13" s="52" t="s">
        <v>159</v>
      </c>
      <c r="C13" s="57" t="s">
        <v>316</v>
      </c>
      <c r="D13" s="53" t="s">
        <v>317</v>
      </c>
      <c r="E13" s="53" t="s">
        <v>313</v>
      </c>
      <c r="F13" s="65"/>
      <c r="G13" s="53" t="s">
        <v>318</v>
      </c>
      <c r="H13" s="53" t="s">
        <v>309</v>
      </c>
      <c r="I13" s="54" t="n">
        <v>46295</v>
      </c>
      <c r="J13" s="52" t="s">
        <v>288</v>
      </c>
      <c r="K13" s="3"/>
      <c r="L13" s="3"/>
      <c r="M13" s="3"/>
      <c r="N13" s="3"/>
      <c r="O13" s="3"/>
    </row>
    <row r="14" customFormat="false" ht="15" hidden="false" customHeight="false" outlineLevel="0" collapsed="false">
      <c r="A14" s="46" t="s">
        <v>319</v>
      </c>
      <c r="B14" s="46" t="s">
        <v>159</v>
      </c>
      <c r="C14" s="51" t="s">
        <v>320</v>
      </c>
      <c r="D14" s="47" t="s">
        <v>321</v>
      </c>
      <c r="E14" s="47" t="s">
        <v>163</v>
      </c>
      <c r="F14" s="65"/>
      <c r="G14" s="47" t="s">
        <v>322</v>
      </c>
      <c r="H14" s="47" t="s">
        <v>309</v>
      </c>
      <c r="I14" s="48" t="n">
        <v>46325</v>
      </c>
      <c r="J14" s="46" t="s">
        <v>288</v>
      </c>
      <c r="K14" s="3"/>
      <c r="L14" s="3"/>
      <c r="M14" s="3"/>
      <c r="N14" s="3"/>
      <c r="O14" s="3"/>
    </row>
    <row r="15" customFormat="false" ht="15" hidden="false" customHeight="false" outlineLevel="0" collapsed="false">
      <c r="A15" s="52" t="s">
        <v>323</v>
      </c>
      <c r="B15" s="52" t="s">
        <v>159</v>
      </c>
      <c r="C15" s="57" t="s">
        <v>324</v>
      </c>
      <c r="D15" s="53" t="s">
        <v>325</v>
      </c>
      <c r="E15" s="53" t="s">
        <v>163</v>
      </c>
      <c r="F15" s="65"/>
      <c r="G15" s="53" t="s">
        <v>303</v>
      </c>
      <c r="H15" s="53" t="s">
        <v>309</v>
      </c>
      <c r="I15" s="54" t="n">
        <v>46325</v>
      </c>
      <c r="J15" s="52" t="s">
        <v>288</v>
      </c>
      <c r="K15" s="3"/>
      <c r="L15" s="3"/>
      <c r="M15" s="3"/>
      <c r="N15" s="3"/>
      <c r="O15" s="3"/>
    </row>
    <row r="16" customFormat="false" ht="15" hidden="false" customHeight="false" outlineLevel="0" collapsed="false">
      <c r="A16" s="46" t="s">
        <v>326</v>
      </c>
      <c r="B16" s="46" t="s">
        <v>167</v>
      </c>
      <c r="C16" s="51" t="s">
        <v>327</v>
      </c>
      <c r="D16" s="47" t="s">
        <v>328</v>
      </c>
      <c r="E16" s="47" t="s">
        <v>170</v>
      </c>
      <c r="F16" s="47" t="s">
        <v>146</v>
      </c>
      <c r="G16" s="47" t="s">
        <v>322</v>
      </c>
      <c r="H16" s="47" t="s">
        <v>329</v>
      </c>
      <c r="I16" s="48" t="n">
        <v>46171</v>
      </c>
      <c r="J16" s="46" t="s">
        <v>263</v>
      </c>
      <c r="K16" s="3"/>
      <c r="L16" s="3"/>
      <c r="M16" s="3"/>
      <c r="N16" s="3"/>
      <c r="O16" s="3"/>
    </row>
    <row r="17" customFormat="false" ht="15" hidden="false" customHeight="false" outlineLevel="0" collapsed="false">
      <c r="A17" s="52" t="s">
        <v>330</v>
      </c>
      <c r="B17" s="52" t="s">
        <v>167</v>
      </c>
      <c r="C17" s="57" t="s">
        <v>331</v>
      </c>
      <c r="D17" s="53" t="s">
        <v>332</v>
      </c>
      <c r="E17" s="53" t="s">
        <v>333</v>
      </c>
      <c r="F17" s="53" t="s">
        <v>170</v>
      </c>
      <c r="G17" s="53" t="s">
        <v>303</v>
      </c>
      <c r="H17" s="53" t="s">
        <v>334</v>
      </c>
      <c r="I17" s="54" t="n">
        <v>46234</v>
      </c>
      <c r="J17" s="52" t="s">
        <v>263</v>
      </c>
      <c r="K17" s="3"/>
      <c r="L17" s="3"/>
      <c r="M17" s="3"/>
      <c r="N17" s="3"/>
      <c r="O17" s="3"/>
    </row>
    <row r="18" customFormat="false" ht="15" hidden="false" customHeight="false" outlineLevel="0" collapsed="false">
      <c r="A18" s="46" t="s">
        <v>335</v>
      </c>
      <c r="B18" s="46" t="s">
        <v>167</v>
      </c>
      <c r="C18" s="51" t="s">
        <v>336</v>
      </c>
      <c r="D18" s="47" t="s">
        <v>337</v>
      </c>
      <c r="E18" s="47" t="s">
        <v>333</v>
      </c>
      <c r="F18" s="47" t="s">
        <v>170</v>
      </c>
      <c r="G18" s="47" t="s">
        <v>338</v>
      </c>
      <c r="H18" s="47" t="s">
        <v>339</v>
      </c>
      <c r="I18" s="48" t="n">
        <v>46356</v>
      </c>
      <c r="J18" s="46" t="s">
        <v>282</v>
      </c>
      <c r="K18" s="3"/>
      <c r="L18" s="3"/>
      <c r="M18" s="3"/>
      <c r="N18" s="3"/>
      <c r="O18" s="3"/>
    </row>
    <row r="19" customFormat="false" ht="15" hidden="false" customHeight="false" outlineLevel="0" collapsed="false">
      <c r="A19" s="52" t="s">
        <v>340</v>
      </c>
      <c r="B19" s="52" t="s">
        <v>174</v>
      </c>
      <c r="C19" s="57" t="s">
        <v>341</v>
      </c>
      <c r="D19" s="53" t="s">
        <v>342</v>
      </c>
      <c r="E19" s="53" t="s">
        <v>177</v>
      </c>
      <c r="F19" s="53" t="s">
        <v>154</v>
      </c>
      <c r="G19" s="53" t="s">
        <v>343</v>
      </c>
      <c r="H19" s="53" t="s">
        <v>329</v>
      </c>
      <c r="I19" s="54" t="n">
        <v>46171</v>
      </c>
      <c r="J19" s="52" t="s">
        <v>263</v>
      </c>
      <c r="K19" s="3"/>
      <c r="L19" s="3"/>
      <c r="M19" s="3"/>
      <c r="N19" s="3"/>
      <c r="O19" s="3"/>
    </row>
    <row r="20" customFormat="false" ht="15" hidden="false" customHeight="false" outlineLevel="0" collapsed="false">
      <c r="A20" s="46" t="s">
        <v>344</v>
      </c>
      <c r="B20" s="46" t="s">
        <v>174</v>
      </c>
      <c r="C20" s="51" t="s">
        <v>345</v>
      </c>
      <c r="D20" s="47" t="s">
        <v>346</v>
      </c>
      <c r="E20" s="47" t="s">
        <v>347</v>
      </c>
      <c r="F20" s="47" t="s">
        <v>177</v>
      </c>
      <c r="G20" s="47" t="s">
        <v>275</v>
      </c>
      <c r="H20" s="47" t="s">
        <v>298</v>
      </c>
      <c r="I20" s="48" t="n">
        <v>46265</v>
      </c>
      <c r="J20" s="46" t="s">
        <v>276</v>
      </c>
      <c r="K20" s="3"/>
      <c r="L20" s="3"/>
      <c r="M20" s="3"/>
      <c r="N20" s="3"/>
      <c r="O20" s="3"/>
    </row>
    <row r="21" customFormat="false" ht="15" hidden="false" customHeight="false" outlineLevel="0" collapsed="false">
      <c r="A21" s="52" t="s">
        <v>348</v>
      </c>
      <c r="B21" s="52" t="s">
        <v>174</v>
      </c>
      <c r="C21" s="57" t="s">
        <v>349</v>
      </c>
      <c r="D21" s="53" t="s">
        <v>350</v>
      </c>
      <c r="E21" s="53" t="s">
        <v>347</v>
      </c>
      <c r="F21" s="65"/>
      <c r="G21" s="53" t="s">
        <v>351</v>
      </c>
      <c r="H21" s="53" t="s">
        <v>303</v>
      </c>
      <c r="I21" s="54" t="n">
        <v>46295</v>
      </c>
      <c r="J21" s="52" t="s">
        <v>282</v>
      </c>
      <c r="K21" s="3"/>
      <c r="L21" s="3"/>
      <c r="M21" s="3"/>
      <c r="N21" s="3"/>
      <c r="O21" s="3"/>
    </row>
    <row r="22" customFormat="false" ht="15" hidden="false" customHeight="false" outlineLevel="0" collapsed="false">
      <c r="A22" s="46"/>
      <c r="B22" s="46"/>
      <c r="C22" s="47"/>
      <c r="D22" s="47"/>
      <c r="E22" s="47"/>
      <c r="F22" s="47"/>
      <c r="G22" s="47"/>
      <c r="H22" s="47"/>
      <c r="I22" s="48"/>
      <c r="J22" s="46"/>
      <c r="K22" s="3"/>
      <c r="L22" s="3"/>
      <c r="M22" s="3"/>
      <c r="N22" s="3"/>
      <c r="O22" s="3"/>
    </row>
    <row r="23" customFormat="false" ht="15" hidden="false" customHeight="false" outlineLevel="0" collapsed="false">
      <c r="A23" s="52"/>
      <c r="B23" s="52"/>
      <c r="C23" s="53"/>
      <c r="D23" s="53"/>
      <c r="E23" s="53"/>
      <c r="F23" s="53"/>
      <c r="G23" s="53"/>
      <c r="H23" s="53"/>
      <c r="I23" s="54"/>
      <c r="J23" s="52"/>
      <c r="K23" s="3"/>
      <c r="L23" s="3"/>
      <c r="M23" s="3"/>
      <c r="N23" s="3"/>
      <c r="O23" s="3"/>
    </row>
    <row r="24" customFormat="false" ht="15" hidden="false" customHeight="false" outlineLevel="0" collapsed="false">
      <c r="A24" s="46"/>
      <c r="B24" s="46"/>
      <c r="C24" s="47"/>
      <c r="D24" s="47"/>
      <c r="E24" s="47"/>
      <c r="F24" s="47"/>
      <c r="G24" s="47"/>
      <c r="H24" s="47"/>
      <c r="I24" s="48"/>
      <c r="J24" s="46"/>
      <c r="K24" s="3"/>
      <c r="L24" s="3"/>
      <c r="M24" s="3"/>
      <c r="N24" s="3"/>
      <c r="O24" s="3"/>
    </row>
    <row r="25" customFormat="false" ht="15" hidden="false" customHeight="false" outlineLevel="0" collapsed="false">
      <c r="A25" s="52"/>
      <c r="B25" s="52"/>
      <c r="C25" s="53"/>
      <c r="D25" s="53"/>
      <c r="E25" s="53"/>
      <c r="F25" s="53"/>
      <c r="G25" s="53"/>
      <c r="H25" s="53"/>
      <c r="I25" s="54"/>
      <c r="J25" s="52"/>
      <c r="K25" s="3"/>
      <c r="L25" s="3"/>
      <c r="M25" s="3"/>
      <c r="N25" s="3"/>
      <c r="O25" s="3"/>
    </row>
    <row r="26" customFormat="false" ht="15" hidden="false" customHeight="false" outlineLevel="0" collapsed="false">
      <c r="A26" s="46"/>
      <c r="B26" s="46"/>
      <c r="C26" s="47"/>
      <c r="D26" s="47"/>
      <c r="E26" s="47"/>
      <c r="F26" s="47"/>
      <c r="G26" s="47"/>
      <c r="H26" s="47"/>
      <c r="I26" s="48"/>
      <c r="J26" s="46"/>
      <c r="K26" s="3"/>
      <c r="L26" s="3"/>
      <c r="M26" s="3"/>
      <c r="N26" s="3"/>
      <c r="O26" s="3"/>
    </row>
    <row r="27" customFormat="false" ht="15" hidden="false" customHeight="false" outlineLevel="0" collapsed="false">
      <c r="A27" s="52"/>
      <c r="B27" s="52"/>
      <c r="C27" s="53"/>
      <c r="D27" s="53"/>
      <c r="E27" s="53"/>
      <c r="F27" s="53"/>
      <c r="G27" s="53"/>
      <c r="H27" s="53"/>
      <c r="I27" s="54"/>
      <c r="J27" s="52"/>
      <c r="K27" s="3"/>
      <c r="L27" s="3"/>
      <c r="M27" s="3"/>
      <c r="N27" s="3"/>
      <c r="O27" s="3"/>
    </row>
    <row r="28" customFormat="false" ht="15" hidden="false" customHeight="false" outlineLevel="0" collapsed="false">
      <c r="A28" s="46"/>
      <c r="B28" s="46"/>
      <c r="C28" s="47"/>
      <c r="D28" s="47"/>
      <c r="E28" s="47"/>
      <c r="F28" s="47"/>
      <c r="G28" s="47"/>
      <c r="H28" s="47"/>
      <c r="I28" s="48"/>
      <c r="J28" s="46"/>
      <c r="K28" s="3"/>
      <c r="L28" s="3"/>
      <c r="M28" s="3"/>
      <c r="N28" s="3"/>
      <c r="O28" s="3"/>
    </row>
    <row r="29" customFormat="false" ht="15" hidden="false" customHeight="false" outlineLevel="0" collapsed="false">
      <c r="A29" s="52"/>
      <c r="B29" s="52"/>
      <c r="C29" s="53"/>
      <c r="D29" s="53"/>
      <c r="E29" s="53"/>
      <c r="F29" s="53"/>
      <c r="G29" s="53"/>
      <c r="H29" s="53"/>
      <c r="I29" s="54"/>
      <c r="J29" s="52"/>
      <c r="K29" s="3"/>
      <c r="L29" s="3"/>
      <c r="M29" s="3"/>
      <c r="N29" s="3"/>
      <c r="O29" s="3"/>
    </row>
    <row r="30" customFormat="false" ht="15" hidden="false" customHeight="false" outlineLevel="0" collapsed="false">
      <c r="A30" s="46"/>
      <c r="B30" s="46"/>
      <c r="C30" s="47"/>
      <c r="D30" s="47"/>
      <c r="E30" s="47"/>
      <c r="F30" s="47"/>
      <c r="G30" s="47"/>
      <c r="H30" s="47"/>
      <c r="I30" s="48"/>
      <c r="J30" s="46"/>
      <c r="K30" s="3"/>
      <c r="L30" s="3"/>
      <c r="M30" s="3"/>
      <c r="N30" s="3"/>
      <c r="O30" s="3"/>
    </row>
    <row r="31" customFormat="false" ht="15" hidden="false" customHeight="false" outlineLevel="0" collapsed="false">
      <c r="A31" s="52"/>
      <c r="B31" s="52"/>
      <c r="C31" s="53"/>
      <c r="D31" s="53"/>
      <c r="E31" s="53"/>
      <c r="F31" s="53"/>
      <c r="G31" s="53"/>
      <c r="H31" s="53"/>
      <c r="I31" s="54"/>
      <c r="J31" s="52"/>
      <c r="K31" s="3"/>
      <c r="L31" s="3"/>
      <c r="M31" s="3"/>
      <c r="N31" s="3"/>
      <c r="O31" s="3"/>
    </row>
    <row r="32" customFormat="false" ht="15" hidden="false" customHeight="false" outlineLevel="0" collapsed="false">
      <c r="A32" s="46"/>
      <c r="B32" s="46"/>
      <c r="C32" s="47"/>
      <c r="D32" s="47"/>
      <c r="E32" s="47"/>
      <c r="F32" s="47"/>
      <c r="G32" s="47"/>
      <c r="H32" s="47"/>
      <c r="I32" s="48"/>
      <c r="J32" s="46"/>
      <c r="K32" s="3"/>
      <c r="L32" s="3"/>
      <c r="M32" s="3"/>
      <c r="N32" s="3"/>
      <c r="O32" s="3"/>
    </row>
    <row r="33" customFormat="false" ht="15" hidden="false" customHeight="false" outlineLevel="0" collapsed="false">
      <c r="A33" s="52"/>
      <c r="B33" s="52"/>
      <c r="C33" s="53"/>
      <c r="D33" s="53"/>
      <c r="E33" s="53"/>
      <c r="F33" s="53"/>
      <c r="G33" s="53"/>
      <c r="H33" s="53"/>
      <c r="I33" s="54"/>
      <c r="J33" s="52"/>
      <c r="K33" s="3"/>
      <c r="L33" s="3"/>
      <c r="M33" s="3"/>
      <c r="N33" s="3"/>
      <c r="O33" s="3"/>
    </row>
    <row r="34" customFormat="false" ht="15" hidden="false" customHeight="false" outlineLevel="0" collapsed="false">
      <c r="A34" s="46"/>
      <c r="B34" s="46"/>
      <c r="C34" s="47"/>
      <c r="D34" s="47"/>
      <c r="E34" s="47"/>
      <c r="F34" s="47"/>
      <c r="G34" s="47"/>
      <c r="H34" s="47"/>
      <c r="I34" s="48"/>
      <c r="J34" s="46"/>
      <c r="K34" s="3"/>
      <c r="L34" s="3"/>
      <c r="M34" s="3"/>
      <c r="N34" s="3"/>
      <c r="O34" s="3"/>
    </row>
    <row r="35" customFormat="false" ht="15" hidden="false" customHeight="false" outlineLevel="0" collapsed="false">
      <c r="A35" s="52"/>
      <c r="B35" s="52"/>
      <c r="C35" s="53"/>
      <c r="D35" s="53"/>
      <c r="E35" s="53"/>
      <c r="F35" s="53"/>
      <c r="G35" s="53"/>
      <c r="H35" s="53"/>
      <c r="I35" s="54"/>
      <c r="J35" s="52"/>
      <c r="K35" s="3"/>
      <c r="L35" s="3"/>
      <c r="M35" s="3"/>
      <c r="N35" s="3"/>
      <c r="O35" s="3"/>
    </row>
    <row r="36" customFormat="false" ht="15" hidden="false" customHeight="false" outlineLevel="0" collapsed="false">
      <c r="A36" s="46"/>
      <c r="B36" s="46"/>
      <c r="C36" s="47"/>
      <c r="D36" s="47"/>
      <c r="E36" s="47"/>
      <c r="F36" s="47"/>
      <c r="G36" s="47"/>
      <c r="H36" s="47"/>
      <c r="I36" s="48"/>
      <c r="J36" s="46"/>
      <c r="K36" s="3"/>
      <c r="L36" s="3"/>
      <c r="M36" s="3"/>
      <c r="N36" s="3"/>
      <c r="O36" s="3"/>
    </row>
    <row r="37" customFormat="false" ht="15" hidden="false" customHeight="false" outlineLevel="0" collapsed="false">
      <c r="A37" s="52"/>
      <c r="B37" s="52"/>
      <c r="C37" s="53"/>
      <c r="D37" s="53"/>
      <c r="E37" s="53"/>
      <c r="F37" s="53"/>
      <c r="G37" s="53"/>
      <c r="H37" s="53"/>
      <c r="I37" s="54"/>
      <c r="J37" s="52"/>
      <c r="K37" s="3"/>
      <c r="L37" s="3"/>
      <c r="M37" s="3"/>
      <c r="N37" s="3"/>
      <c r="O37" s="3"/>
    </row>
    <row r="38" customFormat="false" ht="15" hidden="false" customHeight="false" outlineLevel="0" collapsed="false">
      <c r="A38" s="46"/>
      <c r="B38" s="46"/>
      <c r="C38" s="47"/>
      <c r="D38" s="47"/>
      <c r="E38" s="47"/>
      <c r="F38" s="47"/>
      <c r="G38" s="47"/>
      <c r="H38" s="47"/>
      <c r="I38" s="48"/>
      <c r="J38" s="46"/>
      <c r="K38" s="3"/>
      <c r="L38" s="3"/>
      <c r="M38" s="3"/>
      <c r="N38" s="3"/>
      <c r="O38" s="3"/>
    </row>
    <row r="39" customFormat="false" ht="15" hidden="false" customHeight="false" outlineLevel="0" collapsed="false">
      <c r="A39" s="52"/>
      <c r="B39" s="52"/>
      <c r="C39" s="53"/>
      <c r="D39" s="53"/>
      <c r="E39" s="53"/>
      <c r="F39" s="53"/>
      <c r="G39" s="53"/>
      <c r="H39" s="53"/>
      <c r="I39" s="54"/>
      <c r="J39" s="52"/>
      <c r="K39" s="3"/>
      <c r="L39" s="3"/>
      <c r="M39" s="3"/>
      <c r="N39" s="3"/>
      <c r="O39" s="3"/>
    </row>
    <row r="40" customFormat="false" ht="15" hidden="false" customHeight="false" outlineLevel="0" collapsed="false">
      <c r="A40" s="46"/>
      <c r="B40" s="46"/>
      <c r="C40" s="47"/>
      <c r="D40" s="47"/>
      <c r="E40" s="47"/>
      <c r="F40" s="47"/>
      <c r="G40" s="47"/>
      <c r="H40" s="47"/>
      <c r="I40" s="48"/>
      <c r="J40" s="46"/>
      <c r="K40" s="3"/>
      <c r="L40" s="3"/>
      <c r="M40" s="3"/>
      <c r="N40" s="3"/>
      <c r="O40" s="3"/>
    </row>
    <row r="41" customFormat="false" ht="15" hidden="false" customHeight="false" outlineLevel="0" collapsed="false">
      <c r="A41" s="52"/>
      <c r="B41" s="52"/>
      <c r="C41" s="53"/>
      <c r="D41" s="53"/>
      <c r="E41" s="53"/>
      <c r="F41" s="53"/>
      <c r="G41" s="53"/>
      <c r="H41" s="53"/>
      <c r="I41" s="54"/>
      <c r="J41" s="52"/>
      <c r="K41" s="3"/>
      <c r="L41" s="3"/>
      <c r="M41" s="3"/>
      <c r="N41" s="3"/>
      <c r="O41" s="3"/>
    </row>
    <row r="42" customFormat="false" ht="15" hidden="false" customHeight="false" outlineLevel="0" collapsed="false">
      <c r="A42" s="46"/>
      <c r="B42" s="46"/>
      <c r="C42" s="47"/>
      <c r="D42" s="47"/>
      <c r="E42" s="47"/>
      <c r="F42" s="47"/>
      <c r="G42" s="47"/>
      <c r="H42" s="47"/>
      <c r="I42" s="48"/>
      <c r="J42" s="46"/>
      <c r="K42" s="3"/>
      <c r="L42" s="3"/>
      <c r="M42" s="3"/>
      <c r="N42" s="3"/>
      <c r="O42" s="3"/>
    </row>
    <row r="43" customFormat="false" ht="15" hidden="false" customHeight="false" outlineLevel="0" collapsed="false">
      <c r="A43" s="52"/>
      <c r="B43" s="52"/>
      <c r="C43" s="53"/>
      <c r="D43" s="53"/>
      <c r="E43" s="53"/>
      <c r="F43" s="53"/>
      <c r="G43" s="53"/>
      <c r="H43" s="53"/>
      <c r="I43" s="54"/>
      <c r="J43" s="52"/>
      <c r="K43" s="3"/>
      <c r="L43" s="3"/>
      <c r="M43" s="3"/>
      <c r="N43" s="3"/>
      <c r="O43" s="3"/>
    </row>
    <row r="44" customFormat="false" ht="15" hidden="false" customHeight="false" outlineLevel="0" collapsed="false">
      <c r="A44" s="46"/>
      <c r="B44" s="46"/>
      <c r="C44" s="47"/>
      <c r="D44" s="47"/>
      <c r="E44" s="47"/>
      <c r="F44" s="47"/>
      <c r="G44" s="47"/>
      <c r="H44" s="47"/>
      <c r="I44" s="48"/>
      <c r="J44" s="46"/>
      <c r="K44" s="3"/>
      <c r="L44" s="3"/>
      <c r="M44" s="3"/>
      <c r="N44" s="3"/>
      <c r="O44" s="3"/>
    </row>
    <row r="45" customFormat="false" ht="15" hidden="false" customHeight="false" outlineLevel="0" collapsed="false">
      <c r="A45" s="52"/>
      <c r="B45" s="52"/>
      <c r="C45" s="53"/>
      <c r="D45" s="53"/>
      <c r="E45" s="53"/>
      <c r="F45" s="53"/>
      <c r="G45" s="53"/>
      <c r="H45" s="53"/>
      <c r="I45" s="54"/>
      <c r="J45" s="52"/>
      <c r="K45" s="3"/>
      <c r="L45" s="3"/>
      <c r="M45" s="3"/>
      <c r="N45" s="3"/>
      <c r="O45" s="3"/>
    </row>
    <row r="46" customFormat="false" ht="15" hidden="false" customHeight="false" outlineLevel="0" collapsed="false">
      <c r="A46" s="46"/>
      <c r="B46" s="46"/>
      <c r="C46" s="47"/>
      <c r="D46" s="47"/>
      <c r="E46" s="47"/>
      <c r="F46" s="47"/>
      <c r="G46" s="47"/>
      <c r="H46" s="47"/>
      <c r="I46" s="48"/>
      <c r="J46" s="46"/>
      <c r="K46" s="3"/>
      <c r="L46" s="3"/>
      <c r="M46" s="3"/>
      <c r="N46" s="3"/>
      <c r="O46" s="3"/>
    </row>
    <row r="47" customFormat="false" ht="15" hidden="false" customHeight="false" outlineLevel="0" collapsed="false">
      <c r="A47" s="52"/>
      <c r="B47" s="52"/>
      <c r="C47" s="53"/>
      <c r="D47" s="53"/>
      <c r="E47" s="53"/>
      <c r="F47" s="53"/>
      <c r="G47" s="53"/>
      <c r="H47" s="53"/>
      <c r="I47" s="54"/>
      <c r="J47" s="52"/>
      <c r="K47" s="3"/>
      <c r="L47" s="3"/>
      <c r="M47" s="3"/>
      <c r="N47" s="3"/>
      <c r="O47" s="3"/>
    </row>
    <row r="48" customFormat="false" ht="15" hidden="false" customHeight="false" outlineLevel="0" collapsed="false">
      <c r="A48" s="46"/>
      <c r="B48" s="46"/>
      <c r="C48" s="47"/>
      <c r="D48" s="47"/>
      <c r="E48" s="47"/>
      <c r="F48" s="47"/>
      <c r="G48" s="47"/>
      <c r="H48" s="47"/>
      <c r="I48" s="48"/>
      <c r="J48" s="46"/>
      <c r="K48" s="3"/>
      <c r="L48" s="3"/>
      <c r="M48" s="3"/>
      <c r="N48" s="3"/>
      <c r="O48" s="3"/>
    </row>
    <row r="49" customFormat="false" ht="15" hidden="false" customHeight="false" outlineLevel="0" collapsed="false">
      <c r="A49" s="52"/>
      <c r="B49" s="52"/>
      <c r="C49" s="53"/>
      <c r="D49" s="53"/>
      <c r="E49" s="53"/>
      <c r="F49" s="53"/>
      <c r="G49" s="53"/>
      <c r="H49" s="53"/>
      <c r="I49" s="54"/>
      <c r="J49" s="52"/>
      <c r="K49" s="3"/>
      <c r="L49" s="3"/>
      <c r="M49" s="3"/>
      <c r="N49" s="3"/>
      <c r="O49" s="3"/>
    </row>
    <row r="50" customFormat="false" ht="15" hidden="false" customHeight="false" outlineLevel="0" collapsed="false">
      <c r="A50" s="46"/>
      <c r="B50" s="46"/>
      <c r="C50" s="47"/>
      <c r="D50" s="47"/>
      <c r="E50" s="47"/>
      <c r="F50" s="47"/>
      <c r="G50" s="47"/>
      <c r="H50" s="47"/>
      <c r="I50" s="48"/>
      <c r="J50" s="46"/>
      <c r="K50" s="3"/>
      <c r="L50" s="3"/>
      <c r="M50" s="3"/>
      <c r="N50" s="3"/>
      <c r="O50" s="3"/>
    </row>
    <row r="51" customFormat="false" ht="15" hidden="false" customHeight="false" outlineLevel="0" collapsed="false">
      <c r="A51" s="52"/>
      <c r="B51" s="52"/>
      <c r="C51" s="53"/>
      <c r="D51" s="53"/>
      <c r="E51" s="53"/>
      <c r="F51" s="53"/>
      <c r="G51" s="53"/>
      <c r="H51" s="53"/>
      <c r="I51" s="54"/>
      <c r="J51" s="52"/>
      <c r="K51" s="3"/>
      <c r="L51" s="3"/>
      <c r="M51" s="3"/>
      <c r="N51" s="3"/>
      <c r="O51" s="3"/>
    </row>
    <row r="52" customFormat="false" ht="15" hidden="false" customHeight="false" outlineLevel="0" collapsed="false">
      <c r="A52" s="46"/>
      <c r="B52" s="46"/>
      <c r="C52" s="47"/>
      <c r="D52" s="47"/>
      <c r="E52" s="47"/>
      <c r="F52" s="47"/>
      <c r="G52" s="47"/>
      <c r="H52" s="47"/>
      <c r="I52" s="48"/>
      <c r="J52" s="46"/>
      <c r="K52" s="3"/>
      <c r="L52" s="3"/>
      <c r="M52" s="3"/>
      <c r="N52" s="3"/>
      <c r="O52" s="3"/>
    </row>
    <row r="53" customFormat="false" ht="15" hidden="false" customHeight="false" outlineLevel="0" collapsed="false">
      <c r="A53" s="52"/>
      <c r="B53" s="52"/>
      <c r="C53" s="53"/>
      <c r="D53" s="53"/>
      <c r="E53" s="53"/>
      <c r="F53" s="53"/>
      <c r="G53" s="53"/>
      <c r="H53" s="53"/>
      <c r="I53" s="54"/>
      <c r="J53" s="52"/>
      <c r="K53" s="3"/>
      <c r="L53" s="3"/>
      <c r="M53" s="3"/>
      <c r="N53" s="3"/>
      <c r="O53" s="3"/>
    </row>
    <row r="54" customFormat="false" ht="15" hidden="false" customHeight="false" outlineLevel="0" collapsed="false">
      <c r="A54" s="46"/>
      <c r="B54" s="46"/>
      <c r="C54" s="47"/>
      <c r="D54" s="47"/>
      <c r="E54" s="47"/>
      <c r="F54" s="47"/>
      <c r="G54" s="47"/>
      <c r="H54" s="47"/>
      <c r="I54" s="48"/>
      <c r="J54" s="46"/>
      <c r="K54" s="3"/>
      <c r="L54" s="3"/>
      <c r="M54" s="3"/>
      <c r="N54" s="3"/>
      <c r="O54" s="3"/>
    </row>
    <row r="55" customFormat="false" ht="15" hidden="false" customHeight="false" outlineLevel="0" collapsed="false">
      <c r="A55" s="52"/>
      <c r="B55" s="52"/>
      <c r="C55" s="53"/>
      <c r="D55" s="53"/>
      <c r="E55" s="53"/>
      <c r="F55" s="53"/>
      <c r="G55" s="53"/>
      <c r="H55" s="53"/>
      <c r="I55" s="54"/>
      <c r="J55" s="52"/>
      <c r="K55" s="3"/>
      <c r="L55" s="3"/>
      <c r="M55" s="3"/>
      <c r="N55" s="3"/>
      <c r="O55" s="3"/>
    </row>
    <row r="56" customFormat="false" ht="15" hidden="false" customHeight="false" outlineLevel="0" collapsed="false">
      <c r="A56" s="46"/>
      <c r="B56" s="46"/>
      <c r="C56" s="47"/>
      <c r="D56" s="47"/>
      <c r="E56" s="47"/>
      <c r="F56" s="47"/>
      <c r="G56" s="47"/>
      <c r="H56" s="47"/>
      <c r="I56" s="48"/>
      <c r="J56" s="46"/>
      <c r="K56" s="3"/>
      <c r="L56" s="3"/>
      <c r="M56" s="3"/>
      <c r="N56" s="3"/>
      <c r="O56" s="3"/>
    </row>
    <row r="57" customFormat="false" ht="15" hidden="false" customHeight="false" outlineLevel="0" collapsed="false">
      <c r="A57" s="52"/>
      <c r="B57" s="52"/>
      <c r="C57" s="53"/>
      <c r="D57" s="53"/>
      <c r="E57" s="53"/>
      <c r="F57" s="53"/>
      <c r="G57" s="53"/>
      <c r="H57" s="53"/>
      <c r="I57" s="54"/>
      <c r="J57" s="52"/>
      <c r="K57" s="3"/>
      <c r="L57" s="3"/>
      <c r="M57" s="3"/>
      <c r="N57" s="3"/>
      <c r="O57" s="3"/>
    </row>
    <row r="58" customFormat="false" ht="15" hidden="false" customHeight="false" outlineLevel="0" collapsed="false">
      <c r="A58" s="46"/>
      <c r="B58" s="46"/>
      <c r="C58" s="47"/>
      <c r="D58" s="47"/>
      <c r="E58" s="47"/>
      <c r="F58" s="47"/>
      <c r="G58" s="47"/>
      <c r="H58" s="47"/>
      <c r="I58" s="48"/>
      <c r="J58" s="46"/>
      <c r="K58" s="3"/>
      <c r="L58" s="3"/>
      <c r="M58" s="3"/>
      <c r="N58" s="3"/>
      <c r="O58" s="3"/>
    </row>
    <row r="59" customFormat="false" ht="15" hidden="false" customHeight="false" outlineLevel="0" collapsed="false">
      <c r="A59" s="52"/>
      <c r="B59" s="52"/>
      <c r="C59" s="53"/>
      <c r="D59" s="53"/>
      <c r="E59" s="53"/>
      <c r="F59" s="53"/>
      <c r="G59" s="53"/>
      <c r="H59" s="53"/>
      <c r="I59" s="54"/>
      <c r="J59" s="52"/>
      <c r="K59" s="3"/>
      <c r="L59" s="3"/>
      <c r="M59" s="3"/>
      <c r="N59" s="3"/>
      <c r="O59" s="3"/>
    </row>
    <row r="60" customFormat="false" ht="15" hidden="false" customHeight="false" outlineLevel="0" collapsed="false">
      <c r="A60" s="46"/>
      <c r="B60" s="46"/>
      <c r="C60" s="47"/>
      <c r="D60" s="47"/>
      <c r="E60" s="47"/>
      <c r="F60" s="47"/>
      <c r="G60" s="47"/>
      <c r="H60" s="47"/>
      <c r="I60" s="48"/>
      <c r="J60" s="46"/>
      <c r="K60" s="3"/>
      <c r="L60" s="3"/>
      <c r="M60" s="3"/>
      <c r="N60" s="3"/>
      <c r="O60" s="3"/>
    </row>
    <row r="61" customFormat="false" ht="15" hidden="false" customHeight="false" outlineLevel="0" collapsed="false">
      <c r="A61" s="52"/>
      <c r="B61" s="52"/>
      <c r="C61" s="53"/>
      <c r="D61" s="53"/>
      <c r="E61" s="53"/>
      <c r="F61" s="53"/>
      <c r="G61" s="53"/>
      <c r="H61" s="53"/>
      <c r="I61" s="54"/>
      <c r="J61" s="52"/>
      <c r="K61" s="3"/>
      <c r="L61" s="3"/>
      <c r="M61" s="3"/>
      <c r="N61" s="3"/>
      <c r="O61" s="3"/>
    </row>
    <row r="62" customFormat="false" ht="15" hidden="false" customHeight="false" outlineLevel="0" collapsed="false">
      <c r="A62" s="46"/>
      <c r="B62" s="46"/>
      <c r="C62" s="47"/>
      <c r="D62" s="47"/>
      <c r="E62" s="47"/>
      <c r="F62" s="47"/>
      <c r="G62" s="47"/>
      <c r="H62" s="47"/>
      <c r="I62" s="48"/>
      <c r="J62" s="46"/>
      <c r="K62" s="3"/>
      <c r="L62" s="3"/>
      <c r="M62" s="3"/>
      <c r="N62" s="3"/>
      <c r="O62" s="3"/>
    </row>
    <row r="63" customFormat="false" ht="15" hidden="false" customHeight="false" outlineLevel="0" collapsed="false">
      <c r="A63" s="52"/>
      <c r="B63" s="52"/>
      <c r="C63" s="53"/>
      <c r="D63" s="53"/>
      <c r="E63" s="53"/>
      <c r="F63" s="53"/>
      <c r="G63" s="53"/>
      <c r="H63" s="53"/>
      <c r="I63" s="54"/>
      <c r="J63" s="52"/>
      <c r="K63" s="3"/>
      <c r="L63" s="3"/>
      <c r="M63" s="3"/>
      <c r="N63" s="3"/>
      <c r="O63" s="3"/>
    </row>
    <row r="64" customFormat="false" ht="15" hidden="false" customHeight="false" outlineLevel="0" collapsed="false">
      <c r="A64" s="46"/>
      <c r="B64" s="46"/>
      <c r="C64" s="47"/>
      <c r="D64" s="47"/>
      <c r="E64" s="47"/>
      <c r="F64" s="47"/>
      <c r="G64" s="47"/>
      <c r="H64" s="47"/>
      <c r="I64" s="48"/>
      <c r="J64" s="46"/>
      <c r="K64" s="3"/>
      <c r="L64" s="3"/>
      <c r="M64" s="3"/>
      <c r="N64" s="3"/>
      <c r="O64" s="3"/>
    </row>
    <row r="65" customFormat="false" ht="15" hidden="false" customHeight="false" outlineLevel="0" collapsed="false">
      <c r="A65" s="52"/>
      <c r="B65" s="52"/>
      <c r="C65" s="53"/>
      <c r="D65" s="53"/>
      <c r="E65" s="53"/>
      <c r="F65" s="53"/>
      <c r="G65" s="53"/>
      <c r="H65" s="53"/>
      <c r="I65" s="54"/>
      <c r="J65" s="52"/>
      <c r="K65" s="3"/>
      <c r="L65" s="3"/>
      <c r="M65" s="3"/>
      <c r="N65" s="3"/>
      <c r="O65" s="3"/>
    </row>
    <row r="66" customFormat="false" ht="15" hidden="false" customHeight="false" outlineLevel="0" collapsed="false">
      <c r="A66" s="46"/>
      <c r="B66" s="46"/>
      <c r="C66" s="47"/>
      <c r="D66" s="47"/>
      <c r="E66" s="47"/>
      <c r="F66" s="47"/>
      <c r="G66" s="47"/>
      <c r="H66" s="47"/>
      <c r="I66" s="48"/>
      <c r="J66" s="46"/>
      <c r="K66" s="3"/>
      <c r="L66" s="3"/>
      <c r="M66" s="3"/>
      <c r="N66" s="3"/>
      <c r="O66" s="3"/>
    </row>
    <row r="67" customFormat="false" ht="15" hidden="false" customHeight="false" outlineLevel="0" collapsed="false">
      <c r="A67" s="52"/>
      <c r="B67" s="52"/>
      <c r="C67" s="53"/>
      <c r="D67" s="53"/>
      <c r="E67" s="53"/>
      <c r="F67" s="53"/>
      <c r="G67" s="53"/>
      <c r="H67" s="53"/>
      <c r="I67" s="54"/>
      <c r="J67" s="52"/>
      <c r="K67" s="3"/>
      <c r="L67" s="3"/>
      <c r="M67" s="3"/>
      <c r="N67" s="3"/>
      <c r="O67" s="3"/>
    </row>
    <row r="68" customFormat="false" ht="15" hidden="false" customHeight="false" outlineLevel="0" collapsed="false">
      <c r="A68" s="46"/>
      <c r="B68" s="46"/>
      <c r="C68" s="47"/>
      <c r="D68" s="47"/>
      <c r="E68" s="47"/>
      <c r="F68" s="47"/>
      <c r="G68" s="47"/>
      <c r="H68" s="47"/>
      <c r="I68" s="48"/>
      <c r="J68" s="46"/>
      <c r="K68" s="3"/>
      <c r="L68" s="3"/>
      <c r="M68" s="3"/>
      <c r="N68" s="3"/>
      <c r="O68" s="3"/>
    </row>
    <row r="69" customFormat="false" ht="15" hidden="false" customHeight="false" outlineLevel="0" collapsed="false">
      <c r="A69" s="52"/>
      <c r="B69" s="52"/>
      <c r="C69" s="53"/>
      <c r="D69" s="53"/>
      <c r="E69" s="53"/>
      <c r="F69" s="53"/>
      <c r="G69" s="53"/>
      <c r="H69" s="53"/>
      <c r="I69" s="54"/>
      <c r="J69" s="52"/>
      <c r="K69" s="3"/>
      <c r="L69" s="3"/>
      <c r="M69" s="3"/>
      <c r="N69" s="3"/>
      <c r="O69" s="3"/>
    </row>
    <row r="70" customFormat="false" ht="15" hidden="false" customHeight="false" outlineLevel="0" collapsed="false">
      <c r="A70" s="46"/>
      <c r="B70" s="46"/>
      <c r="C70" s="47"/>
      <c r="D70" s="47"/>
      <c r="E70" s="47"/>
      <c r="F70" s="47"/>
      <c r="G70" s="47"/>
      <c r="H70" s="47"/>
      <c r="I70" s="48"/>
      <c r="J70" s="46"/>
      <c r="K70" s="3"/>
      <c r="L70" s="3"/>
      <c r="M70" s="3"/>
      <c r="N70" s="3"/>
      <c r="O70" s="3"/>
    </row>
    <row r="71" customFormat="false" ht="15" hidden="false" customHeight="false" outlineLevel="0" collapsed="false">
      <c r="A71" s="52"/>
      <c r="B71" s="52"/>
      <c r="C71" s="53"/>
      <c r="D71" s="53"/>
      <c r="E71" s="53"/>
      <c r="F71" s="53"/>
      <c r="G71" s="53"/>
      <c r="H71" s="53"/>
      <c r="I71" s="54"/>
      <c r="J71" s="52"/>
      <c r="K71" s="3"/>
      <c r="L71" s="3"/>
      <c r="M71" s="3"/>
      <c r="N71" s="3"/>
      <c r="O71" s="3"/>
    </row>
    <row r="72" customFormat="false" ht="15" hidden="false" customHeight="false" outlineLevel="0" collapsed="false">
      <c r="A72" s="46"/>
      <c r="B72" s="46"/>
      <c r="C72" s="47"/>
      <c r="D72" s="47"/>
      <c r="E72" s="47"/>
      <c r="F72" s="47"/>
      <c r="G72" s="47"/>
      <c r="H72" s="47"/>
      <c r="I72" s="48"/>
      <c r="J72" s="46"/>
      <c r="K72" s="3"/>
      <c r="L72" s="3"/>
      <c r="M72" s="3"/>
      <c r="N72" s="3"/>
      <c r="O72" s="3"/>
    </row>
    <row r="73" customFormat="false" ht="15" hidden="false" customHeight="false" outlineLevel="0" collapsed="false">
      <c r="A73" s="52"/>
      <c r="B73" s="52"/>
      <c r="C73" s="53"/>
      <c r="D73" s="53"/>
      <c r="E73" s="53"/>
      <c r="F73" s="53"/>
      <c r="G73" s="53"/>
      <c r="H73" s="53"/>
      <c r="I73" s="54"/>
      <c r="J73" s="52"/>
      <c r="K73" s="3"/>
      <c r="L73" s="3"/>
      <c r="M73" s="3"/>
      <c r="N73" s="3"/>
      <c r="O73" s="3"/>
    </row>
    <row r="74" customFormat="false" ht="15" hidden="false" customHeight="false" outlineLevel="0" collapsed="false">
      <c r="A74" s="46"/>
      <c r="B74" s="46"/>
      <c r="C74" s="47"/>
      <c r="D74" s="47"/>
      <c r="E74" s="47"/>
      <c r="F74" s="47"/>
      <c r="G74" s="47"/>
      <c r="H74" s="47"/>
      <c r="I74" s="48"/>
      <c r="J74" s="46"/>
      <c r="K74" s="3"/>
      <c r="L74" s="3"/>
      <c r="M74" s="3"/>
      <c r="N74" s="3"/>
      <c r="O74" s="3"/>
    </row>
    <row r="75" customFormat="false" ht="15" hidden="false" customHeight="false" outlineLevel="0" collapsed="false">
      <c r="A75" s="52"/>
      <c r="B75" s="52"/>
      <c r="C75" s="53"/>
      <c r="D75" s="53"/>
      <c r="E75" s="53"/>
      <c r="F75" s="53"/>
      <c r="G75" s="53"/>
      <c r="H75" s="53"/>
      <c r="I75" s="54"/>
      <c r="J75" s="52"/>
      <c r="K75" s="3"/>
      <c r="L75" s="3"/>
      <c r="M75" s="3"/>
      <c r="N75" s="3"/>
      <c r="O75" s="3"/>
    </row>
    <row r="76" customFormat="false" ht="15" hidden="false" customHeight="false" outlineLevel="0" collapsed="false">
      <c r="A76" s="46"/>
      <c r="B76" s="46"/>
      <c r="C76" s="47"/>
      <c r="D76" s="47"/>
      <c r="E76" s="47"/>
      <c r="F76" s="47"/>
      <c r="G76" s="47"/>
      <c r="H76" s="47"/>
      <c r="I76" s="48"/>
      <c r="J76" s="46"/>
      <c r="K76" s="3"/>
      <c r="L76" s="3"/>
      <c r="M76" s="3"/>
      <c r="N76" s="3"/>
      <c r="O76" s="3"/>
    </row>
    <row r="77" customFormat="false" ht="15" hidden="false" customHeight="false" outlineLevel="0" collapsed="false">
      <c r="A77" s="52"/>
      <c r="B77" s="52"/>
      <c r="C77" s="53"/>
      <c r="D77" s="53"/>
      <c r="E77" s="53"/>
      <c r="F77" s="53"/>
      <c r="G77" s="53"/>
      <c r="H77" s="53"/>
      <c r="I77" s="54"/>
      <c r="J77" s="52"/>
      <c r="K77" s="3"/>
      <c r="L77" s="3"/>
      <c r="M77" s="3"/>
      <c r="N77" s="3"/>
      <c r="O77" s="3"/>
    </row>
    <row r="78" customFormat="false" ht="15" hidden="false" customHeight="false" outlineLevel="0" collapsed="false">
      <c r="A78" s="46"/>
      <c r="B78" s="46"/>
      <c r="C78" s="47"/>
      <c r="D78" s="47"/>
      <c r="E78" s="47"/>
      <c r="F78" s="47"/>
      <c r="G78" s="47"/>
      <c r="H78" s="47"/>
      <c r="I78" s="48"/>
      <c r="J78" s="46"/>
      <c r="K78" s="3"/>
      <c r="L78" s="3"/>
      <c r="M78" s="3"/>
      <c r="N78" s="3"/>
      <c r="O78" s="3"/>
    </row>
    <row r="79" customFormat="false" ht="15" hidden="false" customHeight="false" outlineLevel="0" collapsed="false">
      <c r="A79" s="52"/>
      <c r="B79" s="52"/>
      <c r="C79" s="53"/>
      <c r="D79" s="53"/>
      <c r="E79" s="53"/>
      <c r="F79" s="53"/>
      <c r="G79" s="53"/>
      <c r="H79" s="53"/>
      <c r="I79" s="54"/>
      <c r="J79" s="52"/>
      <c r="K79" s="3"/>
      <c r="L79" s="3"/>
      <c r="M79" s="3"/>
      <c r="N79" s="3"/>
      <c r="O79" s="3"/>
    </row>
    <row r="80" customFormat="false" ht="15" hidden="false" customHeight="false" outlineLevel="0" collapsed="false">
      <c r="A80" s="46"/>
      <c r="B80" s="46"/>
      <c r="C80" s="47"/>
      <c r="D80" s="47"/>
      <c r="E80" s="47"/>
      <c r="F80" s="47"/>
      <c r="G80" s="47"/>
      <c r="H80" s="47"/>
      <c r="I80" s="48"/>
      <c r="J80" s="46"/>
      <c r="K80" s="3"/>
      <c r="L80" s="3"/>
      <c r="M80" s="3"/>
      <c r="N80" s="3"/>
      <c r="O80" s="3"/>
    </row>
    <row r="81" customFormat="false" ht="15" hidden="false" customHeight="false" outlineLevel="0" collapsed="false">
      <c r="A81" s="52"/>
      <c r="B81" s="52"/>
      <c r="C81" s="53"/>
      <c r="D81" s="53"/>
      <c r="E81" s="53"/>
      <c r="F81" s="53"/>
      <c r="G81" s="53"/>
      <c r="H81" s="53"/>
      <c r="I81" s="54"/>
      <c r="J81" s="52"/>
      <c r="K81" s="3"/>
      <c r="L81" s="3"/>
      <c r="M81" s="3"/>
      <c r="N81" s="3"/>
      <c r="O81" s="3"/>
    </row>
    <row r="82" customFormat="false" ht="15" hidden="false" customHeight="false" outlineLevel="0" collapsed="false">
      <c r="A82" s="46"/>
      <c r="B82" s="46"/>
      <c r="C82" s="47"/>
      <c r="D82" s="47"/>
      <c r="E82" s="47"/>
      <c r="F82" s="47"/>
      <c r="G82" s="47"/>
      <c r="H82" s="47"/>
      <c r="I82" s="48"/>
      <c r="J82" s="46"/>
      <c r="K82" s="3"/>
      <c r="L82" s="3"/>
      <c r="M82" s="3"/>
      <c r="N82" s="3"/>
      <c r="O82" s="3"/>
    </row>
    <row r="83" customFormat="false" ht="15" hidden="false" customHeight="false" outlineLevel="0" collapsed="false">
      <c r="A83" s="52"/>
      <c r="B83" s="52"/>
      <c r="C83" s="53"/>
      <c r="D83" s="53"/>
      <c r="E83" s="53"/>
      <c r="F83" s="53"/>
      <c r="G83" s="53"/>
      <c r="H83" s="53"/>
      <c r="I83" s="54"/>
      <c r="J83" s="52"/>
      <c r="K83" s="3"/>
      <c r="L83" s="3"/>
      <c r="M83" s="3"/>
      <c r="N83" s="3"/>
      <c r="O83" s="3"/>
    </row>
    <row r="84" customFormat="false" ht="15" hidden="false" customHeight="false" outlineLevel="0" collapsed="false">
      <c r="A84" s="46"/>
      <c r="B84" s="46"/>
      <c r="C84" s="47"/>
      <c r="D84" s="47"/>
      <c r="E84" s="47"/>
      <c r="F84" s="47"/>
      <c r="G84" s="47"/>
      <c r="H84" s="47"/>
      <c r="I84" s="48"/>
      <c r="J84" s="46"/>
      <c r="K84" s="3"/>
      <c r="L84" s="3"/>
      <c r="M84" s="3"/>
      <c r="N84" s="3"/>
      <c r="O84" s="3"/>
    </row>
    <row r="85" customFormat="false" ht="15" hidden="false" customHeight="false" outlineLevel="0" collapsed="false">
      <c r="A85" s="52"/>
      <c r="B85" s="52"/>
      <c r="C85" s="53"/>
      <c r="D85" s="53"/>
      <c r="E85" s="53"/>
      <c r="F85" s="53"/>
      <c r="G85" s="53"/>
      <c r="H85" s="53"/>
      <c r="I85" s="54"/>
      <c r="J85" s="52"/>
      <c r="K85" s="3"/>
      <c r="L85" s="3"/>
      <c r="M85" s="3"/>
      <c r="N85" s="3"/>
      <c r="O85" s="3"/>
    </row>
    <row r="86" customFormat="false" ht="15" hidden="false" customHeight="false" outlineLevel="0" collapsed="false">
      <c r="A86" s="46"/>
      <c r="B86" s="46"/>
      <c r="C86" s="47"/>
      <c r="D86" s="47"/>
      <c r="E86" s="47"/>
      <c r="F86" s="47"/>
      <c r="G86" s="47"/>
      <c r="H86" s="47"/>
      <c r="I86" s="48"/>
      <c r="J86" s="46"/>
      <c r="K86" s="3"/>
      <c r="L86" s="3"/>
      <c r="M86" s="3"/>
      <c r="N86" s="3"/>
      <c r="O86" s="3"/>
    </row>
    <row r="87" customFormat="false" ht="15" hidden="false" customHeight="false" outlineLevel="0" collapsed="false">
      <c r="A87" s="52"/>
      <c r="B87" s="52"/>
      <c r="C87" s="53"/>
      <c r="D87" s="53"/>
      <c r="E87" s="53"/>
      <c r="F87" s="53"/>
      <c r="G87" s="53"/>
      <c r="H87" s="53"/>
      <c r="I87" s="54"/>
      <c r="J87" s="52"/>
      <c r="K87" s="3"/>
      <c r="L87" s="3"/>
      <c r="M87" s="3"/>
      <c r="N87" s="3"/>
      <c r="O87" s="3"/>
    </row>
    <row r="88" customFormat="false" ht="15" hidden="false" customHeight="false" outlineLevel="0" collapsed="false">
      <c r="A88" s="46"/>
      <c r="B88" s="46"/>
      <c r="C88" s="47"/>
      <c r="D88" s="47"/>
      <c r="E88" s="47"/>
      <c r="F88" s="47"/>
      <c r="G88" s="47"/>
      <c r="H88" s="47"/>
      <c r="I88" s="48"/>
      <c r="J88" s="46"/>
      <c r="K88" s="3"/>
      <c r="L88" s="3"/>
      <c r="M88" s="3"/>
      <c r="N88" s="3"/>
      <c r="O88" s="3"/>
    </row>
    <row r="89" customFormat="false" ht="15" hidden="false" customHeight="false" outlineLevel="0" collapsed="false">
      <c r="A89" s="52"/>
      <c r="B89" s="52"/>
      <c r="C89" s="53"/>
      <c r="D89" s="53"/>
      <c r="E89" s="53"/>
      <c r="F89" s="53"/>
      <c r="G89" s="53"/>
      <c r="H89" s="53"/>
      <c r="I89" s="54"/>
      <c r="J89" s="52"/>
      <c r="K89" s="3"/>
      <c r="L89" s="3"/>
      <c r="M89" s="3"/>
      <c r="N89" s="3"/>
      <c r="O89" s="3"/>
    </row>
    <row r="90" customFormat="false" ht="15" hidden="false" customHeight="false" outlineLevel="0" collapsed="false">
      <c r="A90" s="46"/>
      <c r="B90" s="46"/>
      <c r="C90" s="47"/>
      <c r="D90" s="47"/>
      <c r="E90" s="47"/>
      <c r="F90" s="47"/>
      <c r="G90" s="47"/>
      <c r="H90" s="47"/>
      <c r="I90" s="48"/>
      <c r="J90" s="46"/>
      <c r="K90" s="3"/>
      <c r="L90" s="3"/>
      <c r="M90" s="3"/>
      <c r="N90" s="3"/>
      <c r="O90" s="3"/>
    </row>
    <row r="91" customFormat="false" ht="15" hidden="false" customHeight="false" outlineLevel="0" collapsed="false">
      <c r="A91" s="52"/>
      <c r="B91" s="52"/>
      <c r="C91" s="53"/>
      <c r="D91" s="53"/>
      <c r="E91" s="53"/>
      <c r="F91" s="53"/>
      <c r="G91" s="53"/>
      <c r="H91" s="53"/>
      <c r="I91" s="54"/>
      <c r="J91" s="52"/>
      <c r="K91" s="3"/>
      <c r="L91" s="3"/>
      <c r="M91" s="3"/>
      <c r="N91" s="3"/>
      <c r="O91" s="3"/>
    </row>
    <row r="92" customFormat="false" ht="15" hidden="false" customHeight="false" outlineLevel="0" collapsed="false">
      <c r="A92" s="46"/>
      <c r="B92" s="46"/>
      <c r="C92" s="47"/>
      <c r="D92" s="47"/>
      <c r="E92" s="47"/>
      <c r="F92" s="47"/>
      <c r="G92" s="47"/>
      <c r="H92" s="47"/>
      <c r="I92" s="48"/>
      <c r="J92" s="46"/>
      <c r="K92" s="3"/>
      <c r="L92" s="3"/>
      <c r="M92" s="3"/>
      <c r="N92" s="3"/>
      <c r="O92" s="3"/>
    </row>
    <row r="93" customFormat="false" ht="15" hidden="false" customHeight="false" outlineLevel="0" collapsed="false">
      <c r="A93" s="52"/>
      <c r="B93" s="52"/>
      <c r="C93" s="53"/>
      <c r="D93" s="53"/>
      <c r="E93" s="53"/>
      <c r="F93" s="53"/>
      <c r="G93" s="53"/>
      <c r="H93" s="53"/>
      <c r="I93" s="54"/>
      <c r="J93" s="52"/>
      <c r="K93" s="3"/>
      <c r="L93" s="3"/>
      <c r="M93" s="3"/>
      <c r="N93" s="3"/>
      <c r="O93" s="3"/>
    </row>
    <row r="94" customFormat="false" ht="15" hidden="false" customHeight="false" outlineLevel="0" collapsed="false">
      <c r="A94" s="46"/>
      <c r="B94" s="46"/>
      <c r="C94" s="47"/>
      <c r="D94" s="47"/>
      <c r="E94" s="47"/>
      <c r="F94" s="47"/>
      <c r="G94" s="47"/>
      <c r="H94" s="47"/>
      <c r="I94" s="48"/>
      <c r="J94" s="46"/>
      <c r="K94" s="3"/>
      <c r="L94" s="3"/>
      <c r="M94" s="3"/>
      <c r="N94" s="3"/>
      <c r="O94" s="3"/>
    </row>
    <row r="95" customFormat="false" ht="15" hidden="false" customHeight="false" outlineLevel="0" collapsed="false">
      <c r="A95" s="52"/>
      <c r="B95" s="52"/>
      <c r="C95" s="53"/>
      <c r="D95" s="53"/>
      <c r="E95" s="53"/>
      <c r="F95" s="53"/>
      <c r="G95" s="53"/>
      <c r="H95" s="53"/>
      <c r="I95" s="54"/>
      <c r="J95" s="52"/>
      <c r="K95" s="3"/>
      <c r="L95" s="3"/>
      <c r="M95" s="3"/>
      <c r="N95" s="3"/>
      <c r="O95" s="3"/>
    </row>
    <row r="96" customFormat="false" ht="15" hidden="false" customHeight="false" outlineLevel="0" collapsed="false">
      <c r="A96" s="46"/>
      <c r="B96" s="46"/>
      <c r="C96" s="47"/>
      <c r="D96" s="47"/>
      <c r="E96" s="47"/>
      <c r="F96" s="47"/>
      <c r="G96" s="47"/>
      <c r="H96" s="47"/>
      <c r="I96" s="48"/>
      <c r="J96" s="46"/>
      <c r="K96" s="3"/>
      <c r="L96" s="3"/>
      <c r="M96" s="3"/>
      <c r="N96" s="3"/>
      <c r="O96" s="3"/>
    </row>
    <row r="97" customFormat="false" ht="15" hidden="false" customHeight="false" outlineLevel="0" collapsed="false">
      <c r="A97" s="52"/>
      <c r="B97" s="52"/>
      <c r="C97" s="53"/>
      <c r="D97" s="53"/>
      <c r="E97" s="53"/>
      <c r="F97" s="53"/>
      <c r="G97" s="53"/>
      <c r="H97" s="53"/>
      <c r="I97" s="54"/>
      <c r="J97" s="52"/>
      <c r="K97" s="3"/>
      <c r="L97" s="3"/>
      <c r="M97" s="3"/>
      <c r="N97" s="3"/>
      <c r="O97" s="3"/>
    </row>
    <row r="98" customFormat="false" ht="15" hidden="false" customHeight="false" outlineLevel="0" collapsed="false">
      <c r="A98" s="46"/>
      <c r="B98" s="46"/>
      <c r="C98" s="47"/>
      <c r="D98" s="47"/>
      <c r="E98" s="47"/>
      <c r="F98" s="47"/>
      <c r="G98" s="47"/>
      <c r="H98" s="47"/>
      <c r="I98" s="48"/>
      <c r="J98" s="46"/>
      <c r="K98" s="3"/>
      <c r="L98" s="3"/>
      <c r="M98" s="3"/>
      <c r="N98" s="3"/>
      <c r="O98" s="3"/>
    </row>
    <row r="99" customFormat="false" ht="15" hidden="false" customHeight="false" outlineLevel="0" collapsed="false">
      <c r="A99" s="52"/>
      <c r="B99" s="52"/>
      <c r="C99" s="53"/>
      <c r="D99" s="53"/>
      <c r="E99" s="53"/>
      <c r="F99" s="53"/>
      <c r="G99" s="53"/>
      <c r="H99" s="53"/>
      <c r="I99" s="54"/>
      <c r="J99" s="52"/>
      <c r="K99" s="3"/>
      <c r="L99" s="3"/>
      <c r="M99" s="3"/>
      <c r="N99" s="3"/>
      <c r="O99" s="3"/>
    </row>
    <row r="100" customFormat="false" ht="15" hidden="false" customHeight="false" outlineLevel="0" collapsed="false">
      <c r="A100" s="46"/>
      <c r="B100" s="46"/>
      <c r="C100" s="47"/>
      <c r="D100" s="47"/>
      <c r="E100" s="47"/>
      <c r="F100" s="47"/>
      <c r="G100" s="47"/>
      <c r="H100" s="47"/>
      <c r="I100" s="48"/>
      <c r="J100" s="46"/>
      <c r="K100" s="3"/>
      <c r="L100" s="3"/>
      <c r="M100" s="3"/>
      <c r="N100" s="3"/>
      <c r="O100" s="3"/>
    </row>
    <row r="101" customFormat="false" ht="15" hidden="false" customHeight="false" outlineLevel="0" collapsed="false">
      <c r="A101" s="52"/>
      <c r="B101" s="52"/>
      <c r="C101" s="53"/>
      <c r="D101" s="53"/>
      <c r="E101" s="53"/>
      <c r="F101" s="53"/>
      <c r="G101" s="53"/>
      <c r="H101" s="53"/>
      <c r="I101" s="54"/>
      <c r="J101" s="52"/>
      <c r="K101" s="3"/>
      <c r="L101" s="3"/>
      <c r="M101" s="3"/>
      <c r="N101" s="3"/>
      <c r="O101" s="3"/>
    </row>
    <row r="102" customFormat="false" ht="15" hidden="false" customHeight="false" outlineLevel="0" collapsed="false">
      <c r="A102" s="46"/>
      <c r="B102" s="46"/>
      <c r="C102" s="47"/>
      <c r="D102" s="47"/>
      <c r="E102" s="47"/>
      <c r="F102" s="47"/>
      <c r="G102" s="47"/>
      <c r="H102" s="47"/>
      <c r="I102" s="48"/>
      <c r="J102" s="46"/>
      <c r="K102" s="3"/>
      <c r="L102" s="3"/>
      <c r="M102" s="3"/>
      <c r="N102" s="3"/>
      <c r="O102" s="3"/>
    </row>
    <row r="103" customFormat="false" ht="15" hidden="false" customHeight="false" outlineLevel="0" collapsed="false">
      <c r="A103" s="52"/>
      <c r="B103" s="52"/>
      <c r="C103" s="53"/>
      <c r="D103" s="53"/>
      <c r="E103" s="53"/>
      <c r="F103" s="53"/>
      <c r="G103" s="53"/>
      <c r="H103" s="53"/>
      <c r="I103" s="54"/>
      <c r="J103" s="52"/>
      <c r="K103" s="3"/>
      <c r="L103" s="3"/>
      <c r="M103" s="3"/>
      <c r="N103" s="3"/>
      <c r="O103" s="3"/>
    </row>
    <row r="104" customFormat="false" ht="15" hidden="false" customHeight="false" outlineLevel="0" collapsed="false">
      <c r="A104" s="46"/>
      <c r="B104" s="46"/>
      <c r="C104" s="47"/>
      <c r="D104" s="47"/>
      <c r="E104" s="47"/>
      <c r="F104" s="47"/>
      <c r="G104" s="47"/>
      <c r="H104" s="47"/>
      <c r="I104" s="48"/>
      <c r="J104" s="46"/>
      <c r="K104" s="3"/>
      <c r="L104" s="3"/>
      <c r="M104" s="3"/>
      <c r="N104" s="3"/>
      <c r="O104" s="3"/>
    </row>
    <row r="105" customFormat="false" ht="15" hidden="false" customHeight="false" outlineLevel="0" collapsed="false">
      <c r="A105" s="52"/>
      <c r="B105" s="52"/>
      <c r="C105" s="53"/>
      <c r="D105" s="53"/>
      <c r="E105" s="53"/>
      <c r="F105" s="53"/>
      <c r="G105" s="53"/>
      <c r="H105" s="53"/>
      <c r="I105" s="54"/>
      <c r="J105" s="52"/>
      <c r="K105" s="3"/>
      <c r="L105" s="3"/>
      <c r="M105" s="3"/>
      <c r="N105" s="3"/>
      <c r="O105" s="3"/>
    </row>
    <row r="106" customFormat="false" ht="15" hidden="false" customHeight="false" outlineLevel="0" collapsed="false">
      <c r="A106" s="46"/>
      <c r="B106" s="46"/>
      <c r="C106" s="47"/>
      <c r="D106" s="47"/>
      <c r="E106" s="47"/>
      <c r="F106" s="47"/>
      <c r="G106" s="47"/>
      <c r="H106" s="47"/>
      <c r="I106" s="48"/>
      <c r="J106" s="46"/>
      <c r="K106" s="3"/>
      <c r="L106" s="3"/>
      <c r="M106" s="3"/>
      <c r="N106" s="3"/>
      <c r="O106" s="3"/>
    </row>
    <row r="107" customFormat="false" ht="15" hidden="false" customHeight="false" outlineLevel="0" collapsed="false">
      <c r="A107" s="52"/>
      <c r="B107" s="52"/>
      <c r="C107" s="53"/>
      <c r="D107" s="53"/>
      <c r="E107" s="53"/>
      <c r="F107" s="53"/>
      <c r="G107" s="53"/>
      <c r="H107" s="53"/>
      <c r="I107" s="54"/>
      <c r="J107" s="52"/>
      <c r="K107" s="3"/>
      <c r="L107" s="3"/>
      <c r="M107" s="3"/>
      <c r="N107" s="3"/>
      <c r="O107" s="3"/>
    </row>
    <row r="108" customFormat="false" ht="15" hidden="false" customHeight="false" outlineLevel="0" collapsed="false">
      <c r="A108" s="46"/>
      <c r="B108" s="46"/>
      <c r="C108" s="47"/>
      <c r="D108" s="47"/>
      <c r="E108" s="47"/>
      <c r="F108" s="47"/>
      <c r="G108" s="47"/>
      <c r="H108" s="47"/>
      <c r="I108" s="48"/>
      <c r="J108" s="46"/>
      <c r="K108" s="3"/>
      <c r="L108" s="3"/>
      <c r="M108" s="3"/>
      <c r="N108" s="3"/>
      <c r="O108" s="3"/>
    </row>
    <row r="109" customFormat="false" ht="15" hidden="false" customHeight="false" outlineLevel="0" collapsed="false">
      <c r="A109" s="52"/>
      <c r="B109" s="52"/>
      <c r="C109" s="53"/>
      <c r="D109" s="53"/>
      <c r="E109" s="53"/>
      <c r="F109" s="53"/>
      <c r="G109" s="53"/>
      <c r="H109" s="53"/>
      <c r="I109" s="54"/>
      <c r="J109" s="52"/>
      <c r="K109" s="3"/>
      <c r="L109" s="3"/>
      <c r="M109" s="3"/>
      <c r="N109" s="3"/>
      <c r="O109" s="3"/>
    </row>
    <row r="110" customFormat="false" ht="15" hidden="false" customHeight="false" outlineLevel="0" collapsed="false">
      <c r="A110" s="46"/>
      <c r="B110" s="46"/>
      <c r="C110" s="47"/>
      <c r="D110" s="47"/>
      <c r="E110" s="47"/>
      <c r="F110" s="47"/>
      <c r="G110" s="47"/>
      <c r="H110" s="47"/>
      <c r="I110" s="48"/>
      <c r="J110" s="46"/>
      <c r="K110" s="3"/>
      <c r="L110" s="3"/>
      <c r="M110" s="3"/>
      <c r="N110" s="3"/>
      <c r="O110" s="3"/>
    </row>
    <row r="111" customFormat="false" ht="15" hidden="false" customHeight="false" outlineLevel="0" collapsed="false">
      <c r="A111" s="52"/>
      <c r="B111" s="52"/>
      <c r="C111" s="53"/>
      <c r="D111" s="53"/>
      <c r="E111" s="53"/>
      <c r="F111" s="53"/>
      <c r="G111" s="53"/>
      <c r="H111" s="53"/>
      <c r="I111" s="54"/>
      <c r="J111" s="52"/>
      <c r="K111" s="3"/>
      <c r="L111" s="3"/>
      <c r="M111" s="3"/>
      <c r="N111" s="3"/>
      <c r="O111" s="3"/>
    </row>
    <row r="112" customFormat="false" ht="15" hidden="false" customHeight="false" outlineLevel="0" collapsed="false">
      <c r="A112" s="46"/>
      <c r="B112" s="46"/>
      <c r="C112" s="47"/>
      <c r="D112" s="47"/>
      <c r="E112" s="47"/>
      <c r="F112" s="47"/>
      <c r="G112" s="47"/>
      <c r="H112" s="47"/>
      <c r="I112" s="48"/>
      <c r="J112" s="46"/>
      <c r="K112" s="3"/>
      <c r="L112" s="3"/>
      <c r="M112" s="3"/>
      <c r="N112" s="3"/>
      <c r="O112" s="3"/>
    </row>
    <row r="113" customFormat="false" ht="15" hidden="false" customHeight="false" outlineLevel="0" collapsed="false">
      <c r="A113" s="52"/>
      <c r="B113" s="52"/>
      <c r="C113" s="53"/>
      <c r="D113" s="53"/>
      <c r="E113" s="53"/>
      <c r="F113" s="53"/>
      <c r="G113" s="53"/>
      <c r="H113" s="53"/>
      <c r="I113" s="54"/>
      <c r="J113" s="52"/>
      <c r="K113" s="3"/>
      <c r="L113" s="3"/>
      <c r="M113" s="3"/>
      <c r="N113" s="3"/>
      <c r="O113" s="3"/>
    </row>
    <row r="114" customFormat="false" ht="15" hidden="false" customHeight="false" outlineLevel="0" collapsed="false">
      <c r="A114" s="46"/>
      <c r="B114" s="46"/>
      <c r="C114" s="47"/>
      <c r="D114" s="47"/>
      <c r="E114" s="47"/>
      <c r="F114" s="47"/>
      <c r="G114" s="47"/>
      <c r="H114" s="47"/>
      <c r="I114" s="48"/>
      <c r="J114" s="46"/>
      <c r="K114" s="3"/>
      <c r="L114" s="3"/>
      <c r="M114" s="3"/>
      <c r="N114" s="3"/>
      <c r="O114" s="3"/>
    </row>
    <row r="115" customFormat="false" ht="15" hidden="false" customHeight="false" outlineLevel="0" collapsed="false">
      <c r="A115" s="52"/>
      <c r="B115" s="52"/>
      <c r="C115" s="53"/>
      <c r="D115" s="53"/>
      <c r="E115" s="53"/>
      <c r="F115" s="53"/>
      <c r="G115" s="53"/>
      <c r="H115" s="53"/>
      <c r="I115" s="54"/>
      <c r="J115" s="52"/>
      <c r="K115" s="3"/>
      <c r="L115" s="3"/>
      <c r="M115" s="3"/>
      <c r="N115" s="3"/>
      <c r="O115" s="3"/>
    </row>
    <row r="116" customFormat="false" ht="15" hidden="false" customHeight="false" outlineLevel="0" collapsed="false">
      <c r="A116" s="46"/>
      <c r="B116" s="46"/>
      <c r="C116" s="47"/>
      <c r="D116" s="47"/>
      <c r="E116" s="47"/>
      <c r="F116" s="47"/>
      <c r="G116" s="47"/>
      <c r="H116" s="47"/>
      <c r="I116" s="48"/>
      <c r="J116" s="46"/>
      <c r="K116" s="3"/>
      <c r="L116" s="3"/>
      <c r="M116" s="3"/>
      <c r="N116" s="3"/>
      <c r="O116" s="3"/>
    </row>
    <row r="117" customFormat="false" ht="15" hidden="false" customHeight="false" outlineLevel="0" collapsed="false">
      <c r="A117" s="52"/>
      <c r="B117" s="52"/>
      <c r="C117" s="53"/>
      <c r="D117" s="53"/>
      <c r="E117" s="53"/>
      <c r="F117" s="53"/>
      <c r="G117" s="53"/>
      <c r="H117" s="53"/>
      <c r="I117" s="54"/>
      <c r="J117" s="52"/>
      <c r="K117" s="3"/>
      <c r="L117" s="3"/>
      <c r="M117" s="3"/>
      <c r="N117" s="3"/>
      <c r="O117" s="3"/>
    </row>
    <row r="118" customFormat="false" ht="15" hidden="false" customHeight="false" outlineLevel="0" collapsed="false">
      <c r="A118" s="46"/>
      <c r="B118" s="46"/>
      <c r="C118" s="47"/>
      <c r="D118" s="47"/>
      <c r="E118" s="47"/>
      <c r="F118" s="47"/>
      <c r="G118" s="47"/>
      <c r="H118" s="47"/>
      <c r="I118" s="48"/>
      <c r="J118" s="46"/>
      <c r="K118" s="3"/>
      <c r="L118" s="3"/>
      <c r="M118" s="3"/>
      <c r="N118" s="3"/>
      <c r="O118" s="3"/>
    </row>
    <row r="119" customFormat="false" ht="15" hidden="false" customHeight="false" outlineLevel="0" collapsed="false">
      <c r="A119" s="52"/>
      <c r="B119" s="52"/>
      <c r="C119" s="53"/>
      <c r="D119" s="53"/>
      <c r="E119" s="53"/>
      <c r="F119" s="53"/>
      <c r="G119" s="53"/>
      <c r="H119" s="53"/>
      <c r="I119" s="54"/>
      <c r="J119" s="52"/>
      <c r="K119" s="3"/>
      <c r="L119" s="3"/>
      <c r="M119" s="3"/>
      <c r="N119" s="3"/>
      <c r="O119" s="3"/>
    </row>
    <row r="120" customFormat="false" ht="15" hidden="false" customHeight="false" outlineLevel="0" collapsed="false">
      <c r="A120" s="46"/>
      <c r="B120" s="46"/>
      <c r="C120" s="47"/>
      <c r="D120" s="47"/>
      <c r="E120" s="47"/>
      <c r="F120" s="47"/>
      <c r="G120" s="47"/>
      <c r="H120" s="47"/>
      <c r="I120" s="48"/>
      <c r="J120" s="46"/>
      <c r="K120" s="3"/>
      <c r="L120" s="3"/>
      <c r="M120" s="3"/>
      <c r="N120" s="3"/>
      <c r="O120" s="3"/>
    </row>
    <row r="121" customFormat="false" ht="15" hidden="false" customHeight="false" outlineLevel="0" collapsed="false">
      <c r="A121" s="52"/>
      <c r="B121" s="52"/>
      <c r="C121" s="53"/>
      <c r="D121" s="53"/>
      <c r="E121" s="53"/>
      <c r="F121" s="53"/>
      <c r="G121" s="53"/>
      <c r="H121" s="53"/>
      <c r="I121" s="54"/>
      <c r="J121" s="52"/>
      <c r="K121" s="3"/>
      <c r="L121" s="3"/>
      <c r="M121" s="3"/>
      <c r="N121" s="3"/>
      <c r="O121" s="3"/>
    </row>
    <row r="122" customFormat="false" ht="15" hidden="false" customHeight="false" outlineLevel="0" collapsed="false">
      <c r="A122" s="46"/>
      <c r="B122" s="46"/>
      <c r="C122" s="47"/>
      <c r="D122" s="47"/>
      <c r="E122" s="47"/>
      <c r="F122" s="47"/>
      <c r="G122" s="47"/>
      <c r="H122" s="47"/>
      <c r="I122" s="48"/>
      <c r="J122" s="46"/>
      <c r="K122" s="3"/>
      <c r="L122" s="3"/>
      <c r="M122" s="3"/>
      <c r="N122" s="3"/>
      <c r="O122" s="3"/>
    </row>
    <row r="123" customFormat="false" ht="15" hidden="false" customHeight="false" outlineLevel="0" collapsed="false">
      <c r="A123" s="52"/>
      <c r="B123" s="52"/>
      <c r="C123" s="53"/>
      <c r="D123" s="53"/>
      <c r="E123" s="53"/>
      <c r="F123" s="53"/>
      <c r="G123" s="53"/>
      <c r="H123" s="53"/>
      <c r="I123" s="54"/>
      <c r="J123" s="52"/>
      <c r="K123" s="3"/>
      <c r="L123" s="3"/>
      <c r="M123" s="3"/>
      <c r="N123" s="3"/>
      <c r="O123" s="3"/>
    </row>
    <row r="124" customFormat="false" ht="15" hidden="false" customHeight="false" outlineLevel="0" collapsed="false">
      <c r="A124" s="46"/>
      <c r="B124" s="46"/>
      <c r="C124" s="47"/>
      <c r="D124" s="47"/>
      <c r="E124" s="47"/>
      <c r="F124" s="47"/>
      <c r="G124" s="47"/>
      <c r="H124" s="47"/>
      <c r="I124" s="48"/>
      <c r="J124" s="46"/>
      <c r="K124" s="3"/>
      <c r="L124" s="3"/>
      <c r="M124" s="3"/>
      <c r="N124" s="3"/>
      <c r="O124" s="3"/>
    </row>
    <row r="125" customFormat="false" ht="15" hidden="false" customHeight="false" outlineLevel="0" collapsed="false">
      <c r="A125" s="52"/>
      <c r="B125" s="52"/>
      <c r="C125" s="53"/>
      <c r="D125" s="53"/>
      <c r="E125" s="53"/>
      <c r="F125" s="53"/>
      <c r="G125" s="53"/>
      <c r="H125" s="53"/>
      <c r="I125" s="54"/>
      <c r="J125" s="52"/>
      <c r="K125" s="3"/>
      <c r="L125" s="3"/>
      <c r="M125" s="3"/>
      <c r="N125" s="3"/>
      <c r="O125" s="3"/>
    </row>
    <row r="126" customFormat="false" ht="15" hidden="false" customHeight="false" outlineLevel="0" collapsed="false">
      <c r="A126" s="46"/>
      <c r="B126" s="46"/>
      <c r="C126" s="47"/>
      <c r="D126" s="47"/>
      <c r="E126" s="47"/>
      <c r="F126" s="47"/>
      <c r="G126" s="47"/>
      <c r="H126" s="47"/>
      <c r="I126" s="48"/>
      <c r="J126" s="46"/>
      <c r="K126" s="3"/>
      <c r="L126" s="3"/>
      <c r="M126" s="3"/>
      <c r="N126" s="3"/>
      <c r="O126" s="3"/>
    </row>
    <row r="127" customFormat="false" ht="15" hidden="false" customHeight="false" outlineLevel="0" collapsed="false">
      <c r="A127" s="52"/>
      <c r="B127" s="52"/>
      <c r="C127" s="53"/>
      <c r="D127" s="53"/>
      <c r="E127" s="53"/>
      <c r="F127" s="53"/>
      <c r="G127" s="53"/>
      <c r="H127" s="53"/>
      <c r="I127" s="54"/>
      <c r="J127" s="52"/>
      <c r="K127" s="3"/>
      <c r="L127" s="3"/>
      <c r="M127" s="3"/>
      <c r="N127" s="3"/>
      <c r="O127" s="3"/>
    </row>
    <row r="128" customFormat="false" ht="15" hidden="false" customHeight="false" outlineLevel="0" collapsed="false">
      <c r="A128" s="46"/>
      <c r="B128" s="46"/>
      <c r="C128" s="47"/>
      <c r="D128" s="47"/>
      <c r="E128" s="47"/>
      <c r="F128" s="47"/>
      <c r="G128" s="47"/>
      <c r="H128" s="47"/>
      <c r="I128" s="48"/>
      <c r="J128" s="46"/>
      <c r="K128" s="3"/>
      <c r="L128" s="3"/>
      <c r="M128" s="3"/>
      <c r="N128" s="3"/>
      <c r="O128" s="3"/>
    </row>
    <row r="129" customFormat="false" ht="15" hidden="false" customHeight="false" outlineLevel="0" collapsed="false">
      <c r="A129" s="52"/>
      <c r="B129" s="52"/>
      <c r="C129" s="53"/>
      <c r="D129" s="53"/>
      <c r="E129" s="53"/>
      <c r="F129" s="53"/>
      <c r="G129" s="53"/>
      <c r="H129" s="53"/>
      <c r="I129" s="54"/>
      <c r="J129" s="52"/>
      <c r="K129" s="3"/>
      <c r="L129" s="3"/>
      <c r="M129" s="3"/>
      <c r="N129" s="3"/>
      <c r="O129" s="3"/>
    </row>
    <row r="130" customFormat="false" ht="15" hidden="false" customHeight="false" outlineLevel="0" collapsed="false">
      <c r="A130" s="46"/>
      <c r="B130" s="46"/>
      <c r="C130" s="47"/>
      <c r="D130" s="47"/>
      <c r="E130" s="47"/>
      <c r="F130" s="47"/>
      <c r="G130" s="47"/>
      <c r="H130" s="47"/>
      <c r="I130" s="48"/>
      <c r="J130" s="46"/>
      <c r="K130" s="3"/>
      <c r="L130" s="3"/>
      <c r="M130" s="3"/>
      <c r="N130" s="3"/>
      <c r="O130" s="3"/>
    </row>
    <row r="131" customFormat="false" ht="15" hidden="false" customHeight="false" outlineLevel="0" collapsed="false">
      <c r="A131" s="52"/>
      <c r="B131" s="52"/>
      <c r="C131" s="53"/>
      <c r="D131" s="53"/>
      <c r="E131" s="53"/>
      <c r="F131" s="53"/>
      <c r="G131" s="53"/>
      <c r="H131" s="53"/>
      <c r="I131" s="54"/>
      <c r="J131" s="52"/>
      <c r="K131" s="3"/>
      <c r="L131" s="3"/>
      <c r="M131" s="3"/>
      <c r="N131" s="3"/>
      <c r="O131" s="3"/>
    </row>
    <row r="132" customFormat="false" ht="15" hidden="false" customHeight="false" outlineLevel="0" collapsed="false">
      <c r="A132" s="46"/>
      <c r="B132" s="46"/>
      <c r="C132" s="47"/>
      <c r="D132" s="47"/>
      <c r="E132" s="47"/>
      <c r="F132" s="47"/>
      <c r="G132" s="47"/>
      <c r="H132" s="47"/>
      <c r="I132" s="48"/>
      <c r="J132" s="46"/>
      <c r="K132" s="3"/>
      <c r="L132" s="3"/>
      <c r="M132" s="3"/>
      <c r="N132" s="3"/>
      <c r="O132" s="3"/>
    </row>
    <row r="133" customFormat="false" ht="15" hidden="false" customHeight="false" outlineLevel="0" collapsed="false">
      <c r="A133" s="52"/>
      <c r="B133" s="52"/>
      <c r="C133" s="53"/>
      <c r="D133" s="53"/>
      <c r="E133" s="53"/>
      <c r="F133" s="53"/>
      <c r="G133" s="53"/>
      <c r="H133" s="53"/>
      <c r="I133" s="54"/>
      <c r="J133" s="52"/>
      <c r="K133" s="3"/>
      <c r="L133" s="3"/>
      <c r="M133" s="3"/>
      <c r="N133" s="3"/>
      <c r="O133" s="3"/>
    </row>
    <row r="134" customFormat="false" ht="15" hidden="false" customHeight="false" outlineLevel="0" collapsed="false">
      <c r="A134" s="46"/>
      <c r="B134" s="46"/>
      <c r="C134" s="47"/>
      <c r="D134" s="47"/>
      <c r="E134" s="47"/>
      <c r="F134" s="47"/>
      <c r="G134" s="47"/>
      <c r="H134" s="47"/>
      <c r="I134" s="48"/>
      <c r="J134" s="46"/>
      <c r="K134" s="3"/>
      <c r="L134" s="3"/>
      <c r="M134" s="3"/>
      <c r="N134" s="3"/>
      <c r="O134" s="3"/>
    </row>
    <row r="135" customFormat="false" ht="15" hidden="false" customHeight="false" outlineLevel="0" collapsed="false">
      <c r="A135" s="52"/>
      <c r="B135" s="52"/>
      <c r="C135" s="53"/>
      <c r="D135" s="53"/>
      <c r="E135" s="53"/>
      <c r="F135" s="53"/>
      <c r="G135" s="53"/>
      <c r="H135" s="53"/>
      <c r="I135" s="54"/>
      <c r="J135" s="52"/>
      <c r="K135" s="3"/>
      <c r="L135" s="3"/>
      <c r="M135" s="3"/>
      <c r="N135" s="3"/>
      <c r="O135" s="3"/>
    </row>
    <row r="136" customFormat="false" ht="15" hidden="false" customHeight="false" outlineLevel="0" collapsed="false">
      <c r="A136" s="46"/>
      <c r="B136" s="46"/>
      <c r="C136" s="47"/>
      <c r="D136" s="47"/>
      <c r="E136" s="47"/>
      <c r="F136" s="47"/>
      <c r="G136" s="47"/>
      <c r="H136" s="47"/>
      <c r="I136" s="48"/>
      <c r="J136" s="46"/>
      <c r="K136" s="3"/>
      <c r="L136" s="3"/>
      <c r="M136" s="3"/>
      <c r="N136" s="3"/>
      <c r="O136" s="3"/>
    </row>
    <row r="137" customFormat="false" ht="15" hidden="false" customHeight="false" outlineLevel="0" collapsed="false">
      <c r="A137" s="52"/>
      <c r="B137" s="52"/>
      <c r="C137" s="53"/>
      <c r="D137" s="53"/>
      <c r="E137" s="53"/>
      <c r="F137" s="53"/>
      <c r="G137" s="53"/>
      <c r="H137" s="53"/>
      <c r="I137" s="54"/>
      <c r="J137" s="52"/>
      <c r="K137" s="3"/>
      <c r="L137" s="3"/>
      <c r="M137" s="3"/>
      <c r="N137" s="3"/>
      <c r="O137" s="3"/>
    </row>
    <row r="138" customFormat="false" ht="15" hidden="false" customHeight="false" outlineLevel="0" collapsed="false">
      <c r="A138" s="46"/>
      <c r="B138" s="46"/>
      <c r="C138" s="47"/>
      <c r="D138" s="47"/>
      <c r="E138" s="47"/>
      <c r="F138" s="47"/>
      <c r="G138" s="47"/>
      <c r="H138" s="47"/>
      <c r="I138" s="48"/>
      <c r="J138" s="46"/>
      <c r="K138" s="3"/>
      <c r="L138" s="3"/>
      <c r="M138" s="3"/>
      <c r="N138" s="3"/>
      <c r="O138" s="3"/>
    </row>
    <row r="139" customFormat="false" ht="15" hidden="false" customHeight="false" outlineLevel="0" collapsed="false">
      <c r="A139" s="52"/>
      <c r="B139" s="52"/>
      <c r="C139" s="53"/>
      <c r="D139" s="53"/>
      <c r="E139" s="53"/>
      <c r="F139" s="53"/>
      <c r="G139" s="53"/>
      <c r="H139" s="53"/>
      <c r="I139" s="54"/>
      <c r="J139" s="52"/>
      <c r="K139" s="3"/>
      <c r="L139" s="3"/>
      <c r="M139" s="3"/>
      <c r="N139" s="3"/>
      <c r="O139" s="3"/>
    </row>
    <row r="140" customFormat="false" ht="15" hidden="false" customHeight="false" outlineLevel="0" collapsed="false">
      <c r="A140" s="46"/>
      <c r="B140" s="46"/>
      <c r="C140" s="47"/>
      <c r="D140" s="47"/>
      <c r="E140" s="47"/>
      <c r="F140" s="47"/>
      <c r="G140" s="47"/>
      <c r="H140" s="47"/>
      <c r="I140" s="48"/>
      <c r="J140" s="46"/>
      <c r="K140" s="3"/>
      <c r="L140" s="3"/>
      <c r="M140" s="3"/>
      <c r="N140" s="3"/>
      <c r="O140" s="3"/>
    </row>
    <row r="141" customFormat="false" ht="15" hidden="false" customHeight="false" outlineLevel="0" collapsed="false">
      <c r="A141" s="52"/>
      <c r="B141" s="52"/>
      <c r="C141" s="53"/>
      <c r="D141" s="53"/>
      <c r="E141" s="53"/>
      <c r="F141" s="53"/>
      <c r="G141" s="53"/>
      <c r="H141" s="53"/>
      <c r="I141" s="54"/>
      <c r="J141" s="52"/>
      <c r="K141" s="3"/>
      <c r="L141" s="3"/>
      <c r="M141" s="3"/>
      <c r="N141" s="3"/>
      <c r="O141" s="3"/>
    </row>
    <row r="142" customFormat="false" ht="15" hidden="false" customHeight="false" outlineLevel="0" collapsed="false">
      <c r="A142" s="46"/>
      <c r="B142" s="46"/>
      <c r="C142" s="47"/>
      <c r="D142" s="47"/>
      <c r="E142" s="47"/>
      <c r="F142" s="47"/>
      <c r="G142" s="47"/>
      <c r="H142" s="47"/>
      <c r="I142" s="48"/>
      <c r="J142" s="46"/>
      <c r="K142" s="3"/>
      <c r="L142" s="3"/>
      <c r="M142" s="3"/>
      <c r="N142" s="3"/>
      <c r="O142" s="3"/>
    </row>
    <row r="143" customFormat="false" ht="15" hidden="false" customHeight="false" outlineLevel="0" collapsed="false">
      <c r="A143" s="52"/>
      <c r="B143" s="52"/>
      <c r="C143" s="53"/>
      <c r="D143" s="53"/>
      <c r="E143" s="53"/>
      <c r="F143" s="53"/>
      <c r="G143" s="53"/>
      <c r="H143" s="53"/>
      <c r="I143" s="54"/>
      <c r="J143" s="52"/>
      <c r="K143" s="3"/>
      <c r="L143" s="3"/>
      <c r="M143" s="3"/>
      <c r="N143" s="3"/>
      <c r="O143" s="3"/>
    </row>
    <row r="144" customFormat="false" ht="15" hidden="false" customHeight="false" outlineLevel="0" collapsed="false">
      <c r="A144" s="46"/>
      <c r="B144" s="46"/>
      <c r="C144" s="47"/>
      <c r="D144" s="47"/>
      <c r="E144" s="47"/>
      <c r="F144" s="47"/>
      <c r="G144" s="47"/>
      <c r="H144" s="47"/>
      <c r="I144" s="48"/>
      <c r="J144" s="46"/>
      <c r="K144" s="3"/>
      <c r="L144" s="3"/>
      <c r="M144" s="3"/>
      <c r="N144" s="3"/>
      <c r="O144" s="3"/>
    </row>
    <row r="145" customFormat="false" ht="15" hidden="false" customHeight="false" outlineLevel="0" collapsed="false">
      <c r="A145" s="52"/>
      <c r="B145" s="52"/>
      <c r="C145" s="53"/>
      <c r="D145" s="53"/>
      <c r="E145" s="53"/>
      <c r="F145" s="53"/>
      <c r="G145" s="53"/>
      <c r="H145" s="53"/>
      <c r="I145" s="54"/>
      <c r="J145" s="52"/>
      <c r="K145" s="3"/>
      <c r="L145" s="3"/>
      <c r="M145" s="3"/>
      <c r="N145" s="3"/>
      <c r="O145" s="3"/>
    </row>
    <row r="146" customFormat="false" ht="15" hidden="false" customHeight="false" outlineLevel="0" collapsed="false">
      <c r="A146" s="46"/>
      <c r="B146" s="46"/>
      <c r="C146" s="47"/>
      <c r="D146" s="47"/>
      <c r="E146" s="47"/>
      <c r="F146" s="47"/>
      <c r="G146" s="47"/>
      <c r="H146" s="47"/>
      <c r="I146" s="48"/>
      <c r="J146" s="46"/>
      <c r="K146" s="3"/>
      <c r="L146" s="3"/>
      <c r="M146" s="3"/>
      <c r="N146" s="3"/>
      <c r="O146" s="3"/>
    </row>
    <row r="147" customFormat="false" ht="15" hidden="false" customHeight="false" outlineLevel="0" collapsed="false">
      <c r="A147" s="52"/>
      <c r="B147" s="52"/>
      <c r="C147" s="53"/>
      <c r="D147" s="53"/>
      <c r="E147" s="53"/>
      <c r="F147" s="53"/>
      <c r="G147" s="53"/>
      <c r="H147" s="53"/>
      <c r="I147" s="54"/>
      <c r="J147" s="52"/>
      <c r="K147" s="3"/>
      <c r="L147" s="3"/>
      <c r="M147" s="3"/>
      <c r="N147" s="3"/>
      <c r="O147" s="3"/>
    </row>
    <row r="148" customFormat="false" ht="15" hidden="false" customHeight="false" outlineLevel="0" collapsed="false">
      <c r="A148" s="46"/>
      <c r="B148" s="46"/>
      <c r="C148" s="47"/>
      <c r="D148" s="47"/>
      <c r="E148" s="47"/>
      <c r="F148" s="47"/>
      <c r="G148" s="47"/>
      <c r="H148" s="47"/>
      <c r="I148" s="48"/>
      <c r="J148" s="46"/>
      <c r="K148" s="3"/>
      <c r="L148" s="3"/>
      <c r="M148" s="3"/>
      <c r="N148" s="3"/>
      <c r="O148" s="3"/>
    </row>
    <row r="149" customFormat="false" ht="15" hidden="false" customHeight="false" outlineLevel="0" collapsed="false">
      <c r="A149" s="52"/>
      <c r="B149" s="52"/>
      <c r="C149" s="53"/>
      <c r="D149" s="53"/>
      <c r="E149" s="53"/>
      <c r="F149" s="53"/>
      <c r="G149" s="53"/>
      <c r="H149" s="53"/>
      <c r="I149" s="54"/>
      <c r="J149" s="52"/>
      <c r="K149" s="3"/>
      <c r="L149" s="3"/>
      <c r="M149" s="3"/>
      <c r="N149" s="3"/>
      <c r="O149" s="3"/>
    </row>
    <row r="150" customFormat="false" ht="15" hidden="false" customHeight="false" outlineLevel="0" collapsed="false">
      <c r="A150" s="46"/>
      <c r="B150" s="46"/>
      <c r="C150" s="47"/>
      <c r="D150" s="47"/>
      <c r="E150" s="47"/>
      <c r="F150" s="47"/>
      <c r="G150" s="47"/>
      <c r="H150" s="47"/>
      <c r="I150" s="48"/>
      <c r="J150" s="46"/>
      <c r="K150" s="3"/>
      <c r="L150" s="3"/>
      <c r="M150" s="3"/>
      <c r="N150" s="3"/>
      <c r="O150" s="3"/>
    </row>
    <row r="151" customFormat="false" ht="15" hidden="false" customHeight="false" outlineLevel="0" collapsed="false">
      <c r="A151" s="52"/>
      <c r="B151" s="52"/>
      <c r="C151" s="53"/>
      <c r="D151" s="53"/>
      <c r="E151" s="53"/>
      <c r="F151" s="53"/>
      <c r="G151" s="53"/>
      <c r="H151" s="53"/>
      <c r="I151" s="54"/>
      <c r="J151" s="52"/>
      <c r="K151" s="3"/>
      <c r="L151" s="3"/>
      <c r="M151" s="3"/>
      <c r="N151" s="3"/>
      <c r="O151" s="3"/>
    </row>
    <row r="152" customFormat="false" ht="15" hidden="false" customHeight="false" outlineLevel="0" collapsed="false">
      <c r="A152" s="46"/>
      <c r="B152" s="46"/>
      <c r="C152" s="47"/>
      <c r="D152" s="47"/>
      <c r="E152" s="47"/>
      <c r="F152" s="47"/>
      <c r="G152" s="47"/>
      <c r="H152" s="47"/>
      <c r="I152" s="48"/>
      <c r="J152" s="46"/>
      <c r="K152" s="3"/>
      <c r="L152" s="3"/>
      <c r="M152" s="3"/>
      <c r="N152" s="3"/>
      <c r="O152" s="3"/>
    </row>
    <row r="153" customFormat="false" ht="15" hidden="false" customHeight="false" outlineLevel="0" collapsed="false">
      <c r="A153" s="52"/>
      <c r="B153" s="52"/>
      <c r="C153" s="53"/>
      <c r="D153" s="53"/>
      <c r="E153" s="53"/>
      <c r="F153" s="53"/>
      <c r="G153" s="53"/>
      <c r="H153" s="53"/>
      <c r="I153" s="54"/>
      <c r="J153" s="52"/>
      <c r="K153" s="3"/>
      <c r="L153" s="3"/>
      <c r="M153" s="3"/>
      <c r="N153" s="3"/>
      <c r="O153" s="3"/>
    </row>
    <row r="154" customFormat="false" ht="15" hidden="false" customHeight="false" outlineLevel="0" collapsed="false">
      <c r="A154" s="46"/>
      <c r="B154" s="46"/>
      <c r="C154" s="47"/>
      <c r="D154" s="47"/>
      <c r="E154" s="47"/>
      <c r="F154" s="47"/>
      <c r="G154" s="47"/>
      <c r="H154" s="47"/>
      <c r="I154" s="48"/>
      <c r="J154" s="46"/>
      <c r="K154" s="3"/>
      <c r="L154" s="3"/>
      <c r="M154" s="3"/>
      <c r="N154" s="3"/>
      <c r="O154" s="3"/>
    </row>
    <row r="155" customFormat="false" ht="15" hidden="false" customHeight="false" outlineLevel="0" collapsed="false">
      <c r="A155" s="52"/>
      <c r="B155" s="52"/>
      <c r="C155" s="53"/>
      <c r="D155" s="53"/>
      <c r="E155" s="53"/>
      <c r="F155" s="53"/>
      <c r="G155" s="53"/>
      <c r="H155" s="53"/>
      <c r="I155" s="54"/>
      <c r="J155" s="52"/>
      <c r="K155" s="3"/>
      <c r="L155" s="3"/>
      <c r="M155" s="3"/>
      <c r="N155" s="3"/>
      <c r="O155" s="3"/>
    </row>
    <row r="156" customFormat="false" ht="15" hidden="false" customHeight="false" outlineLevel="0" collapsed="false">
      <c r="A156" s="46"/>
      <c r="B156" s="46"/>
      <c r="C156" s="47"/>
      <c r="D156" s="47"/>
      <c r="E156" s="47"/>
      <c r="F156" s="47"/>
      <c r="G156" s="47"/>
      <c r="H156" s="47"/>
      <c r="I156" s="48"/>
      <c r="J156" s="46"/>
      <c r="K156" s="3"/>
      <c r="L156" s="3"/>
      <c r="M156" s="3"/>
      <c r="N156" s="3"/>
      <c r="O156" s="3"/>
    </row>
    <row r="157" customFormat="false" ht="15" hidden="false" customHeight="false" outlineLevel="0" collapsed="false">
      <c r="A157" s="52"/>
      <c r="B157" s="52"/>
      <c r="C157" s="53"/>
      <c r="D157" s="53"/>
      <c r="E157" s="53"/>
      <c r="F157" s="53"/>
      <c r="G157" s="53"/>
      <c r="H157" s="53"/>
      <c r="I157" s="54"/>
      <c r="J157" s="52"/>
      <c r="K157" s="3"/>
      <c r="L157" s="3"/>
      <c r="M157" s="3"/>
      <c r="N157" s="3"/>
      <c r="O157" s="3"/>
    </row>
    <row r="158" customFormat="false" ht="15" hidden="false" customHeight="false" outlineLevel="0" collapsed="false">
      <c r="A158" s="46"/>
      <c r="B158" s="46"/>
      <c r="C158" s="47"/>
      <c r="D158" s="47"/>
      <c r="E158" s="47"/>
      <c r="F158" s="47"/>
      <c r="G158" s="47"/>
      <c r="H158" s="47"/>
      <c r="I158" s="48"/>
      <c r="J158" s="46"/>
      <c r="K158" s="3"/>
      <c r="L158" s="3"/>
      <c r="M158" s="3"/>
      <c r="N158" s="3"/>
      <c r="O158" s="3"/>
    </row>
    <row r="159" customFormat="false" ht="15" hidden="false" customHeight="false" outlineLevel="0" collapsed="false">
      <c r="A159" s="52"/>
      <c r="B159" s="52"/>
      <c r="C159" s="53"/>
      <c r="D159" s="53"/>
      <c r="E159" s="53"/>
      <c r="F159" s="53"/>
      <c r="G159" s="53"/>
      <c r="H159" s="53"/>
      <c r="I159" s="54"/>
      <c r="J159" s="52"/>
      <c r="K159" s="3"/>
      <c r="L159" s="3"/>
      <c r="M159" s="3"/>
      <c r="N159" s="3"/>
      <c r="O159" s="3"/>
    </row>
    <row r="160" customFormat="false" ht="15" hidden="false" customHeight="false" outlineLevel="0" collapsed="false">
      <c r="A160" s="46"/>
      <c r="B160" s="46"/>
      <c r="C160" s="47"/>
      <c r="D160" s="47"/>
      <c r="E160" s="47"/>
      <c r="F160" s="47"/>
      <c r="G160" s="47"/>
      <c r="H160" s="47"/>
      <c r="I160" s="48"/>
      <c r="J160" s="46"/>
      <c r="K160" s="3"/>
      <c r="L160" s="3"/>
      <c r="M160" s="3"/>
      <c r="N160" s="3"/>
      <c r="O160" s="3"/>
    </row>
    <row r="161" customFormat="false" ht="15" hidden="false" customHeight="false" outlineLevel="0" collapsed="false">
      <c r="A161" s="52"/>
      <c r="B161" s="52"/>
      <c r="C161" s="53"/>
      <c r="D161" s="53"/>
      <c r="E161" s="53"/>
      <c r="F161" s="53"/>
      <c r="G161" s="53"/>
      <c r="H161" s="53"/>
      <c r="I161" s="54"/>
      <c r="J161" s="52"/>
      <c r="K161" s="3"/>
      <c r="L161" s="3"/>
      <c r="M161" s="3"/>
      <c r="N161" s="3"/>
      <c r="O161" s="3"/>
    </row>
    <row r="162" customFormat="false" ht="15" hidden="false" customHeight="false" outlineLevel="0" collapsed="false">
      <c r="A162" s="46"/>
      <c r="B162" s="46"/>
      <c r="C162" s="47"/>
      <c r="D162" s="47"/>
      <c r="E162" s="47"/>
      <c r="F162" s="47"/>
      <c r="G162" s="47"/>
      <c r="H162" s="47"/>
      <c r="I162" s="48"/>
      <c r="J162" s="46"/>
      <c r="K162" s="3"/>
      <c r="L162" s="3"/>
      <c r="M162" s="3"/>
      <c r="N162" s="3"/>
      <c r="O162" s="3"/>
    </row>
    <row r="163" customFormat="false" ht="15" hidden="false" customHeight="false" outlineLevel="0" collapsed="false">
      <c r="A163" s="52"/>
      <c r="B163" s="52"/>
      <c r="C163" s="53"/>
      <c r="D163" s="53"/>
      <c r="E163" s="53"/>
      <c r="F163" s="53"/>
      <c r="G163" s="53"/>
      <c r="H163" s="53"/>
      <c r="I163" s="54"/>
      <c r="J163" s="52"/>
      <c r="K163" s="3"/>
      <c r="L163" s="3"/>
      <c r="M163" s="3"/>
      <c r="N163" s="3"/>
      <c r="O163" s="3"/>
    </row>
    <row r="164" customFormat="false" ht="15" hidden="false" customHeight="false" outlineLevel="0" collapsed="false">
      <c r="A164" s="46"/>
      <c r="B164" s="46"/>
      <c r="C164" s="47"/>
      <c r="D164" s="47"/>
      <c r="E164" s="47"/>
      <c r="F164" s="47"/>
      <c r="G164" s="47"/>
      <c r="H164" s="47"/>
      <c r="I164" s="48"/>
      <c r="J164" s="46"/>
      <c r="K164" s="3"/>
      <c r="L164" s="3"/>
      <c r="M164" s="3"/>
      <c r="N164" s="3"/>
      <c r="O164" s="3"/>
    </row>
    <row r="165" customFormat="false" ht="15" hidden="false" customHeight="false" outlineLevel="0" collapsed="false">
      <c r="A165" s="52"/>
      <c r="B165" s="52"/>
      <c r="C165" s="53"/>
      <c r="D165" s="53"/>
      <c r="E165" s="53"/>
      <c r="F165" s="53"/>
      <c r="G165" s="53"/>
      <c r="H165" s="53"/>
      <c r="I165" s="54"/>
      <c r="J165" s="52"/>
      <c r="K165" s="3"/>
      <c r="L165" s="3"/>
      <c r="M165" s="3"/>
      <c r="N165" s="3"/>
      <c r="O165" s="3"/>
    </row>
    <row r="166" customFormat="false" ht="15" hidden="false" customHeight="false" outlineLevel="0" collapsed="false">
      <c r="A166" s="46"/>
      <c r="B166" s="46"/>
      <c r="C166" s="47"/>
      <c r="D166" s="47"/>
      <c r="E166" s="47"/>
      <c r="F166" s="47"/>
      <c r="G166" s="47"/>
      <c r="H166" s="47"/>
      <c r="I166" s="48"/>
      <c r="J166" s="46"/>
      <c r="K166" s="3"/>
      <c r="L166" s="3"/>
      <c r="M166" s="3"/>
      <c r="N166" s="3"/>
      <c r="O166" s="3"/>
    </row>
    <row r="167" customFormat="false" ht="15" hidden="false" customHeight="false" outlineLevel="0" collapsed="false">
      <c r="A167" s="52"/>
      <c r="B167" s="52"/>
      <c r="C167" s="53"/>
      <c r="D167" s="53"/>
      <c r="E167" s="53"/>
      <c r="F167" s="53"/>
      <c r="G167" s="53"/>
      <c r="H167" s="53"/>
      <c r="I167" s="54"/>
      <c r="J167" s="52"/>
      <c r="K167" s="3"/>
      <c r="L167" s="3"/>
      <c r="M167" s="3"/>
      <c r="N167" s="3"/>
      <c r="O167" s="3"/>
    </row>
    <row r="168" customFormat="false" ht="15" hidden="false" customHeight="false" outlineLevel="0" collapsed="false">
      <c r="A168" s="46"/>
      <c r="B168" s="46"/>
      <c r="C168" s="47"/>
      <c r="D168" s="47"/>
      <c r="E168" s="47"/>
      <c r="F168" s="47"/>
      <c r="G168" s="47"/>
      <c r="H168" s="47"/>
      <c r="I168" s="48"/>
      <c r="J168" s="46"/>
      <c r="K168" s="3"/>
      <c r="L168" s="3"/>
      <c r="M168" s="3"/>
      <c r="N168" s="3"/>
      <c r="O168" s="3"/>
    </row>
    <row r="169" customFormat="false" ht="15" hidden="false" customHeight="false" outlineLevel="0" collapsed="false">
      <c r="A169" s="52"/>
      <c r="B169" s="52"/>
      <c r="C169" s="53"/>
      <c r="D169" s="53"/>
      <c r="E169" s="53"/>
      <c r="F169" s="53"/>
      <c r="G169" s="53"/>
      <c r="H169" s="53"/>
      <c r="I169" s="54"/>
      <c r="J169" s="52"/>
      <c r="K169" s="3"/>
      <c r="L169" s="3"/>
      <c r="M169" s="3"/>
      <c r="N169" s="3"/>
      <c r="O169" s="3"/>
    </row>
    <row r="170" customFormat="false" ht="15" hidden="false" customHeight="false" outlineLevel="0" collapsed="false">
      <c r="A170" s="46"/>
      <c r="B170" s="46"/>
      <c r="C170" s="47"/>
      <c r="D170" s="47"/>
      <c r="E170" s="47"/>
      <c r="F170" s="47"/>
      <c r="G170" s="47"/>
      <c r="H170" s="47"/>
      <c r="I170" s="48"/>
      <c r="J170" s="46"/>
      <c r="K170" s="3"/>
      <c r="L170" s="3"/>
      <c r="M170" s="3"/>
      <c r="N170" s="3"/>
      <c r="O170" s="3"/>
    </row>
    <row r="171" customFormat="false" ht="15" hidden="false" customHeight="false" outlineLevel="0" collapsed="false">
      <c r="A171" s="52"/>
      <c r="B171" s="52"/>
      <c r="C171" s="53"/>
      <c r="D171" s="53"/>
      <c r="E171" s="53"/>
      <c r="F171" s="53"/>
      <c r="G171" s="53"/>
      <c r="H171" s="53"/>
      <c r="I171" s="54"/>
      <c r="J171" s="52"/>
      <c r="K171" s="3"/>
      <c r="L171" s="3"/>
      <c r="M171" s="3"/>
      <c r="N171" s="3"/>
      <c r="O171" s="3"/>
    </row>
    <row r="172" customFormat="false" ht="15" hidden="false" customHeight="false" outlineLevel="0" collapsed="false">
      <c r="A172" s="46"/>
      <c r="B172" s="46"/>
      <c r="C172" s="47"/>
      <c r="D172" s="47"/>
      <c r="E172" s="47"/>
      <c r="F172" s="47"/>
      <c r="G172" s="47"/>
      <c r="H172" s="47"/>
      <c r="I172" s="48"/>
      <c r="J172" s="46"/>
      <c r="K172" s="3"/>
      <c r="L172" s="3"/>
      <c r="M172" s="3"/>
      <c r="N172" s="3"/>
      <c r="O172" s="3"/>
    </row>
    <row r="173" customFormat="false" ht="15" hidden="false" customHeight="false" outlineLevel="0" collapsed="false">
      <c r="A173" s="52"/>
      <c r="B173" s="52"/>
      <c r="C173" s="53"/>
      <c r="D173" s="53"/>
      <c r="E173" s="53"/>
      <c r="F173" s="53"/>
      <c r="G173" s="53"/>
      <c r="H173" s="53"/>
      <c r="I173" s="54"/>
      <c r="J173" s="52"/>
      <c r="K173" s="3"/>
      <c r="L173" s="3"/>
      <c r="M173" s="3"/>
      <c r="N173" s="3"/>
      <c r="O173" s="3"/>
    </row>
    <row r="174" customFormat="false" ht="15" hidden="false" customHeight="false" outlineLevel="0" collapsed="false">
      <c r="A174" s="46"/>
      <c r="B174" s="46"/>
      <c r="C174" s="47"/>
      <c r="D174" s="47"/>
      <c r="E174" s="47"/>
      <c r="F174" s="47"/>
      <c r="G174" s="47"/>
      <c r="H174" s="47"/>
      <c r="I174" s="48"/>
      <c r="J174" s="46"/>
      <c r="K174" s="3"/>
      <c r="L174" s="3"/>
      <c r="M174" s="3"/>
      <c r="N174" s="3"/>
      <c r="O174" s="3"/>
    </row>
    <row r="175" customFormat="false" ht="15" hidden="false" customHeight="false" outlineLevel="0" collapsed="false">
      <c r="A175" s="52"/>
      <c r="B175" s="52"/>
      <c r="C175" s="53"/>
      <c r="D175" s="53"/>
      <c r="E175" s="53"/>
      <c r="F175" s="53"/>
      <c r="G175" s="53"/>
      <c r="H175" s="53"/>
      <c r="I175" s="54"/>
      <c r="J175" s="52"/>
      <c r="K175" s="3"/>
      <c r="L175" s="3"/>
      <c r="M175" s="3"/>
      <c r="N175" s="3"/>
      <c r="O175" s="3"/>
    </row>
    <row r="176" customFormat="false" ht="15" hidden="false" customHeight="false" outlineLevel="0" collapsed="false">
      <c r="A176" s="46"/>
      <c r="B176" s="46"/>
      <c r="C176" s="47"/>
      <c r="D176" s="47"/>
      <c r="E176" s="47"/>
      <c r="F176" s="47"/>
      <c r="G176" s="47"/>
      <c r="H176" s="47"/>
      <c r="I176" s="48"/>
      <c r="J176" s="46"/>
      <c r="K176" s="3"/>
      <c r="L176" s="3"/>
      <c r="M176" s="3"/>
      <c r="N176" s="3"/>
      <c r="O176" s="3"/>
    </row>
    <row r="177" customFormat="false" ht="15" hidden="false" customHeight="false" outlineLevel="0" collapsed="false">
      <c r="A177" s="52"/>
      <c r="B177" s="52"/>
      <c r="C177" s="53"/>
      <c r="D177" s="53"/>
      <c r="E177" s="53"/>
      <c r="F177" s="53"/>
      <c r="G177" s="53"/>
      <c r="H177" s="53"/>
      <c r="I177" s="54"/>
      <c r="J177" s="52"/>
      <c r="K177" s="3"/>
      <c r="L177" s="3"/>
      <c r="M177" s="3"/>
      <c r="N177" s="3"/>
      <c r="O177" s="3"/>
    </row>
    <row r="178" customFormat="false" ht="15" hidden="false" customHeight="false" outlineLevel="0" collapsed="false">
      <c r="A178" s="46"/>
      <c r="B178" s="46"/>
      <c r="C178" s="47"/>
      <c r="D178" s="47"/>
      <c r="E178" s="47"/>
      <c r="F178" s="47"/>
      <c r="G178" s="47"/>
      <c r="H178" s="47"/>
      <c r="I178" s="48"/>
      <c r="J178" s="46"/>
      <c r="K178" s="3"/>
      <c r="L178" s="3"/>
      <c r="M178" s="3"/>
      <c r="N178" s="3"/>
      <c r="O178" s="3"/>
    </row>
    <row r="179" customFormat="false" ht="15" hidden="false" customHeight="false" outlineLevel="0" collapsed="false">
      <c r="A179" s="52"/>
      <c r="B179" s="52"/>
      <c r="C179" s="53"/>
      <c r="D179" s="53"/>
      <c r="E179" s="53"/>
      <c r="F179" s="53"/>
      <c r="G179" s="53"/>
      <c r="H179" s="53"/>
      <c r="I179" s="54"/>
      <c r="J179" s="52"/>
      <c r="K179" s="3"/>
      <c r="L179" s="3"/>
      <c r="M179" s="3"/>
      <c r="N179" s="3"/>
      <c r="O179" s="3"/>
    </row>
    <row r="180" customFormat="false" ht="15" hidden="false" customHeight="false" outlineLevel="0" collapsed="false">
      <c r="A180" s="46"/>
      <c r="B180" s="46"/>
      <c r="C180" s="47"/>
      <c r="D180" s="47"/>
      <c r="E180" s="47"/>
      <c r="F180" s="47"/>
      <c r="G180" s="47"/>
      <c r="H180" s="47"/>
      <c r="I180" s="48"/>
      <c r="J180" s="46"/>
      <c r="K180" s="3"/>
      <c r="L180" s="3"/>
      <c r="M180" s="3"/>
      <c r="N180" s="3"/>
      <c r="O180" s="3"/>
    </row>
    <row r="181" customFormat="false" ht="15" hidden="false" customHeight="false" outlineLevel="0" collapsed="false">
      <c r="A181" s="52"/>
      <c r="B181" s="52"/>
      <c r="C181" s="53"/>
      <c r="D181" s="53"/>
      <c r="E181" s="53"/>
      <c r="F181" s="53"/>
      <c r="G181" s="53"/>
      <c r="H181" s="53"/>
      <c r="I181" s="54"/>
      <c r="J181" s="52"/>
      <c r="K181" s="3"/>
      <c r="L181" s="3"/>
      <c r="M181" s="3"/>
      <c r="N181" s="3"/>
      <c r="O181" s="3"/>
    </row>
    <row r="182" customFormat="false" ht="15" hidden="false" customHeight="false" outlineLevel="0" collapsed="false">
      <c r="A182" s="46"/>
      <c r="B182" s="46"/>
      <c r="C182" s="47"/>
      <c r="D182" s="47"/>
      <c r="E182" s="47"/>
      <c r="F182" s="47"/>
      <c r="G182" s="47"/>
      <c r="H182" s="47"/>
      <c r="I182" s="48"/>
      <c r="J182" s="46"/>
      <c r="K182" s="3"/>
      <c r="L182" s="3"/>
      <c r="M182" s="3"/>
      <c r="N182" s="3"/>
      <c r="O182" s="3"/>
    </row>
    <row r="183" customFormat="false" ht="15" hidden="false" customHeight="false" outlineLevel="0" collapsed="false">
      <c r="A183" s="52"/>
      <c r="B183" s="52"/>
      <c r="C183" s="53"/>
      <c r="D183" s="53"/>
      <c r="E183" s="53"/>
      <c r="F183" s="53"/>
      <c r="G183" s="53"/>
      <c r="H183" s="53"/>
      <c r="I183" s="54"/>
      <c r="J183" s="52"/>
      <c r="K183" s="3"/>
      <c r="L183" s="3"/>
      <c r="M183" s="3"/>
      <c r="N183" s="3"/>
      <c r="O183" s="3"/>
    </row>
    <row r="184" customFormat="false" ht="15" hidden="false" customHeight="false" outlineLevel="0" collapsed="false">
      <c r="A184" s="46"/>
      <c r="B184" s="46"/>
      <c r="C184" s="47"/>
      <c r="D184" s="47"/>
      <c r="E184" s="47"/>
      <c r="F184" s="47"/>
      <c r="G184" s="47"/>
      <c r="H184" s="47"/>
      <c r="I184" s="48"/>
      <c r="J184" s="46"/>
      <c r="K184" s="3"/>
      <c r="L184" s="3"/>
      <c r="M184" s="3"/>
      <c r="N184" s="3"/>
      <c r="O184" s="3"/>
    </row>
    <row r="185" customFormat="false" ht="15" hidden="false" customHeight="false" outlineLevel="0" collapsed="false">
      <c r="A185" s="52"/>
      <c r="B185" s="52"/>
      <c r="C185" s="53"/>
      <c r="D185" s="53"/>
      <c r="E185" s="53"/>
      <c r="F185" s="53"/>
      <c r="G185" s="53"/>
      <c r="H185" s="53"/>
      <c r="I185" s="54"/>
      <c r="J185" s="52"/>
      <c r="K185" s="3"/>
      <c r="L185" s="3"/>
      <c r="M185" s="3"/>
      <c r="N185" s="3"/>
      <c r="O185" s="3"/>
    </row>
    <row r="186" customFormat="false" ht="15" hidden="false" customHeight="false" outlineLevel="0" collapsed="false">
      <c r="A186" s="46"/>
      <c r="B186" s="46"/>
      <c r="C186" s="47"/>
      <c r="D186" s="47"/>
      <c r="E186" s="47"/>
      <c r="F186" s="47"/>
      <c r="G186" s="47"/>
      <c r="H186" s="47"/>
      <c r="I186" s="48"/>
      <c r="J186" s="46"/>
      <c r="K186" s="3"/>
      <c r="L186" s="3"/>
      <c r="M186" s="3"/>
      <c r="N186" s="3"/>
      <c r="O186" s="3"/>
    </row>
    <row r="187" customFormat="false" ht="15" hidden="false" customHeight="false" outlineLevel="0" collapsed="false">
      <c r="A187" s="52"/>
      <c r="B187" s="52"/>
      <c r="C187" s="53"/>
      <c r="D187" s="53"/>
      <c r="E187" s="53"/>
      <c r="F187" s="53"/>
      <c r="G187" s="53"/>
      <c r="H187" s="53"/>
      <c r="I187" s="54"/>
      <c r="J187" s="52"/>
      <c r="K187" s="3"/>
      <c r="L187" s="3"/>
      <c r="M187" s="3"/>
      <c r="N187" s="3"/>
      <c r="O187" s="3"/>
    </row>
    <row r="188" customFormat="false" ht="15" hidden="false" customHeight="false" outlineLevel="0" collapsed="false">
      <c r="A188" s="46"/>
      <c r="B188" s="46"/>
      <c r="C188" s="47"/>
      <c r="D188" s="47"/>
      <c r="E188" s="47"/>
      <c r="F188" s="47"/>
      <c r="G188" s="47"/>
      <c r="H188" s="47"/>
      <c r="I188" s="48"/>
      <c r="J188" s="46"/>
      <c r="K188" s="3"/>
      <c r="L188" s="3"/>
      <c r="M188" s="3"/>
      <c r="N188" s="3"/>
      <c r="O188" s="3"/>
    </row>
    <row r="189" customFormat="false" ht="15" hidden="false" customHeight="false" outlineLevel="0" collapsed="false">
      <c r="A189" s="52"/>
      <c r="B189" s="52"/>
      <c r="C189" s="53"/>
      <c r="D189" s="53"/>
      <c r="E189" s="53"/>
      <c r="F189" s="53"/>
      <c r="G189" s="53"/>
      <c r="H189" s="53"/>
      <c r="I189" s="54"/>
      <c r="J189" s="52"/>
      <c r="K189" s="3"/>
      <c r="L189" s="3"/>
      <c r="M189" s="3"/>
      <c r="N189" s="3"/>
      <c r="O189" s="3"/>
    </row>
    <row r="190" customFormat="false" ht="15" hidden="false" customHeight="false" outlineLevel="0" collapsed="false">
      <c r="A190" s="46"/>
      <c r="B190" s="46"/>
      <c r="C190" s="47"/>
      <c r="D190" s="47"/>
      <c r="E190" s="47"/>
      <c r="F190" s="47"/>
      <c r="G190" s="47"/>
      <c r="H190" s="47"/>
      <c r="I190" s="48"/>
      <c r="J190" s="46"/>
      <c r="K190" s="3"/>
      <c r="L190" s="3"/>
      <c r="M190" s="3"/>
      <c r="N190" s="3"/>
      <c r="O190" s="3"/>
    </row>
    <row r="191" customFormat="false" ht="15" hidden="false" customHeight="false" outlineLevel="0" collapsed="false">
      <c r="A191" s="52"/>
      <c r="B191" s="52"/>
      <c r="C191" s="53"/>
      <c r="D191" s="53"/>
      <c r="E191" s="53"/>
      <c r="F191" s="53"/>
      <c r="G191" s="53"/>
      <c r="H191" s="53"/>
      <c r="I191" s="54"/>
      <c r="J191" s="52"/>
      <c r="K191" s="3"/>
      <c r="L191" s="3"/>
      <c r="M191" s="3"/>
      <c r="N191" s="3"/>
      <c r="O191" s="3"/>
    </row>
    <row r="192" customFormat="false" ht="15" hidden="false" customHeight="false" outlineLevel="0" collapsed="false">
      <c r="A192" s="46"/>
      <c r="B192" s="46"/>
      <c r="C192" s="47"/>
      <c r="D192" s="47"/>
      <c r="E192" s="47"/>
      <c r="F192" s="47"/>
      <c r="G192" s="47"/>
      <c r="H192" s="47"/>
      <c r="I192" s="48"/>
      <c r="J192" s="46"/>
      <c r="K192" s="3"/>
      <c r="L192" s="3"/>
      <c r="M192" s="3"/>
      <c r="N192" s="3"/>
      <c r="O192" s="3"/>
    </row>
    <row r="193" customFormat="false" ht="15" hidden="false" customHeight="false" outlineLevel="0" collapsed="false">
      <c r="A193" s="52"/>
      <c r="B193" s="52"/>
      <c r="C193" s="53"/>
      <c r="D193" s="53"/>
      <c r="E193" s="53"/>
      <c r="F193" s="53"/>
      <c r="G193" s="53"/>
      <c r="H193" s="53"/>
      <c r="I193" s="54"/>
      <c r="J193" s="52"/>
      <c r="K193" s="3"/>
      <c r="L193" s="3"/>
      <c r="M193" s="3"/>
      <c r="N193" s="3"/>
      <c r="O193" s="3"/>
    </row>
    <row r="194" customFormat="false" ht="15" hidden="false" customHeight="false" outlineLevel="0" collapsed="false">
      <c r="A194" s="46"/>
      <c r="B194" s="46"/>
      <c r="C194" s="47"/>
      <c r="D194" s="47"/>
      <c r="E194" s="47"/>
      <c r="F194" s="47"/>
      <c r="G194" s="47"/>
      <c r="H194" s="47"/>
      <c r="I194" s="48"/>
      <c r="J194" s="46"/>
      <c r="K194" s="3"/>
      <c r="L194" s="3"/>
      <c r="M194" s="3"/>
      <c r="N194" s="3"/>
      <c r="O194" s="3"/>
    </row>
    <row r="195" customFormat="false" ht="15" hidden="false" customHeight="false" outlineLevel="0" collapsed="false">
      <c r="A195" s="52"/>
      <c r="B195" s="52"/>
      <c r="C195" s="53"/>
      <c r="D195" s="53"/>
      <c r="E195" s="53"/>
      <c r="F195" s="53"/>
      <c r="G195" s="53"/>
      <c r="H195" s="53"/>
      <c r="I195" s="54"/>
      <c r="J195" s="52"/>
      <c r="K195" s="3"/>
      <c r="L195" s="3"/>
      <c r="M195" s="3"/>
      <c r="N195" s="3"/>
      <c r="O195" s="3"/>
    </row>
    <row r="196" customFormat="false" ht="15" hidden="false" customHeight="false" outlineLevel="0" collapsed="false">
      <c r="A196" s="46"/>
      <c r="B196" s="46"/>
      <c r="C196" s="47"/>
      <c r="D196" s="47"/>
      <c r="E196" s="47"/>
      <c r="F196" s="47"/>
      <c r="G196" s="47"/>
      <c r="H196" s="47"/>
      <c r="I196" s="48"/>
      <c r="J196" s="46"/>
      <c r="K196" s="3"/>
      <c r="L196" s="3"/>
      <c r="M196" s="3"/>
      <c r="N196" s="3"/>
      <c r="O196" s="3"/>
    </row>
    <row r="197" customFormat="false" ht="15" hidden="false" customHeight="false" outlineLevel="0" collapsed="false">
      <c r="A197" s="52"/>
      <c r="B197" s="52"/>
      <c r="C197" s="53"/>
      <c r="D197" s="53"/>
      <c r="E197" s="53"/>
      <c r="F197" s="53"/>
      <c r="G197" s="53"/>
      <c r="H197" s="53"/>
      <c r="I197" s="54"/>
      <c r="J197" s="52"/>
      <c r="K197" s="3"/>
      <c r="L197" s="3"/>
      <c r="M197" s="3"/>
      <c r="N197" s="3"/>
      <c r="O197" s="3"/>
    </row>
    <row r="198" customFormat="false" ht="15" hidden="false" customHeight="false" outlineLevel="0" collapsed="false">
      <c r="A198" s="46"/>
      <c r="B198" s="46"/>
      <c r="C198" s="47"/>
      <c r="D198" s="47"/>
      <c r="E198" s="47"/>
      <c r="F198" s="47"/>
      <c r="G198" s="47"/>
      <c r="H198" s="47"/>
      <c r="I198" s="48"/>
      <c r="J198" s="46"/>
      <c r="K198" s="3"/>
      <c r="L198" s="3"/>
      <c r="M198" s="3"/>
      <c r="N198" s="3"/>
      <c r="O198" s="3"/>
    </row>
    <row r="199" customFormat="false" ht="15" hidden="false" customHeight="false" outlineLevel="0" collapsed="false">
      <c r="A199" s="52"/>
      <c r="B199" s="52"/>
      <c r="C199" s="53"/>
      <c r="D199" s="53"/>
      <c r="E199" s="53"/>
      <c r="F199" s="53"/>
      <c r="G199" s="53"/>
      <c r="H199" s="53"/>
      <c r="I199" s="54"/>
      <c r="J199" s="52"/>
      <c r="K199" s="3"/>
      <c r="L199" s="3"/>
      <c r="M199" s="3"/>
      <c r="N199" s="3"/>
      <c r="O199" s="3"/>
    </row>
    <row r="200" customFormat="false" ht="15" hidden="false" customHeight="false" outlineLevel="0" collapsed="false">
      <c r="A200" s="46"/>
      <c r="B200" s="46"/>
      <c r="C200" s="47"/>
      <c r="D200" s="47"/>
      <c r="E200" s="47"/>
      <c r="F200" s="47"/>
      <c r="G200" s="47"/>
      <c r="H200" s="47"/>
      <c r="I200" s="48"/>
      <c r="J200" s="46"/>
      <c r="K200" s="3"/>
      <c r="L200" s="3"/>
      <c r="M200" s="3"/>
      <c r="N200" s="3"/>
      <c r="O200" s="3"/>
    </row>
    <row r="201" customFormat="false" ht="15" hidden="false" customHeight="false" outlineLevel="0" collapsed="false">
      <c r="A201" s="52"/>
      <c r="B201" s="52"/>
      <c r="C201" s="53"/>
      <c r="D201" s="53"/>
      <c r="E201" s="53"/>
      <c r="F201" s="53"/>
      <c r="G201" s="53"/>
      <c r="H201" s="53"/>
      <c r="I201" s="54"/>
      <c r="J201" s="52"/>
      <c r="K201" s="3"/>
      <c r="L201" s="3"/>
      <c r="M201" s="3"/>
      <c r="N201" s="3"/>
      <c r="O201" s="3"/>
    </row>
    <row r="202" customFormat="false" ht="15" hidden="false" customHeight="false" outlineLevel="0" collapsed="false">
      <c r="A202" s="46"/>
      <c r="B202" s="46"/>
      <c r="C202" s="47"/>
      <c r="D202" s="47"/>
      <c r="E202" s="47"/>
      <c r="F202" s="47"/>
      <c r="G202" s="47"/>
      <c r="H202" s="47"/>
      <c r="I202" s="48"/>
      <c r="J202" s="46"/>
      <c r="K202" s="3"/>
      <c r="L202" s="3"/>
      <c r="M202" s="3"/>
      <c r="N202" s="3"/>
      <c r="O202" s="3"/>
    </row>
    <row r="203" customFormat="false" ht="15" hidden="false" customHeight="false" outlineLevel="0" collapsed="false">
      <c r="A203" s="52"/>
      <c r="B203" s="52"/>
      <c r="C203" s="53"/>
      <c r="D203" s="53"/>
      <c r="E203" s="53"/>
      <c r="F203" s="53"/>
      <c r="G203" s="53"/>
      <c r="H203" s="53"/>
      <c r="I203" s="54"/>
      <c r="J203" s="52"/>
      <c r="K203" s="3"/>
      <c r="L203" s="3"/>
      <c r="M203" s="3"/>
      <c r="N203" s="3"/>
      <c r="O203" s="3"/>
    </row>
  </sheetData>
  <autoFilter ref="A3:J203"/>
  <mergeCells count="3">
    <mergeCell ref="A1:J1"/>
    <mergeCell ref="A2:J2"/>
    <mergeCell ref="L10:O12"/>
  </mergeCells>
  <dataValidations count="2">
    <dataValidation allowBlank="true" error="Pick a value from the list on the Lists tab." errorStyle="stop" errorTitle="Not a valid entry" operator="between" showDropDown="false" showErrorMessage="true" showInputMessage="false" sqref="J4:J203" type="list">
      <formula1>Lists!$B$4:$B$8</formula1>
      <formula2>0</formula2>
    </dataValidation>
    <dataValidation allowBlank="true" errorStyle="stop" operator="between" showDropDown="false" showErrorMessage="false" showInputMessage="false" sqref="B4:B203" type="list">
      <formula1>'TOR Register'!$A$4:$A$43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546A"/>
    <pageSetUpPr fitToPage="false"/>
  </sheetPr>
  <dimension ref="A1:Q2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0"/>
    <col collapsed="false" customWidth="true" hidden="false" outlineLevel="0" max="3" min="3" style="0" width="9"/>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8"/>
    <col collapsed="false" customWidth="true" hidden="false" outlineLevel="0" max="8" min="8" style="0" width="11"/>
    <col collapsed="false" customWidth="true" hidden="false" outlineLevel="0" max="9" min="9" style="0" width="14"/>
    <col collapsed="false" customWidth="true" hidden="false" outlineLevel="0" max="10" min="10" style="0" width="46"/>
    <col collapsed="false" customWidth="true" hidden="false" outlineLevel="0" max="13" min="11" style="0" width="12"/>
    <col collapsed="false" customWidth="true" hidden="false" outlineLevel="0" max="14" min="14" style="0" width="3"/>
    <col collapsed="false" customWidth="true" hidden="false" outlineLevel="0" max="15" min="15" style="0" width="10"/>
    <col collapsed="false" customWidth="true" hidden="false" outlineLevel="0" max="18" min="16" style="0" width="11"/>
  </cols>
  <sheetData>
    <row r="1" customFormat="false" ht="25.5" hidden="false" customHeight="true" outlineLevel="0" collapsed="false">
      <c r="A1" s="1" t="s">
        <v>352</v>
      </c>
      <c r="B1" s="1"/>
      <c r="C1" s="1"/>
      <c r="D1" s="1"/>
      <c r="E1" s="1"/>
      <c r="F1" s="1"/>
      <c r="G1" s="1"/>
      <c r="H1" s="1"/>
      <c r="I1" s="1"/>
      <c r="J1" s="1"/>
      <c r="K1" s="1"/>
      <c r="L1" s="1"/>
      <c r="M1" s="1"/>
      <c r="N1" s="3"/>
      <c r="O1" s="3"/>
      <c r="P1" s="3"/>
      <c r="Q1" s="3"/>
    </row>
    <row r="2" customFormat="false" ht="15" hidden="false" customHeight="false" outlineLevel="0" collapsed="false">
      <c r="A2" s="2" t="s">
        <v>353</v>
      </c>
      <c r="B2" s="2"/>
      <c r="C2" s="2"/>
      <c r="D2" s="2"/>
      <c r="E2" s="2"/>
      <c r="F2" s="2"/>
      <c r="G2" s="2"/>
      <c r="H2" s="2"/>
      <c r="I2" s="2"/>
      <c r="J2" s="2"/>
      <c r="K2" s="2"/>
      <c r="L2" s="2"/>
      <c r="M2" s="2"/>
      <c r="N2" s="3"/>
      <c r="O2" s="12" t="s">
        <v>354</v>
      </c>
      <c r="P2" s="3"/>
      <c r="Q2" s="3"/>
    </row>
    <row r="3" customFormat="false" ht="31.5" hidden="false" customHeight="true" outlineLevel="0" collapsed="false">
      <c r="A3" s="45" t="s">
        <v>355</v>
      </c>
      <c r="B3" s="45" t="s">
        <v>129</v>
      </c>
      <c r="C3" s="45" t="s">
        <v>356</v>
      </c>
      <c r="D3" s="45" t="s">
        <v>357</v>
      </c>
      <c r="E3" s="45" t="s">
        <v>358</v>
      </c>
      <c r="F3" s="45" t="s">
        <v>359</v>
      </c>
      <c r="G3" s="45" t="s">
        <v>360</v>
      </c>
      <c r="H3" s="45" t="s">
        <v>361</v>
      </c>
      <c r="I3" s="45" t="s">
        <v>362</v>
      </c>
      <c r="J3" s="45" t="s">
        <v>363</v>
      </c>
      <c r="K3" s="45" t="s">
        <v>261</v>
      </c>
      <c r="L3" s="45" t="s">
        <v>364</v>
      </c>
      <c r="M3" s="45" t="s">
        <v>365</v>
      </c>
      <c r="N3" s="3"/>
      <c r="O3" s="45" t="s">
        <v>87</v>
      </c>
      <c r="P3" s="45" t="s">
        <v>366</v>
      </c>
      <c r="Q3" s="45" t="s">
        <v>367</v>
      </c>
    </row>
    <row r="4" customFormat="false" ht="22.35" hidden="false" customHeight="false" outlineLevel="0" collapsed="false">
      <c r="A4" s="46" t="s">
        <v>368</v>
      </c>
      <c r="B4" s="46" t="s">
        <v>143</v>
      </c>
      <c r="C4" s="46" t="s">
        <v>369</v>
      </c>
      <c r="D4" s="51" t="s">
        <v>370</v>
      </c>
      <c r="E4" s="46" t="n">
        <v>3</v>
      </c>
      <c r="F4" s="46" t="n">
        <v>4</v>
      </c>
      <c r="G4" s="20" t="n">
        <f aca="false">IF($E4="","",$E4*$F4)</f>
        <v>12</v>
      </c>
      <c r="H4" s="67" t="str">
        <f aca="false">IF($G4="","",IF($G4&gt;=15,"High",IF($G4&gt;=8,"Medium","Low")))</f>
        <v>Medium</v>
      </c>
      <c r="I4" s="47" t="s">
        <v>147</v>
      </c>
      <c r="J4" s="51" t="s">
        <v>371</v>
      </c>
      <c r="K4" s="46" t="s">
        <v>372</v>
      </c>
      <c r="L4" s="48" t="n">
        <v>46126</v>
      </c>
      <c r="M4" s="48" t="n">
        <v>46295</v>
      </c>
      <c r="N4" s="3"/>
      <c r="O4" s="19" t="s">
        <v>143</v>
      </c>
      <c r="P4" s="20" t="n">
        <f aca="false">COUNTIFS($B$4:$B$203,$O4,$K$4:$K$203,"Open")+COUNTIFS($B$4:$B$203,$O4,$K$4:$K$203,"Mitigating")</f>
        <v>3</v>
      </c>
      <c r="Q4" s="20" t="n">
        <f aca="false">COUNTIFS($B$4:$B$203,$O4,$H$4:$H$203,"High",$K$4:$K$203,"&lt;&gt;Closed")</f>
        <v>1</v>
      </c>
    </row>
    <row r="5" customFormat="false" ht="22.35" hidden="false" customHeight="false" outlineLevel="0" collapsed="false">
      <c r="A5" s="52" t="s">
        <v>373</v>
      </c>
      <c r="B5" s="52" t="s">
        <v>143</v>
      </c>
      <c r="C5" s="52" t="s">
        <v>374</v>
      </c>
      <c r="D5" s="57" t="s">
        <v>375</v>
      </c>
      <c r="E5" s="52" t="n">
        <v>5</v>
      </c>
      <c r="F5" s="52" t="n">
        <v>3</v>
      </c>
      <c r="G5" s="27" t="n">
        <f aca="false">IF($E5="","",$E5*$F5)</f>
        <v>15</v>
      </c>
      <c r="H5" s="68" t="str">
        <f aca="false">IF($G5="","",IF($G5&gt;=15,"High",IF($G5&gt;=8,"Medium","Low")))</f>
        <v>High</v>
      </c>
      <c r="I5" s="53" t="s">
        <v>147</v>
      </c>
      <c r="J5" s="57" t="s">
        <v>376</v>
      </c>
      <c r="K5" s="52" t="s">
        <v>377</v>
      </c>
      <c r="L5" s="54" t="n">
        <v>46154</v>
      </c>
      <c r="M5" s="54" t="n">
        <v>46280</v>
      </c>
      <c r="N5" s="3"/>
      <c r="O5" s="19" t="s">
        <v>151</v>
      </c>
      <c r="P5" s="20" t="n">
        <f aca="false">COUNTIFS($B$4:$B$203,$O5,$K$4:$K$203,"Open")+COUNTIFS($B$4:$B$203,$O5,$K$4:$K$203,"Mitigating")</f>
        <v>5</v>
      </c>
      <c r="Q5" s="20" t="n">
        <f aca="false">COUNTIFS($B$4:$B$203,$O5,$H$4:$H$203,"High",$K$4:$K$203,"&lt;&gt;Closed")</f>
        <v>0</v>
      </c>
    </row>
    <row r="6" customFormat="false" ht="15" hidden="false" customHeight="false" outlineLevel="0" collapsed="false">
      <c r="A6" s="46" t="s">
        <v>378</v>
      </c>
      <c r="B6" s="46" t="s">
        <v>143</v>
      </c>
      <c r="C6" s="46" t="s">
        <v>369</v>
      </c>
      <c r="D6" s="51" t="s">
        <v>379</v>
      </c>
      <c r="E6" s="46" t="n">
        <v>3</v>
      </c>
      <c r="F6" s="46" t="n">
        <v>3</v>
      </c>
      <c r="G6" s="20" t="n">
        <f aca="false">IF($E6="","",$E6*$F6)</f>
        <v>9</v>
      </c>
      <c r="H6" s="67" t="str">
        <f aca="false">IF($G6="","",IF($G6&gt;=15,"High",IF($G6&gt;=8,"Medium","Low")))</f>
        <v>Medium</v>
      </c>
      <c r="I6" s="47" t="s">
        <v>146</v>
      </c>
      <c r="J6" s="51" t="s">
        <v>380</v>
      </c>
      <c r="K6" s="46" t="s">
        <v>377</v>
      </c>
      <c r="L6" s="48" t="n">
        <v>46211</v>
      </c>
      <c r="M6" s="48" t="n">
        <v>46295</v>
      </c>
      <c r="N6" s="3"/>
      <c r="O6" s="19" t="s">
        <v>159</v>
      </c>
      <c r="P6" s="20" t="n">
        <f aca="false">COUNTIFS($B$4:$B$203,$O6,$K$4:$K$203,"Open")+COUNTIFS($B$4:$B$203,$O6,$K$4:$K$203,"Mitigating")</f>
        <v>9</v>
      </c>
      <c r="Q6" s="20" t="n">
        <f aca="false">COUNTIFS($B$4:$B$203,$O6,$H$4:$H$203,"High",$K$4:$K$203,"&lt;&gt;Closed")</f>
        <v>3</v>
      </c>
    </row>
    <row r="7" customFormat="false" ht="15" hidden="false" customHeight="false" outlineLevel="0" collapsed="false">
      <c r="A7" s="52" t="s">
        <v>381</v>
      </c>
      <c r="B7" s="52" t="s">
        <v>151</v>
      </c>
      <c r="C7" s="52" t="s">
        <v>369</v>
      </c>
      <c r="D7" s="57" t="s">
        <v>382</v>
      </c>
      <c r="E7" s="52" t="n">
        <v>2</v>
      </c>
      <c r="F7" s="52" t="n">
        <v>5</v>
      </c>
      <c r="G7" s="27" t="n">
        <f aca="false">IF($E7="","",$E7*$F7)</f>
        <v>10</v>
      </c>
      <c r="H7" s="68" t="str">
        <f aca="false">IF($G7="","",IF($G7&gt;=15,"High",IF($G7&gt;=8,"Medium","Low")))</f>
        <v>Medium</v>
      </c>
      <c r="I7" s="53" t="s">
        <v>155</v>
      </c>
      <c r="J7" s="57" t="s">
        <v>383</v>
      </c>
      <c r="K7" s="52" t="s">
        <v>372</v>
      </c>
      <c r="L7" s="54" t="n">
        <v>46148</v>
      </c>
      <c r="M7" s="54" t="n">
        <v>46310</v>
      </c>
      <c r="N7" s="3"/>
      <c r="O7" s="19" t="s">
        <v>167</v>
      </c>
      <c r="P7" s="20" t="n">
        <f aca="false">COUNTIFS($B$4:$B$203,$O7,$K$4:$K$203,"Open")+COUNTIFS($B$4:$B$203,$O7,$K$4:$K$203,"Mitigating")</f>
        <v>2</v>
      </c>
      <c r="Q7" s="20" t="n">
        <f aca="false">COUNTIFS($B$4:$B$203,$O7,$H$4:$H$203,"High",$K$4:$K$203,"&lt;&gt;Closed")</f>
        <v>0</v>
      </c>
    </row>
    <row r="8" customFormat="false" ht="22.35" hidden="false" customHeight="false" outlineLevel="0" collapsed="false">
      <c r="A8" s="46" t="s">
        <v>384</v>
      </c>
      <c r="B8" s="46" t="s">
        <v>151</v>
      </c>
      <c r="C8" s="46" t="s">
        <v>369</v>
      </c>
      <c r="D8" s="51" t="s">
        <v>385</v>
      </c>
      <c r="E8" s="46" t="n">
        <v>3</v>
      </c>
      <c r="F8" s="46" t="n">
        <v>3</v>
      </c>
      <c r="G8" s="20" t="n">
        <f aca="false">IF($E8="","",$E8*$F8)</f>
        <v>9</v>
      </c>
      <c r="H8" s="67" t="str">
        <f aca="false">IF($G8="","",IF($G8&gt;=15,"High",IF($G8&gt;=8,"Medium","Low")))</f>
        <v>Medium</v>
      </c>
      <c r="I8" s="47" t="s">
        <v>154</v>
      </c>
      <c r="J8" s="51" t="s">
        <v>386</v>
      </c>
      <c r="K8" s="46" t="s">
        <v>387</v>
      </c>
      <c r="L8" s="48" t="n">
        <v>46114</v>
      </c>
      <c r="M8" s="48" t="n">
        <v>46235</v>
      </c>
      <c r="N8" s="3"/>
      <c r="O8" s="19" t="s">
        <v>174</v>
      </c>
      <c r="P8" s="20" t="n">
        <f aca="false">COUNTIFS($B$4:$B$203,$O8,$K$4:$K$203,"Open")+COUNTIFS($B$4:$B$203,$O8,$K$4:$K$203,"Mitigating")</f>
        <v>3</v>
      </c>
      <c r="Q8" s="20" t="n">
        <f aca="false">COUNTIFS($B$4:$B$203,$O8,$H$4:$H$203,"High",$K$4:$K$203,"&lt;&gt;Closed")</f>
        <v>0</v>
      </c>
    </row>
    <row r="9" customFormat="false" ht="15" hidden="false" customHeight="false" outlineLevel="0" collapsed="false">
      <c r="A9" s="52" t="s">
        <v>388</v>
      </c>
      <c r="B9" s="52" t="s">
        <v>159</v>
      </c>
      <c r="C9" s="52" t="s">
        <v>374</v>
      </c>
      <c r="D9" s="57" t="s">
        <v>389</v>
      </c>
      <c r="E9" s="52" t="n">
        <v>5</v>
      </c>
      <c r="F9" s="52" t="n">
        <v>5</v>
      </c>
      <c r="G9" s="27" t="n">
        <f aca="false">IF($E9="","",$E9*$F9)</f>
        <v>25</v>
      </c>
      <c r="H9" s="68" t="str">
        <f aca="false">IF($G9="","",IF($G9&gt;=15,"High",IF($G9&gt;=8,"Medium","Low")))</f>
        <v>High</v>
      </c>
      <c r="I9" s="53" t="s">
        <v>162</v>
      </c>
      <c r="J9" s="57" t="s">
        <v>390</v>
      </c>
      <c r="K9" s="52" t="s">
        <v>377</v>
      </c>
      <c r="L9" s="54" t="n">
        <v>46183</v>
      </c>
      <c r="M9" s="54" t="n">
        <v>46280</v>
      </c>
      <c r="N9" s="3"/>
      <c r="O9" s="3"/>
      <c r="P9" s="3"/>
      <c r="Q9" s="3"/>
    </row>
    <row r="10" customFormat="false" ht="15" hidden="false" customHeight="false" outlineLevel="0" collapsed="false">
      <c r="A10" s="46" t="s">
        <v>391</v>
      </c>
      <c r="B10" s="46" t="s">
        <v>159</v>
      </c>
      <c r="C10" s="46" t="s">
        <v>374</v>
      </c>
      <c r="D10" s="51" t="s">
        <v>392</v>
      </c>
      <c r="E10" s="46" t="n">
        <v>5</v>
      </c>
      <c r="F10" s="46" t="n">
        <v>4</v>
      </c>
      <c r="G10" s="20" t="n">
        <f aca="false">IF($E10="","",$E10*$F10)</f>
        <v>20</v>
      </c>
      <c r="H10" s="67" t="str">
        <f aca="false">IF($G10="","",IF($G10&gt;=15,"High",IF($G10&gt;=8,"Medium","Low")))</f>
        <v>High</v>
      </c>
      <c r="I10" s="47" t="s">
        <v>162</v>
      </c>
      <c r="J10" s="51" t="s">
        <v>393</v>
      </c>
      <c r="K10" s="46" t="s">
        <v>377</v>
      </c>
      <c r="L10" s="48" t="n">
        <v>46206</v>
      </c>
      <c r="M10" s="48" t="n">
        <v>46277</v>
      </c>
      <c r="N10" s="3"/>
      <c r="O10" s="3"/>
      <c r="P10" s="3"/>
      <c r="Q10" s="3"/>
    </row>
    <row r="11" customFormat="false" ht="15" hidden="false" customHeight="false" outlineLevel="0" collapsed="false">
      <c r="A11" s="52" t="s">
        <v>394</v>
      </c>
      <c r="B11" s="52" t="s">
        <v>159</v>
      </c>
      <c r="C11" s="52" t="s">
        <v>369</v>
      </c>
      <c r="D11" s="57" t="s">
        <v>395</v>
      </c>
      <c r="E11" s="52" t="n">
        <v>3</v>
      </c>
      <c r="F11" s="52" t="n">
        <v>4</v>
      </c>
      <c r="G11" s="27" t="n">
        <f aca="false">IF($E11="","",$E11*$F11)</f>
        <v>12</v>
      </c>
      <c r="H11" s="68" t="str">
        <f aca="false">IF($G11="","",IF($G11&gt;=15,"High",IF($G11&gt;=8,"Medium","Low")))</f>
        <v>Medium</v>
      </c>
      <c r="I11" s="53" t="s">
        <v>163</v>
      </c>
      <c r="J11" s="57" t="s">
        <v>396</v>
      </c>
      <c r="K11" s="52" t="s">
        <v>377</v>
      </c>
      <c r="L11" s="54" t="n">
        <v>46133</v>
      </c>
      <c r="M11" s="54" t="n">
        <v>46325</v>
      </c>
      <c r="N11" s="3"/>
      <c r="O11" s="3"/>
      <c r="P11" s="3"/>
      <c r="Q11" s="3"/>
    </row>
    <row r="12" customFormat="false" ht="15" hidden="false" customHeight="false" outlineLevel="0" collapsed="false">
      <c r="A12" s="46" t="s">
        <v>397</v>
      </c>
      <c r="B12" s="46" t="s">
        <v>159</v>
      </c>
      <c r="C12" s="46" t="s">
        <v>369</v>
      </c>
      <c r="D12" s="51" t="s">
        <v>398</v>
      </c>
      <c r="E12" s="46" t="n">
        <v>4</v>
      </c>
      <c r="F12" s="46" t="n">
        <v>4</v>
      </c>
      <c r="G12" s="20" t="n">
        <f aca="false">IF($E12="","",$E12*$F12)</f>
        <v>16</v>
      </c>
      <c r="H12" s="67" t="str">
        <f aca="false">IF($G12="","",IF($G12&gt;=15,"High",IF($G12&gt;=8,"Medium","Low")))</f>
        <v>High</v>
      </c>
      <c r="I12" s="47" t="s">
        <v>162</v>
      </c>
      <c r="J12" s="51" t="s">
        <v>399</v>
      </c>
      <c r="K12" s="46" t="s">
        <v>377</v>
      </c>
      <c r="L12" s="48" t="n">
        <v>46198</v>
      </c>
      <c r="M12" s="48" t="n">
        <v>46280</v>
      </c>
      <c r="N12" s="3"/>
      <c r="O12" s="3"/>
      <c r="P12" s="3"/>
      <c r="Q12" s="3"/>
    </row>
    <row r="13" customFormat="false" ht="15" hidden="false" customHeight="false" outlineLevel="0" collapsed="false">
      <c r="A13" s="52" t="s">
        <v>400</v>
      </c>
      <c r="B13" s="52" t="s">
        <v>167</v>
      </c>
      <c r="C13" s="52" t="s">
        <v>369</v>
      </c>
      <c r="D13" s="57" t="s">
        <v>401</v>
      </c>
      <c r="E13" s="52" t="n">
        <v>2</v>
      </c>
      <c r="F13" s="52" t="n">
        <v>3</v>
      </c>
      <c r="G13" s="27" t="n">
        <f aca="false">IF($E13="","",$E13*$F13)</f>
        <v>6</v>
      </c>
      <c r="H13" s="68" t="str">
        <f aca="false">IF($G13="","",IF($G13&gt;=15,"High",IF($G13&gt;=8,"Medium","Low")))</f>
        <v>Low</v>
      </c>
      <c r="I13" s="53" t="s">
        <v>170</v>
      </c>
      <c r="J13" s="57" t="s">
        <v>402</v>
      </c>
      <c r="K13" s="52" t="s">
        <v>372</v>
      </c>
      <c r="L13" s="54" t="n">
        <v>46160</v>
      </c>
      <c r="M13" s="54" t="n">
        <v>46356</v>
      </c>
      <c r="N13" s="3"/>
      <c r="O13" s="3"/>
      <c r="P13" s="3"/>
      <c r="Q13" s="3"/>
    </row>
    <row r="14" customFormat="false" ht="15" hidden="false" customHeight="false" outlineLevel="0" collapsed="false">
      <c r="A14" s="46" t="s">
        <v>403</v>
      </c>
      <c r="B14" s="46" t="s">
        <v>167</v>
      </c>
      <c r="C14" s="46" t="s">
        <v>369</v>
      </c>
      <c r="D14" s="51" t="s">
        <v>404</v>
      </c>
      <c r="E14" s="46" t="n">
        <v>2</v>
      </c>
      <c r="F14" s="46" t="n">
        <v>3</v>
      </c>
      <c r="G14" s="20" t="n">
        <f aca="false">IF($E14="","",$E14*$F14)</f>
        <v>6</v>
      </c>
      <c r="H14" s="67" t="str">
        <f aca="false">IF($G14="","",IF($G14&gt;=15,"High",IF($G14&gt;=8,"Medium","Low")))</f>
        <v>Low</v>
      </c>
      <c r="I14" s="47" t="s">
        <v>333</v>
      </c>
      <c r="J14" s="51" t="s">
        <v>405</v>
      </c>
      <c r="K14" s="46" t="s">
        <v>377</v>
      </c>
      <c r="L14" s="48" t="n">
        <v>46218</v>
      </c>
      <c r="M14" s="48" t="n">
        <v>46374</v>
      </c>
      <c r="N14" s="3"/>
      <c r="O14" s="3"/>
      <c r="P14" s="3"/>
      <c r="Q14" s="3"/>
    </row>
    <row r="15" customFormat="false" ht="15" hidden="false" customHeight="false" outlineLevel="0" collapsed="false">
      <c r="A15" s="52" t="s">
        <v>406</v>
      </c>
      <c r="B15" s="52" t="s">
        <v>174</v>
      </c>
      <c r="C15" s="52" t="s">
        <v>369</v>
      </c>
      <c r="D15" s="57" t="s">
        <v>407</v>
      </c>
      <c r="E15" s="52" t="n">
        <v>2</v>
      </c>
      <c r="F15" s="52" t="n">
        <v>4</v>
      </c>
      <c r="G15" s="27" t="n">
        <f aca="false">IF($E15="","",$E15*$F15)</f>
        <v>8</v>
      </c>
      <c r="H15" s="68" t="str">
        <f aca="false">IF($G15="","",IF($G15&gt;=15,"High",IF($G15&gt;=8,"Medium","Low")))</f>
        <v>Medium</v>
      </c>
      <c r="I15" s="53" t="s">
        <v>177</v>
      </c>
      <c r="J15" s="57" t="s">
        <v>408</v>
      </c>
      <c r="K15" s="52" t="s">
        <v>387</v>
      </c>
      <c r="L15" s="54" t="n">
        <v>46162</v>
      </c>
      <c r="M15" s="54" t="n">
        <v>46248</v>
      </c>
      <c r="N15" s="3"/>
      <c r="O15" s="3"/>
      <c r="P15" s="3"/>
      <c r="Q15" s="3"/>
    </row>
    <row r="16" customFormat="false" ht="15" hidden="false" customHeight="false" outlineLevel="0" collapsed="false">
      <c r="A16" s="46" t="s">
        <v>409</v>
      </c>
      <c r="B16" s="46" t="s">
        <v>174</v>
      </c>
      <c r="C16" s="46" t="s">
        <v>369</v>
      </c>
      <c r="D16" s="51" t="s">
        <v>410</v>
      </c>
      <c r="E16" s="46" t="n">
        <v>3</v>
      </c>
      <c r="F16" s="46" t="n">
        <v>3</v>
      </c>
      <c r="G16" s="20" t="n">
        <f aca="false">IF($E16="","",$E16*$F16)</f>
        <v>9</v>
      </c>
      <c r="H16" s="67" t="str">
        <f aca="false">IF($G16="","",IF($G16&gt;=15,"High",IF($G16&gt;=8,"Medium","Low")))</f>
        <v>Medium</v>
      </c>
      <c r="I16" s="47" t="s">
        <v>177</v>
      </c>
      <c r="J16" s="51" t="s">
        <v>411</v>
      </c>
      <c r="K16" s="46" t="s">
        <v>372</v>
      </c>
      <c r="L16" s="48" t="n">
        <v>46203</v>
      </c>
      <c r="M16" s="48" t="n">
        <v>46295</v>
      </c>
      <c r="N16" s="3"/>
      <c r="O16" s="3"/>
      <c r="P16" s="3"/>
      <c r="Q16" s="3"/>
    </row>
    <row r="17" customFormat="false" ht="22.35" hidden="false" customHeight="false" outlineLevel="0" collapsed="false">
      <c r="A17" s="52" t="s">
        <v>412</v>
      </c>
      <c r="B17" s="52" t="s">
        <v>151</v>
      </c>
      <c r="C17" s="52" t="s">
        <v>369</v>
      </c>
      <c r="D17" s="57" t="s">
        <v>413</v>
      </c>
      <c r="E17" s="52" t="n">
        <v>3</v>
      </c>
      <c r="F17" s="52" t="n">
        <v>3</v>
      </c>
      <c r="G17" s="27" t="n">
        <f aca="false">IF($E17="","",$E17*$F17)</f>
        <v>9</v>
      </c>
      <c r="H17" s="68" t="str">
        <f aca="false">IF($G17="","",IF($G17&gt;=15,"High",IF($G17&gt;=8,"Medium","Low")))</f>
        <v>Medium</v>
      </c>
      <c r="I17" s="53" t="s">
        <v>155</v>
      </c>
      <c r="J17" s="57" t="s">
        <v>414</v>
      </c>
      <c r="K17" s="52" t="s">
        <v>377</v>
      </c>
      <c r="L17" s="54" t="n">
        <v>46181</v>
      </c>
      <c r="M17" s="54" t="n">
        <v>46325</v>
      </c>
      <c r="N17" s="3"/>
      <c r="O17" s="3"/>
      <c r="P17" s="3"/>
      <c r="Q17" s="3"/>
    </row>
    <row r="18" customFormat="false" ht="15" hidden="false" customHeight="false" outlineLevel="0" collapsed="false">
      <c r="A18" s="46" t="s">
        <v>415</v>
      </c>
      <c r="B18" s="46" t="s">
        <v>151</v>
      </c>
      <c r="C18" s="46" t="s">
        <v>369</v>
      </c>
      <c r="D18" s="51" t="s">
        <v>416</v>
      </c>
      <c r="E18" s="46" t="n">
        <v>3</v>
      </c>
      <c r="F18" s="46" t="n">
        <v>4</v>
      </c>
      <c r="G18" s="20" t="n">
        <f aca="false">IF($E18="","",$E18*$F18)</f>
        <v>12</v>
      </c>
      <c r="H18" s="67" t="str">
        <f aca="false">IF($G18="","",IF($G18&gt;=15,"High",IF($G18&gt;=8,"Medium","Low")))</f>
        <v>Medium</v>
      </c>
      <c r="I18" s="47" t="s">
        <v>297</v>
      </c>
      <c r="J18" s="51" t="s">
        <v>417</v>
      </c>
      <c r="K18" s="46" t="s">
        <v>372</v>
      </c>
      <c r="L18" s="48" t="n">
        <v>46204</v>
      </c>
      <c r="M18" s="48" t="n">
        <v>46353</v>
      </c>
      <c r="N18" s="3"/>
      <c r="O18" s="3"/>
      <c r="P18" s="3"/>
      <c r="Q18" s="3"/>
    </row>
    <row r="19" customFormat="false" ht="15" hidden="false" customHeight="false" outlineLevel="0" collapsed="false">
      <c r="A19" s="52" t="s">
        <v>418</v>
      </c>
      <c r="B19" s="52" t="s">
        <v>151</v>
      </c>
      <c r="C19" s="52" t="s">
        <v>374</v>
      </c>
      <c r="D19" s="57" t="s">
        <v>419</v>
      </c>
      <c r="E19" s="52" t="n">
        <v>4</v>
      </c>
      <c r="F19" s="52" t="n">
        <v>3</v>
      </c>
      <c r="G19" s="27" t="n">
        <f aca="false">IF($E19="","",$E19*$F19)</f>
        <v>12</v>
      </c>
      <c r="H19" s="68" t="str">
        <f aca="false">IF($G19="","",IF($G19&gt;=15,"High",IF($G19&gt;=8,"Medium","Low")))</f>
        <v>Medium</v>
      </c>
      <c r="I19" s="53" t="s">
        <v>297</v>
      </c>
      <c r="J19" s="57" t="s">
        <v>420</v>
      </c>
      <c r="K19" s="52" t="s">
        <v>377</v>
      </c>
      <c r="L19" s="54" t="n">
        <v>46225</v>
      </c>
      <c r="M19" s="54" t="n">
        <v>46295</v>
      </c>
      <c r="N19" s="3"/>
      <c r="O19" s="3"/>
      <c r="P19" s="3"/>
      <c r="Q19" s="3"/>
    </row>
    <row r="20" customFormat="false" ht="15" hidden="false" customHeight="false" outlineLevel="0" collapsed="false">
      <c r="A20" s="46" t="s">
        <v>421</v>
      </c>
      <c r="B20" s="46" t="s">
        <v>151</v>
      </c>
      <c r="C20" s="46" t="s">
        <v>369</v>
      </c>
      <c r="D20" s="51" t="s">
        <v>422</v>
      </c>
      <c r="E20" s="46" t="n">
        <v>2</v>
      </c>
      <c r="F20" s="46" t="n">
        <v>4</v>
      </c>
      <c r="G20" s="20" t="n">
        <f aca="false">IF($E20="","",$E20*$F20)</f>
        <v>8</v>
      </c>
      <c r="H20" s="67" t="str">
        <f aca="false">IF($G20="","",IF($G20&gt;=15,"High",IF($G20&gt;=8,"Medium","Low")))</f>
        <v>Medium</v>
      </c>
      <c r="I20" s="47" t="s">
        <v>155</v>
      </c>
      <c r="J20" s="51" t="s">
        <v>423</v>
      </c>
      <c r="K20" s="46" t="s">
        <v>372</v>
      </c>
      <c r="L20" s="48" t="n">
        <v>46239</v>
      </c>
      <c r="M20" s="48" t="n">
        <v>46374</v>
      </c>
      <c r="N20" s="3"/>
      <c r="O20" s="3"/>
      <c r="P20" s="3"/>
      <c r="Q20" s="3"/>
    </row>
    <row r="21" customFormat="false" ht="22.35" hidden="false" customHeight="false" outlineLevel="0" collapsed="false">
      <c r="A21" s="52" t="s">
        <v>424</v>
      </c>
      <c r="B21" s="52" t="s">
        <v>159</v>
      </c>
      <c r="C21" s="52" t="s">
        <v>369</v>
      </c>
      <c r="D21" s="57" t="s">
        <v>425</v>
      </c>
      <c r="E21" s="52" t="n">
        <v>3</v>
      </c>
      <c r="F21" s="52" t="n">
        <v>4</v>
      </c>
      <c r="G21" s="27" t="n">
        <f aca="false">IF($E21="","",$E21*$F21)</f>
        <v>12</v>
      </c>
      <c r="H21" s="68" t="str">
        <f aca="false">IF($G21="","",IF($G21&gt;=15,"High",IF($G21&gt;=8,"Medium","Low")))</f>
        <v>Medium</v>
      </c>
      <c r="I21" s="53" t="s">
        <v>163</v>
      </c>
      <c r="J21" s="57" t="s">
        <v>426</v>
      </c>
      <c r="K21" s="52" t="s">
        <v>372</v>
      </c>
      <c r="L21" s="54" t="n">
        <v>46190</v>
      </c>
      <c r="M21" s="54" t="n">
        <v>46310</v>
      </c>
      <c r="N21" s="3"/>
      <c r="O21" s="3"/>
      <c r="P21" s="3"/>
      <c r="Q21" s="3"/>
    </row>
    <row r="22" customFormat="false" ht="15" hidden="false" customHeight="false" outlineLevel="0" collapsed="false">
      <c r="A22" s="46" t="s">
        <v>427</v>
      </c>
      <c r="B22" s="46" t="s">
        <v>159</v>
      </c>
      <c r="C22" s="46" t="s">
        <v>369</v>
      </c>
      <c r="D22" s="51" t="s">
        <v>428</v>
      </c>
      <c r="E22" s="46" t="n">
        <v>3</v>
      </c>
      <c r="F22" s="46" t="n">
        <v>3</v>
      </c>
      <c r="G22" s="20" t="n">
        <f aca="false">IF($E22="","",$E22*$F22)</f>
        <v>9</v>
      </c>
      <c r="H22" s="67" t="str">
        <f aca="false">IF($G22="","",IF($G22&gt;=15,"High",IF($G22&gt;=8,"Medium","Low")))</f>
        <v>Medium</v>
      </c>
      <c r="I22" s="47" t="s">
        <v>163</v>
      </c>
      <c r="J22" s="51" t="s">
        <v>429</v>
      </c>
      <c r="K22" s="46" t="s">
        <v>377</v>
      </c>
      <c r="L22" s="48" t="n">
        <v>46212</v>
      </c>
      <c r="M22" s="48" t="n">
        <v>46311</v>
      </c>
      <c r="N22" s="3"/>
      <c r="O22" s="3"/>
      <c r="P22" s="3"/>
      <c r="Q22" s="3"/>
    </row>
    <row r="23" customFormat="false" ht="22.35" hidden="false" customHeight="false" outlineLevel="0" collapsed="false">
      <c r="A23" s="52" t="s">
        <v>430</v>
      </c>
      <c r="B23" s="52" t="s">
        <v>159</v>
      </c>
      <c r="C23" s="52" t="s">
        <v>374</v>
      </c>
      <c r="D23" s="57" t="s">
        <v>431</v>
      </c>
      <c r="E23" s="52" t="n">
        <v>4</v>
      </c>
      <c r="F23" s="52" t="n">
        <v>3</v>
      </c>
      <c r="G23" s="27" t="n">
        <f aca="false">IF($E23="","",$E23*$F23)</f>
        <v>12</v>
      </c>
      <c r="H23" s="68" t="str">
        <f aca="false">IF($G23="","",IF($G23&gt;=15,"High",IF($G23&gt;=8,"Medium","Low")))</f>
        <v>Medium</v>
      </c>
      <c r="I23" s="53" t="s">
        <v>313</v>
      </c>
      <c r="J23" s="57" t="s">
        <v>432</v>
      </c>
      <c r="K23" s="52" t="s">
        <v>377</v>
      </c>
      <c r="L23" s="54" t="n">
        <v>46246</v>
      </c>
      <c r="M23" s="54" t="n">
        <v>46291</v>
      </c>
      <c r="N23" s="3"/>
      <c r="O23" s="3"/>
      <c r="P23" s="3"/>
      <c r="Q23" s="3"/>
    </row>
    <row r="24" customFormat="false" ht="15" hidden="false" customHeight="false" outlineLevel="0" collapsed="false">
      <c r="A24" s="46" t="s">
        <v>433</v>
      </c>
      <c r="B24" s="46" t="s">
        <v>159</v>
      </c>
      <c r="C24" s="46" t="s">
        <v>369</v>
      </c>
      <c r="D24" s="51" t="s">
        <v>434</v>
      </c>
      <c r="E24" s="46" t="n">
        <v>3</v>
      </c>
      <c r="F24" s="46" t="n">
        <v>3</v>
      </c>
      <c r="G24" s="20" t="n">
        <f aca="false">IF($E24="","",$E24*$F24)</f>
        <v>9</v>
      </c>
      <c r="H24" s="67" t="str">
        <f aca="false">IF($G24="","",IF($G24&gt;=15,"High",IF($G24&gt;=8,"Medium","Low")))</f>
        <v>Medium</v>
      </c>
      <c r="I24" s="47" t="s">
        <v>162</v>
      </c>
      <c r="J24" s="51" t="s">
        <v>435</v>
      </c>
      <c r="K24" s="46" t="s">
        <v>377</v>
      </c>
      <c r="L24" s="48" t="n">
        <v>46237</v>
      </c>
      <c r="M24" s="48" t="n">
        <v>46295</v>
      </c>
      <c r="N24" s="3"/>
      <c r="O24" s="3"/>
      <c r="P24" s="3"/>
      <c r="Q24" s="3"/>
    </row>
    <row r="25" customFormat="false" ht="22.35" hidden="false" customHeight="false" outlineLevel="0" collapsed="false">
      <c r="A25" s="52" t="s">
        <v>436</v>
      </c>
      <c r="B25" s="52" t="s">
        <v>159</v>
      </c>
      <c r="C25" s="52" t="s">
        <v>369</v>
      </c>
      <c r="D25" s="57" t="s">
        <v>437</v>
      </c>
      <c r="E25" s="52" t="n">
        <v>2</v>
      </c>
      <c r="F25" s="52" t="n">
        <v>4</v>
      </c>
      <c r="G25" s="27" t="n">
        <f aca="false">IF($E25="","",$E25*$F25)</f>
        <v>8</v>
      </c>
      <c r="H25" s="68" t="str">
        <f aca="false">IF($G25="","",IF($G25&gt;=15,"High",IF($G25&gt;=8,"Medium","Low")))</f>
        <v>Medium</v>
      </c>
      <c r="I25" s="53" t="s">
        <v>162</v>
      </c>
      <c r="J25" s="57" t="s">
        <v>438</v>
      </c>
      <c r="K25" s="52" t="s">
        <v>372</v>
      </c>
      <c r="L25" s="54" t="n">
        <v>46253</v>
      </c>
      <c r="M25" s="54" t="n">
        <v>46356</v>
      </c>
      <c r="N25" s="3"/>
      <c r="O25" s="3"/>
      <c r="P25" s="3"/>
      <c r="Q25" s="3"/>
    </row>
    <row r="26" customFormat="false" ht="15" hidden="false" customHeight="false" outlineLevel="0" collapsed="false">
      <c r="A26" s="46" t="s">
        <v>439</v>
      </c>
      <c r="B26" s="46" t="s">
        <v>174</v>
      </c>
      <c r="C26" s="46" t="s">
        <v>369</v>
      </c>
      <c r="D26" s="51" t="s">
        <v>440</v>
      </c>
      <c r="E26" s="46" t="n">
        <v>3</v>
      </c>
      <c r="F26" s="46" t="n">
        <v>3</v>
      </c>
      <c r="G26" s="20" t="n">
        <f aca="false">IF($E26="","",$E26*$F26)</f>
        <v>9</v>
      </c>
      <c r="H26" s="67" t="str">
        <f aca="false">IF($G26="","",IF($G26&gt;=15,"High",IF($G26&gt;=8,"Medium","Low")))</f>
        <v>Medium</v>
      </c>
      <c r="I26" s="47" t="s">
        <v>177</v>
      </c>
      <c r="J26" s="51" t="s">
        <v>441</v>
      </c>
      <c r="K26" s="46" t="s">
        <v>377</v>
      </c>
      <c r="L26" s="48" t="n">
        <v>46217</v>
      </c>
      <c r="M26" s="48" t="n">
        <v>46295</v>
      </c>
      <c r="N26" s="3"/>
      <c r="O26" s="3"/>
      <c r="P26" s="3"/>
      <c r="Q26" s="3"/>
    </row>
    <row r="27" customFormat="false" ht="15" hidden="false" customHeight="false" outlineLevel="0" collapsed="false">
      <c r="A27" s="52" t="s">
        <v>442</v>
      </c>
      <c r="B27" s="52" t="s">
        <v>174</v>
      </c>
      <c r="C27" s="52" t="s">
        <v>369</v>
      </c>
      <c r="D27" s="57" t="s">
        <v>443</v>
      </c>
      <c r="E27" s="52" t="n">
        <v>2</v>
      </c>
      <c r="F27" s="52" t="n">
        <v>4</v>
      </c>
      <c r="G27" s="27" t="n">
        <f aca="false">IF($E27="","",$E27*$F27)</f>
        <v>8</v>
      </c>
      <c r="H27" s="68" t="str">
        <f aca="false">IF($G27="","",IF($G27&gt;=15,"High",IF($G27&gt;=8,"Medium","Low")))</f>
        <v>Medium</v>
      </c>
      <c r="I27" s="53" t="s">
        <v>177</v>
      </c>
      <c r="J27" s="57" t="s">
        <v>444</v>
      </c>
      <c r="K27" s="52" t="s">
        <v>372</v>
      </c>
      <c r="L27" s="54" t="n">
        <v>46241</v>
      </c>
      <c r="M27" s="54" t="n">
        <v>46291</v>
      </c>
      <c r="N27" s="3"/>
      <c r="O27" s="3"/>
      <c r="P27" s="3"/>
      <c r="Q27" s="3"/>
    </row>
    <row r="28" customFormat="false" ht="15" hidden="false" customHeight="false" outlineLevel="0" collapsed="false">
      <c r="A28" s="46"/>
      <c r="B28" s="46"/>
      <c r="C28" s="46"/>
      <c r="D28" s="47"/>
      <c r="E28" s="46"/>
      <c r="F28" s="46"/>
      <c r="G28" s="20" t="str">
        <f aca="false">IF($E28="","",$E28*$F28)</f>
        <v/>
      </c>
      <c r="H28" s="67" t="str">
        <f aca="false">IF($G28="","",IF($G28&gt;=15,"High",IF($G28&gt;=8,"Medium","Low")))</f>
        <v/>
      </c>
      <c r="I28" s="47"/>
      <c r="J28" s="47"/>
      <c r="K28" s="46"/>
      <c r="L28" s="48"/>
      <c r="M28" s="48"/>
      <c r="N28" s="3"/>
      <c r="O28" s="3"/>
      <c r="P28" s="3"/>
      <c r="Q28" s="3"/>
    </row>
    <row r="29" customFormat="false" ht="15" hidden="false" customHeight="false" outlineLevel="0" collapsed="false">
      <c r="A29" s="52"/>
      <c r="B29" s="52"/>
      <c r="C29" s="52"/>
      <c r="D29" s="53"/>
      <c r="E29" s="52"/>
      <c r="F29" s="52"/>
      <c r="G29" s="27" t="str">
        <f aca="false">IF($E29="","",$E29*$F29)</f>
        <v/>
      </c>
      <c r="H29" s="68" t="str">
        <f aca="false">IF($G29="","",IF($G29&gt;=15,"High",IF($G29&gt;=8,"Medium","Low")))</f>
        <v/>
      </c>
      <c r="I29" s="53"/>
      <c r="J29" s="53"/>
      <c r="K29" s="52"/>
      <c r="L29" s="54"/>
      <c r="M29" s="54"/>
      <c r="N29" s="3"/>
      <c r="O29" s="3"/>
      <c r="P29" s="3"/>
      <c r="Q29" s="3"/>
    </row>
    <row r="30" customFormat="false" ht="15" hidden="false" customHeight="false" outlineLevel="0" collapsed="false">
      <c r="A30" s="46"/>
      <c r="B30" s="46"/>
      <c r="C30" s="46"/>
      <c r="D30" s="47"/>
      <c r="E30" s="46"/>
      <c r="F30" s="46"/>
      <c r="G30" s="20" t="str">
        <f aca="false">IF($E30="","",$E30*$F30)</f>
        <v/>
      </c>
      <c r="H30" s="67" t="str">
        <f aca="false">IF($G30="","",IF($G30&gt;=15,"High",IF($G30&gt;=8,"Medium","Low")))</f>
        <v/>
      </c>
      <c r="I30" s="47"/>
      <c r="J30" s="47"/>
      <c r="K30" s="46"/>
      <c r="L30" s="48"/>
      <c r="M30" s="48"/>
      <c r="N30" s="3"/>
      <c r="O30" s="3"/>
      <c r="P30" s="3"/>
      <c r="Q30" s="3"/>
    </row>
    <row r="31" customFormat="false" ht="15" hidden="false" customHeight="false" outlineLevel="0" collapsed="false">
      <c r="A31" s="52"/>
      <c r="B31" s="52"/>
      <c r="C31" s="52"/>
      <c r="D31" s="53"/>
      <c r="E31" s="52"/>
      <c r="F31" s="52"/>
      <c r="G31" s="27" t="str">
        <f aca="false">IF($E31="","",$E31*$F31)</f>
        <v/>
      </c>
      <c r="H31" s="68" t="str">
        <f aca="false">IF($G31="","",IF($G31&gt;=15,"High",IF($G31&gt;=8,"Medium","Low")))</f>
        <v/>
      </c>
      <c r="I31" s="53"/>
      <c r="J31" s="53"/>
      <c r="K31" s="52"/>
      <c r="L31" s="54"/>
      <c r="M31" s="54"/>
      <c r="N31" s="3"/>
      <c r="O31" s="3"/>
      <c r="P31" s="3"/>
      <c r="Q31" s="3"/>
    </row>
    <row r="32" customFormat="false" ht="15" hidden="false" customHeight="false" outlineLevel="0" collapsed="false">
      <c r="A32" s="46"/>
      <c r="B32" s="46"/>
      <c r="C32" s="46"/>
      <c r="D32" s="47"/>
      <c r="E32" s="46"/>
      <c r="F32" s="46"/>
      <c r="G32" s="20" t="str">
        <f aca="false">IF($E32="","",$E32*$F32)</f>
        <v/>
      </c>
      <c r="H32" s="67" t="str">
        <f aca="false">IF($G32="","",IF($G32&gt;=15,"High",IF($G32&gt;=8,"Medium","Low")))</f>
        <v/>
      </c>
      <c r="I32" s="47"/>
      <c r="J32" s="47"/>
      <c r="K32" s="46"/>
      <c r="L32" s="48"/>
      <c r="M32" s="48"/>
      <c r="N32" s="3"/>
      <c r="O32" s="3"/>
      <c r="P32" s="3"/>
      <c r="Q32" s="3"/>
    </row>
    <row r="33" customFormat="false" ht="15" hidden="false" customHeight="false" outlineLevel="0" collapsed="false">
      <c r="A33" s="52"/>
      <c r="B33" s="52"/>
      <c r="C33" s="52"/>
      <c r="D33" s="53"/>
      <c r="E33" s="52"/>
      <c r="F33" s="52"/>
      <c r="G33" s="27" t="str">
        <f aca="false">IF($E33="","",$E33*$F33)</f>
        <v/>
      </c>
      <c r="H33" s="68" t="str">
        <f aca="false">IF($G33="","",IF($G33&gt;=15,"High",IF($G33&gt;=8,"Medium","Low")))</f>
        <v/>
      </c>
      <c r="I33" s="53"/>
      <c r="J33" s="53"/>
      <c r="K33" s="52"/>
      <c r="L33" s="54"/>
      <c r="M33" s="54"/>
      <c r="N33" s="3"/>
      <c r="O33" s="3"/>
      <c r="P33" s="3"/>
      <c r="Q33" s="3"/>
    </row>
    <row r="34" customFormat="false" ht="15" hidden="false" customHeight="false" outlineLevel="0" collapsed="false">
      <c r="A34" s="46"/>
      <c r="B34" s="46"/>
      <c r="C34" s="46"/>
      <c r="D34" s="47"/>
      <c r="E34" s="46"/>
      <c r="F34" s="46"/>
      <c r="G34" s="20" t="str">
        <f aca="false">IF($E34="","",$E34*$F34)</f>
        <v/>
      </c>
      <c r="H34" s="67" t="str">
        <f aca="false">IF($G34="","",IF($G34&gt;=15,"High",IF($G34&gt;=8,"Medium","Low")))</f>
        <v/>
      </c>
      <c r="I34" s="47"/>
      <c r="J34" s="47"/>
      <c r="K34" s="46"/>
      <c r="L34" s="48"/>
      <c r="M34" s="48"/>
      <c r="N34" s="3"/>
      <c r="O34" s="3"/>
      <c r="P34" s="3"/>
      <c r="Q34" s="3"/>
    </row>
    <row r="35" customFormat="false" ht="15" hidden="false" customHeight="false" outlineLevel="0" collapsed="false">
      <c r="A35" s="52"/>
      <c r="B35" s="52"/>
      <c r="C35" s="52"/>
      <c r="D35" s="53"/>
      <c r="E35" s="52"/>
      <c r="F35" s="52"/>
      <c r="G35" s="27" t="str">
        <f aca="false">IF($E35="","",$E35*$F35)</f>
        <v/>
      </c>
      <c r="H35" s="68" t="str">
        <f aca="false">IF($G35="","",IF($G35&gt;=15,"High",IF($G35&gt;=8,"Medium","Low")))</f>
        <v/>
      </c>
      <c r="I35" s="53"/>
      <c r="J35" s="53"/>
      <c r="K35" s="52"/>
      <c r="L35" s="54"/>
      <c r="M35" s="54"/>
      <c r="N35" s="3"/>
      <c r="O35" s="3"/>
      <c r="P35" s="3"/>
      <c r="Q35" s="3"/>
    </row>
    <row r="36" customFormat="false" ht="15" hidden="false" customHeight="false" outlineLevel="0" collapsed="false">
      <c r="A36" s="46"/>
      <c r="B36" s="46"/>
      <c r="C36" s="46"/>
      <c r="D36" s="47"/>
      <c r="E36" s="46"/>
      <c r="F36" s="46"/>
      <c r="G36" s="20" t="str">
        <f aca="false">IF($E36="","",$E36*$F36)</f>
        <v/>
      </c>
      <c r="H36" s="67" t="str">
        <f aca="false">IF($G36="","",IF($G36&gt;=15,"High",IF($G36&gt;=8,"Medium","Low")))</f>
        <v/>
      </c>
      <c r="I36" s="47"/>
      <c r="J36" s="47"/>
      <c r="K36" s="46"/>
      <c r="L36" s="48"/>
      <c r="M36" s="48"/>
      <c r="N36" s="3"/>
      <c r="O36" s="3"/>
      <c r="P36" s="3"/>
      <c r="Q36" s="3"/>
    </row>
    <row r="37" customFormat="false" ht="15" hidden="false" customHeight="false" outlineLevel="0" collapsed="false">
      <c r="A37" s="52"/>
      <c r="B37" s="52"/>
      <c r="C37" s="52"/>
      <c r="D37" s="53"/>
      <c r="E37" s="52"/>
      <c r="F37" s="52"/>
      <c r="G37" s="27" t="str">
        <f aca="false">IF($E37="","",$E37*$F37)</f>
        <v/>
      </c>
      <c r="H37" s="68" t="str">
        <f aca="false">IF($G37="","",IF($G37&gt;=15,"High",IF($G37&gt;=8,"Medium","Low")))</f>
        <v/>
      </c>
      <c r="I37" s="53"/>
      <c r="J37" s="53"/>
      <c r="K37" s="52"/>
      <c r="L37" s="54"/>
      <c r="M37" s="54"/>
      <c r="N37" s="3"/>
      <c r="O37" s="3"/>
      <c r="P37" s="3"/>
      <c r="Q37" s="3"/>
    </row>
    <row r="38" customFormat="false" ht="15" hidden="false" customHeight="false" outlineLevel="0" collapsed="false">
      <c r="A38" s="46"/>
      <c r="B38" s="46"/>
      <c r="C38" s="46"/>
      <c r="D38" s="47"/>
      <c r="E38" s="46"/>
      <c r="F38" s="46"/>
      <c r="G38" s="20" t="str">
        <f aca="false">IF($E38="","",$E38*$F38)</f>
        <v/>
      </c>
      <c r="H38" s="67" t="str">
        <f aca="false">IF($G38="","",IF($G38&gt;=15,"High",IF($G38&gt;=8,"Medium","Low")))</f>
        <v/>
      </c>
      <c r="I38" s="47"/>
      <c r="J38" s="47"/>
      <c r="K38" s="46"/>
      <c r="L38" s="48"/>
      <c r="M38" s="48"/>
      <c r="N38" s="3"/>
      <c r="O38" s="3"/>
      <c r="P38" s="3"/>
      <c r="Q38" s="3"/>
    </row>
    <row r="39" customFormat="false" ht="15" hidden="false" customHeight="false" outlineLevel="0" collapsed="false">
      <c r="A39" s="52"/>
      <c r="B39" s="52"/>
      <c r="C39" s="52"/>
      <c r="D39" s="53"/>
      <c r="E39" s="52"/>
      <c r="F39" s="52"/>
      <c r="G39" s="27" t="str">
        <f aca="false">IF($E39="","",$E39*$F39)</f>
        <v/>
      </c>
      <c r="H39" s="68" t="str">
        <f aca="false">IF($G39="","",IF($G39&gt;=15,"High",IF($G39&gt;=8,"Medium","Low")))</f>
        <v/>
      </c>
      <c r="I39" s="53"/>
      <c r="J39" s="53"/>
      <c r="K39" s="52"/>
      <c r="L39" s="54"/>
      <c r="M39" s="54"/>
      <c r="N39" s="3"/>
      <c r="O39" s="3"/>
      <c r="P39" s="3"/>
      <c r="Q39" s="3"/>
    </row>
    <row r="40" customFormat="false" ht="15" hidden="false" customHeight="false" outlineLevel="0" collapsed="false">
      <c r="A40" s="46"/>
      <c r="B40" s="46"/>
      <c r="C40" s="46"/>
      <c r="D40" s="47"/>
      <c r="E40" s="46"/>
      <c r="F40" s="46"/>
      <c r="G40" s="20" t="str">
        <f aca="false">IF($E40="","",$E40*$F40)</f>
        <v/>
      </c>
      <c r="H40" s="67" t="str">
        <f aca="false">IF($G40="","",IF($G40&gt;=15,"High",IF($G40&gt;=8,"Medium","Low")))</f>
        <v/>
      </c>
      <c r="I40" s="47"/>
      <c r="J40" s="47"/>
      <c r="K40" s="46"/>
      <c r="L40" s="48"/>
      <c r="M40" s="48"/>
      <c r="N40" s="3"/>
      <c r="O40" s="3"/>
      <c r="P40" s="3"/>
      <c r="Q40" s="3"/>
    </row>
    <row r="41" customFormat="false" ht="15" hidden="false" customHeight="false" outlineLevel="0" collapsed="false">
      <c r="A41" s="52"/>
      <c r="B41" s="52"/>
      <c r="C41" s="52"/>
      <c r="D41" s="53"/>
      <c r="E41" s="52"/>
      <c r="F41" s="52"/>
      <c r="G41" s="27" t="str">
        <f aca="false">IF($E41="","",$E41*$F41)</f>
        <v/>
      </c>
      <c r="H41" s="68" t="str">
        <f aca="false">IF($G41="","",IF($G41&gt;=15,"High",IF($G41&gt;=8,"Medium","Low")))</f>
        <v/>
      </c>
      <c r="I41" s="53"/>
      <c r="J41" s="53"/>
      <c r="K41" s="52"/>
      <c r="L41" s="54"/>
      <c r="M41" s="54"/>
      <c r="N41" s="3"/>
      <c r="O41" s="3"/>
      <c r="P41" s="3"/>
      <c r="Q41" s="3"/>
    </row>
    <row r="42" customFormat="false" ht="15" hidden="false" customHeight="false" outlineLevel="0" collapsed="false">
      <c r="A42" s="46"/>
      <c r="B42" s="46"/>
      <c r="C42" s="46"/>
      <c r="D42" s="47"/>
      <c r="E42" s="46"/>
      <c r="F42" s="46"/>
      <c r="G42" s="20" t="str">
        <f aca="false">IF($E42="","",$E42*$F42)</f>
        <v/>
      </c>
      <c r="H42" s="67" t="str">
        <f aca="false">IF($G42="","",IF($G42&gt;=15,"High",IF($G42&gt;=8,"Medium","Low")))</f>
        <v/>
      </c>
      <c r="I42" s="47"/>
      <c r="J42" s="47"/>
      <c r="K42" s="46"/>
      <c r="L42" s="48"/>
      <c r="M42" s="48"/>
      <c r="N42" s="3"/>
      <c r="O42" s="3"/>
      <c r="P42" s="3"/>
      <c r="Q42" s="3"/>
    </row>
    <row r="43" customFormat="false" ht="15" hidden="false" customHeight="false" outlineLevel="0" collapsed="false">
      <c r="A43" s="52"/>
      <c r="B43" s="52"/>
      <c r="C43" s="52"/>
      <c r="D43" s="53"/>
      <c r="E43" s="52"/>
      <c r="F43" s="52"/>
      <c r="G43" s="27" t="str">
        <f aca="false">IF($E43="","",$E43*$F43)</f>
        <v/>
      </c>
      <c r="H43" s="68" t="str">
        <f aca="false">IF($G43="","",IF($G43&gt;=15,"High",IF($G43&gt;=8,"Medium","Low")))</f>
        <v/>
      </c>
      <c r="I43" s="53"/>
      <c r="J43" s="53"/>
      <c r="K43" s="52"/>
      <c r="L43" s="54"/>
      <c r="M43" s="54"/>
      <c r="N43" s="3"/>
      <c r="O43" s="3"/>
      <c r="P43" s="3"/>
      <c r="Q43" s="3"/>
    </row>
    <row r="44" customFormat="false" ht="15" hidden="false" customHeight="false" outlineLevel="0" collapsed="false">
      <c r="A44" s="46"/>
      <c r="B44" s="46"/>
      <c r="C44" s="46"/>
      <c r="D44" s="47"/>
      <c r="E44" s="46"/>
      <c r="F44" s="46"/>
      <c r="G44" s="20" t="str">
        <f aca="false">IF($E44="","",$E44*$F44)</f>
        <v/>
      </c>
      <c r="H44" s="67" t="str">
        <f aca="false">IF($G44="","",IF($G44&gt;=15,"High",IF($G44&gt;=8,"Medium","Low")))</f>
        <v/>
      </c>
      <c r="I44" s="47"/>
      <c r="J44" s="47"/>
      <c r="K44" s="46"/>
      <c r="L44" s="48"/>
      <c r="M44" s="48"/>
      <c r="N44" s="3"/>
      <c r="O44" s="3"/>
      <c r="P44" s="3"/>
      <c r="Q44" s="3"/>
    </row>
    <row r="45" customFormat="false" ht="15" hidden="false" customHeight="false" outlineLevel="0" collapsed="false">
      <c r="A45" s="52"/>
      <c r="B45" s="52"/>
      <c r="C45" s="52"/>
      <c r="D45" s="53"/>
      <c r="E45" s="52"/>
      <c r="F45" s="52"/>
      <c r="G45" s="27" t="str">
        <f aca="false">IF($E45="","",$E45*$F45)</f>
        <v/>
      </c>
      <c r="H45" s="68" t="str">
        <f aca="false">IF($G45="","",IF($G45&gt;=15,"High",IF($G45&gt;=8,"Medium","Low")))</f>
        <v/>
      </c>
      <c r="I45" s="53"/>
      <c r="J45" s="53"/>
      <c r="K45" s="52"/>
      <c r="L45" s="54"/>
      <c r="M45" s="54"/>
      <c r="N45" s="3"/>
      <c r="O45" s="3"/>
      <c r="P45" s="3"/>
      <c r="Q45" s="3"/>
    </row>
    <row r="46" customFormat="false" ht="15" hidden="false" customHeight="false" outlineLevel="0" collapsed="false">
      <c r="A46" s="46"/>
      <c r="B46" s="46"/>
      <c r="C46" s="46"/>
      <c r="D46" s="47"/>
      <c r="E46" s="46"/>
      <c r="F46" s="46"/>
      <c r="G46" s="20" t="str">
        <f aca="false">IF($E46="","",$E46*$F46)</f>
        <v/>
      </c>
      <c r="H46" s="67" t="str">
        <f aca="false">IF($G46="","",IF($G46&gt;=15,"High",IF($G46&gt;=8,"Medium","Low")))</f>
        <v/>
      </c>
      <c r="I46" s="47"/>
      <c r="J46" s="47"/>
      <c r="K46" s="46"/>
      <c r="L46" s="48"/>
      <c r="M46" s="48"/>
      <c r="N46" s="3"/>
      <c r="O46" s="3"/>
      <c r="P46" s="3"/>
      <c r="Q46" s="3"/>
    </row>
    <row r="47" customFormat="false" ht="15" hidden="false" customHeight="false" outlineLevel="0" collapsed="false">
      <c r="A47" s="52"/>
      <c r="B47" s="52"/>
      <c r="C47" s="52"/>
      <c r="D47" s="53"/>
      <c r="E47" s="52"/>
      <c r="F47" s="52"/>
      <c r="G47" s="27" t="str">
        <f aca="false">IF($E47="","",$E47*$F47)</f>
        <v/>
      </c>
      <c r="H47" s="68" t="str">
        <f aca="false">IF($G47="","",IF($G47&gt;=15,"High",IF($G47&gt;=8,"Medium","Low")))</f>
        <v/>
      </c>
      <c r="I47" s="53"/>
      <c r="J47" s="53"/>
      <c r="K47" s="52"/>
      <c r="L47" s="54"/>
      <c r="M47" s="54"/>
      <c r="N47" s="3"/>
      <c r="O47" s="3"/>
      <c r="P47" s="3"/>
      <c r="Q47" s="3"/>
    </row>
    <row r="48" customFormat="false" ht="15" hidden="false" customHeight="false" outlineLevel="0" collapsed="false">
      <c r="A48" s="46"/>
      <c r="B48" s="46"/>
      <c r="C48" s="46"/>
      <c r="D48" s="47"/>
      <c r="E48" s="46"/>
      <c r="F48" s="46"/>
      <c r="G48" s="20" t="str">
        <f aca="false">IF($E48="","",$E48*$F48)</f>
        <v/>
      </c>
      <c r="H48" s="67" t="str">
        <f aca="false">IF($G48="","",IF($G48&gt;=15,"High",IF($G48&gt;=8,"Medium","Low")))</f>
        <v/>
      </c>
      <c r="I48" s="47"/>
      <c r="J48" s="47"/>
      <c r="K48" s="46"/>
      <c r="L48" s="48"/>
      <c r="M48" s="48"/>
      <c r="N48" s="3"/>
      <c r="O48" s="3"/>
      <c r="P48" s="3"/>
      <c r="Q48" s="3"/>
    </row>
    <row r="49" customFormat="false" ht="15" hidden="false" customHeight="false" outlineLevel="0" collapsed="false">
      <c r="A49" s="52"/>
      <c r="B49" s="52"/>
      <c r="C49" s="52"/>
      <c r="D49" s="53"/>
      <c r="E49" s="52"/>
      <c r="F49" s="52"/>
      <c r="G49" s="27" t="str">
        <f aca="false">IF($E49="","",$E49*$F49)</f>
        <v/>
      </c>
      <c r="H49" s="68" t="str">
        <f aca="false">IF($G49="","",IF($G49&gt;=15,"High",IF($G49&gt;=8,"Medium","Low")))</f>
        <v/>
      </c>
      <c r="I49" s="53"/>
      <c r="J49" s="53"/>
      <c r="K49" s="52"/>
      <c r="L49" s="54"/>
      <c r="M49" s="54"/>
      <c r="N49" s="3"/>
      <c r="O49" s="3"/>
      <c r="P49" s="3"/>
      <c r="Q49" s="3"/>
    </row>
    <row r="50" customFormat="false" ht="15" hidden="false" customHeight="false" outlineLevel="0" collapsed="false">
      <c r="A50" s="46"/>
      <c r="B50" s="46"/>
      <c r="C50" s="46"/>
      <c r="D50" s="47"/>
      <c r="E50" s="46"/>
      <c r="F50" s="46"/>
      <c r="G50" s="20" t="str">
        <f aca="false">IF($E50="","",$E50*$F50)</f>
        <v/>
      </c>
      <c r="H50" s="67" t="str">
        <f aca="false">IF($G50="","",IF($G50&gt;=15,"High",IF($G50&gt;=8,"Medium","Low")))</f>
        <v/>
      </c>
      <c r="I50" s="47"/>
      <c r="J50" s="47"/>
      <c r="K50" s="46"/>
      <c r="L50" s="48"/>
      <c r="M50" s="48"/>
      <c r="N50" s="3"/>
      <c r="O50" s="3"/>
      <c r="P50" s="3"/>
      <c r="Q50" s="3"/>
    </row>
    <row r="51" customFormat="false" ht="15" hidden="false" customHeight="false" outlineLevel="0" collapsed="false">
      <c r="A51" s="52"/>
      <c r="B51" s="52"/>
      <c r="C51" s="52"/>
      <c r="D51" s="53"/>
      <c r="E51" s="52"/>
      <c r="F51" s="52"/>
      <c r="G51" s="27" t="str">
        <f aca="false">IF($E51="","",$E51*$F51)</f>
        <v/>
      </c>
      <c r="H51" s="68" t="str">
        <f aca="false">IF($G51="","",IF($G51&gt;=15,"High",IF($G51&gt;=8,"Medium","Low")))</f>
        <v/>
      </c>
      <c r="I51" s="53"/>
      <c r="J51" s="53"/>
      <c r="K51" s="52"/>
      <c r="L51" s="54"/>
      <c r="M51" s="54"/>
      <c r="N51" s="3"/>
      <c r="O51" s="3"/>
      <c r="P51" s="3"/>
      <c r="Q51" s="3"/>
    </row>
    <row r="52" customFormat="false" ht="15" hidden="false" customHeight="false" outlineLevel="0" collapsed="false">
      <c r="A52" s="46"/>
      <c r="B52" s="46"/>
      <c r="C52" s="46"/>
      <c r="D52" s="47"/>
      <c r="E52" s="46"/>
      <c r="F52" s="46"/>
      <c r="G52" s="20" t="str">
        <f aca="false">IF($E52="","",$E52*$F52)</f>
        <v/>
      </c>
      <c r="H52" s="67" t="str">
        <f aca="false">IF($G52="","",IF($G52&gt;=15,"High",IF($G52&gt;=8,"Medium","Low")))</f>
        <v/>
      </c>
      <c r="I52" s="47"/>
      <c r="J52" s="47"/>
      <c r="K52" s="46"/>
      <c r="L52" s="48"/>
      <c r="M52" s="48"/>
      <c r="N52" s="3"/>
      <c r="O52" s="3"/>
      <c r="P52" s="3"/>
      <c r="Q52" s="3"/>
    </row>
    <row r="53" customFormat="false" ht="15" hidden="false" customHeight="false" outlineLevel="0" collapsed="false">
      <c r="A53" s="52"/>
      <c r="B53" s="52"/>
      <c r="C53" s="52"/>
      <c r="D53" s="53"/>
      <c r="E53" s="52"/>
      <c r="F53" s="52"/>
      <c r="G53" s="27" t="str">
        <f aca="false">IF($E53="","",$E53*$F53)</f>
        <v/>
      </c>
      <c r="H53" s="68" t="str">
        <f aca="false">IF($G53="","",IF($G53&gt;=15,"High",IF($G53&gt;=8,"Medium","Low")))</f>
        <v/>
      </c>
      <c r="I53" s="53"/>
      <c r="J53" s="53"/>
      <c r="K53" s="52"/>
      <c r="L53" s="54"/>
      <c r="M53" s="54"/>
      <c r="N53" s="3"/>
      <c r="O53" s="3"/>
      <c r="P53" s="3"/>
      <c r="Q53" s="3"/>
    </row>
    <row r="54" customFormat="false" ht="15" hidden="false" customHeight="false" outlineLevel="0" collapsed="false">
      <c r="A54" s="46"/>
      <c r="B54" s="46"/>
      <c r="C54" s="46"/>
      <c r="D54" s="47"/>
      <c r="E54" s="46"/>
      <c r="F54" s="46"/>
      <c r="G54" s="20" t="str">
        <f aca="false">IF($E54="","",$E54*$F54)</f>
        <v/>
      </c>
      <c r="H54" s="67" t="str">
        <f aca="false">IF($G54="","",IF($G54&gt;=15,"High",IF($G54&gt;=8,"Medium","Low")))</f>
        <v/>
      </c>
      <c r="I54" s="47"/>
      <c r="J54" s="47"/>
      <c r="K54" s="46"/>
      <c r="L54" s="48"/>
      <c r="M54" s="48"/>
      <c r="N54" s="3"/>
      <c r="O54" s="3"/>
      <c r="P54" s="3"/>
      <c r="Q54" s="3"/>
    </row>
    <row r="55" customFormat="false" ht="15" hidden="false" customHeight="false" outlineLevel="0" collapsed="false">
      <c r="A55" s="52"/>
      <c r="B55" s="52"/>
      <c r="C55" s="52"/>
      <c r="D55" s="53"/>
      <c r="E55" s="52"/>
      <c r="F55" s="52"/>
      <c r="G55" s="27" t="str">
        <f aca="false">IF($E55="","",$E55*$F55)</f>
        <v/>
      </c>
      <c r="H55" s="68" t="str">
        <f aca="false">IF($G55="","",IF($G55&gt;=15,"High",IF($G55&gt;=8,"Medium","Low")))</f>
        <v/>
      </c>
      <c r="I55" s="53"/>
      <c r="J55" s="53"/>
      <c r="K55" s="52"/>
      <c r="L55" s="54"/>
      <c r="M55" s="54"/>
      <c r="N55" s="3"/>
      <c r="O55" s="3"/>
      <c r="P55" s="3"/>
      <c r="Q55" s="3"/>
    </row>
    <row r="56" customFormat="false" ht="15" hidden="false" customHeight="false" outlineLevel="0" collapsed="false">
      <c r="A56" s="46"/>
      <c r="B56" s="46"/>
      <c r="C56" s="46"/>
      <c r="D56" s="47"/>
      <c r="E56" s="46"/>
      <c r="F56" s="46"/>
      <c r="G56" s="20" t="str">
        <f aca="false">IF($E56="","",$E56*$F56)</f>
        <v/>
      </c>
      <c r="H56" s="67" t="str">
        <f aca="false">IF($G56="","",IF($G56&gt;=15,"High",IF($G56&gt;=8,"Medium","Low")))</f>
        <v/>
      </c>
      <c r="I56" s="47"/>
      <c r="J56" s="47"/>
      <c r="K56" s="46"/>
      <c r="L56" s="48"/>
      <c r="M56" s="48"/>
      <c r="N56" s="3"/>
      <c r="O56" s="3"/>
      <c r="P56" s="3"/>
      <c r="Q56" s="3"/>
    </row>
    <row r="57" customFormat="false" ht="15" hidden="false" customHeight="false" outlineLevel="0" collapsed="false">
      <c r="A57" s="52"/>
      <c r="B57" s="52"/>
      <c r="C57" s="52"/>
      <c r="D57" s="53"/>
      <c r="E57" s="52"/>
      <c r="F57" s="52"/>
      <c r="G57" s="27" t="str">
        <f aca="false">IF($E57="","",$E57*$F57)</f>
        <v/>
      </c>
      <c r="H57" s="68" t="str">
        <f aca="false">IF($G57="","",IF($G57&gt;=15,"High",IF($G57&gt;=8,"Medium","Low")))</f>
        <v/>
      </c>
      <c r="I57" s="53"/>
      <c r="J57" s="53"/>
      <c r="K57" s="52"/>
      <c r="L57" s="54"/>
      <c r="M57" s="54"/>
      <c r="N57" s="3"/>
      <c r="O57" s="3"/>
      <c r="P57" s="3"/>
      <c r="Q57" s="3"/>
    </row>
    <row r="58" customFormat="false" ht="15" hidden="false" customHeight="false" outlineLevel="0" collapsed="false">
      <c r="A58" s="46"/>
      <c r="B58" s="46"/>
      <c r="C58" s="46"/>
      <c r="D58" s="47"/>
      <c r="E58" s="46"/>
      <c r="F58" s="46"/>
      <c r="G58" s="20" t="str">
        <f aca="false">IF($E58="","",$E58*$F58)</f>
        <v/>
      </c>
      <c r="H58" s="67" t="str">
        <f aca="false">IF($G58="","",IF($G58&gt;=15,"High",IF($G58&gt;=8,"Medium","Low")))</f>
        <v/>
      </c>
      <c r="I58" s="47"/>
      <c r="J58" s="47"/>
      <c r="K58" s="46"/>
      <c r="L58" s="48"/>
      <c r="M58" s="48"/>
      <c r="N58" s="3"/>
      <c r="O58" s="3"/>
      <c r="P58" s="3"/>
      <c r="Q58" s="3"/>
    </row>
    <row r="59" customFormat="false" ht="15" hidden="false" customHeight="false" outlineLevel="0" collapsed="false">
      <c r="A59" s="52"/>
      <c r="B59" s="52"/>
      <c r="C59" s="52"/>
      <c r="D59" s="53"/>
      <c r="E59" s="52"/>
      <c r="F59" s="52"/>
      <c r="G59" s="27" t="str">
        <f aca="false">IF($E59="","",$E59*$F59)</f>
        <v/>
      </c>
      <c r="H59" s="68" t="str">
        <f aca="false">IF($G59="","",IF($G59&gt;=15,"High",IF($G59&gt;=8,"Medium","Low")))</f>
        <v/>
      </c>
      <c r="I59" s="53"/>
      <c r="J59" s="53"/>
      <c r="K59" s="52"/>
      <c r="L59" s="54"/>
      <c r="M59" s="54"/>
      <c r="N59" s="3"/>
      <c r="O59" s="3"/>
      <c r="P59" s="3"/>
      <c r="Q59" s="3"/>
    </row>
    <row r="60" customFormat="false" ht="15" hidden="false" customHeight="false" outlineLevel="0" collapsed="false">
      <c r="A60" s="46"/>
      <c r="B60" s="46"/>
      <c r="C60" s="46"/>
      <c r="D60" s="47"/>
      <c r="E60" s="46"/>
      <c r="F60" s="46"/>
      <c r="G60" s="20" t="str">
        <f aca="false">IF($E60="","",$E60*$F60)</f>
        <v/>
      </c>
      <c r="H60" s="67" t="str">
        <f aca="false">IF($G60="","",IF($G60&gt;=15,"High",IF($G60&gt;=8,"Medium","Low")))</f>
        <v/>
      </c>
      <c r="I60" s="47"/>
      <c r="J60" s="47"/>
      <c r="K60" s="46"/>
      <c r="L60" s="48"/>
      <c r="M60" s="48"/>
      <c r="N60" s="3"/>
      <c r="O60" s="3"/>
      <c r="P60" s="3"/>
      <c r="Q60" s="3"/>
    </row>
    <row r="61" customFormat="false" ht="15" hidden="false" customHeight="false" outlineLevel="0" collapsed="false">
      <c r="A61" s="52"/>
      <c r="B61" s="52"/>
      <c r="C61" s="52"/>
      <c r="D61" s="53"/>
      <c r="E61" s="52"/>
      <c r="F61" s="52"/>
      <c r="G61" s="27" t="str">
        <f aca="false">IF($E61="","",$E61*$F61)</f>
        <v/>
      </c>
      <c r="H61" s="68" t="str">
        <f aca="false">IF($G61="","",IF($G61&gt;=15,"High",IF($G61&gt;=8,"Medium","Low")))</f>
        <v/>
      </c>
      <c r="I61" s="53"/>
      <c r="J61" s="53"/>
      <c r="K61" s="52"/>
      <c r="L61" s="54"/>
      <c r="M61" s="54"/>
      <c r="N61" s="3"/>
      <c r="O61" s="3"/>
      <c r="P61" s="3"/>
      <c r="Q61" s="3"/>
    </row>
    <row r="62" customFormat="false" ht="15" hidden="false" customHeight="false" outlineLevel="0" collapsed="false">
      <c r="A62" s="46"/>
      <c r="B62" s="46"/>
      <c r="C62" s="46"/>
      <c r="D62" s="47"/>
      <c r="E62" s="46"/>
      <c r="F62" s="46"/>
      <c r="G62" s="20" t="str">
        <f aca="false">IF($E62="","",$E62*$F62)</f>
        <v/>
      </c>
      <c r="H62" s="67" t="str">
        <f aca="false">IF($G62="","",IF($G62&gt;=15,"High",IF($G62&gt;=8,"Medium","Low")))</f>
        <v/>
      </c>
      <c r="I62" s="47"/>
      <c r="J62" s="47"/>
      <c r="K62" s="46"/>
      <c r="L62" s="48"/>
      <c r="M62" s="48"/>
      <c r="N62" s="3"/>
      <c r="O62" s="3"/>
      <c r="P62" s="3"/>
      <c r="Q62" s="3"/>
    </row>
    <row r="63" customFormat="false" ht="15" hidden="false" customHeight="false" outlineLevel="0" collapsed="false">
      <c r="A63" s="52"/>
      <c r="B63" s="52"/>
      <c r="C63" s="52"/>
      <c r="D63" s="53"/>
      <c r="E63" s="52"/>
      <c r="F63" s="52"/>
      <c r="G63" s="27" t="str">
        <f aca="false">IF($E63="","",$E63*$F63)</f>
        <v/>
      </c>
      <c r="H63" s="68" t="str">
        <f aca="false">IF($G63="","",IF($G63&gt;=15,"High",IF($G63&gt;=8,"Medium","Low")))</f>
        <v/>
      </c>
      <c r="I63" s="53"/>
      <c r="J63" s="53"/>
      <c r="K63" s="52"/>
      <c r="L63" s="54"/>
      <c r="M63" s="54"/>
      <c r="N63" s="3"/>
      <c r="O63" s="3"/>
      <c r="P63" s="3"/>
      <c r="Q63" s="3"/>
    </row>
    <row r="64" customFormat="false" ht="15" hidden="false" customHeight="false" outlineLevel="0" collapsed="false">
      <c r="A64" s="46"/>
      <c r="B64" s="46"/>
      <c r="C64" s="46"/>
      <c r="D64" s="47"/>
      <c r="E64" s="46"/>
      <c r="F64" s="46"/>
      <c r="G64" s="20" t="str">
        <f aca="false">IF($E64="","",$E64*$F64)</f>
        <v/>
      </c>
      <c r="H64" s="67" t="str">
        <f aca="false">IF($G64="","",IF($G64&gt;=15,"High",IF($G64&gt;=8,"Medium","Low")))</f>
        <v/>
      </c>
      <c r="I64" s="47"/>
      <c r="J64" s="47"/>
      <c r="K64" s="46"/>
      <c r="L64" s="48"/>
      <c r="M64" s="48"/>
      <c r="N64" s="3"/>
      <c r="O64" s="3"/>
      <c r="P64" s="3"/>
      <c r="Q64" s="3"/>
    </row>
    <row r="65" customFormat="false" ht="15" hidden="false" customHeight="false" outlineLevel="0" collapsed="false">
      <c r="A65" s="52"/>
      <c r="B65" s="52"/>
      <c r="C65" s="52"/>
      <c r="D65" s="53"/>
      <c r="E65" s="52"/>
      <c r="F65" s="52"/>
      <c r="G65" s="27" t="str">
        <f aca="false">IF($E65="","",$E65*$F65)</f>
        <v/>
      </c>
      <c r="H65" s="68" t="str">
        <f aca="false">IF($G65="","",IF($G65&gt;=15,"High",IF($G65&gt;=8,"Medium","Low")))</f>
        <v/>
      </c>
      <c r="I65" s="53"/>
      <c r="J65" s="53"/>
      <c r="K65" s="52"/>
      <c r="L65" s="54"/>
      <c r="M65" s="54"/>
      <c r="N65" s="3"/>
      <c r="O65" s="3"/>
      <c r="P65" s="3"/>
      <c r="Q65" s="3"/>
    </row>
    <row r="66" customFormat="false" ht="15" hidden="false" customHeight="false" outlineLevel="0" collapsed="false">
      <c r="A66" s="46"/>
      <c r="B66" s="46"/>
      <c r="C66" s="46"/>
      <c r="D66" s="47"/>
      <c r="E66" s="46"/>
      <c r="F66" s="46"/>
      <c r="G66" s="20" t="str">
        <f aca="false">IF($E66="","",$E66*$F66)</f>
        <v/>
      </c>
      <c r="H66" s="67" t="str">
        <f aca="false">IF($G66="","",IF($G66&gt;=15,"High",IF($G66&gt;=8,"Medium","Low")))</f>
        <v/>
      </c>
      <c r="I66" s="47"/>
      <c r="J66" s="47"/>
      <c r="K66" s="46"/>
      <c r="L66" s="48"/>
      <c r="M66" s="48"/>
      <c r="N66" s="3"/>
      <c r="O66" s="3"/>
      <c r="P66" s="3"/>
      <c r="Q66" s="3"/>
    </row>
    <row r="67" customFormat="false" ht="15" hidden="false" customHeight="false" outlineLevel="0" collapsed="false">
      <c r="A67" s="52"/>
      <c r="B67" s="52"/>
      <c r="C67" s="52"/>
      <c r="D67" s="53"/>
      <c r="E67" s="52"/>
      <c r="F67" s="52"/>
      <c r="G67" s="27" t="str">
        <f aca="false">IF($E67="","",$E67*$F67)</f>
        <v/>
      </c>
      <c r="H67" s="68" t="str">
        <f aca="false">IF($G67="","",IF($G67&gt;=15,"High",IF($G67&gt;=8,"Medium","Low")))</f>
        <v/>
      </c>
      <c r="I67" s="53"/>
      <c r="J67" s="53"/>
      <c r="K67" s="52"/>
      <c r="L67" s="54"/>
      <c r="M67" s="54"/>
      <c r="N67" s="3"/>
      <c r="O67" s="3"/>
      <c r="P67" s="3"/>
      <c r="Q67" s="3"/>
    </row>
    <row r="68" customFormat="false" ht="15" hidden="false" customHeight="false" outlineLevel="0" collapsed="false">
      <c r="A68" s="46"/>
      <c r="B68" s="46"/>
      <c r="C68" s="46"/>
      <c r="D68" s="47"/>
      <c r="E68" s="46"/>
      <c r="F68" s="46"/>
      <c r="G68" s="20" t="str">
        <f aca="false">IF($E68="","",$E68*$F68)</f>
        <v/>
      </c>
      <c r="H68" s="67" t="str">
        <f aca="false">IF($G68="","",IF($G68&gt;=15,"High",IF($G68&gt;=8,"Medium","Low")))</f>
        <v/>
      </c>
      <c r="I68" s="47"/>
      <c r="J68" s="47"/>
      <c r="K68" s="46"/>
      <c r="L68" s="48"/>
      <c r="M68" s="48"/>
      <c r="N68" s="3"/>
      <c r="O68" s="3"/>
      <c r="P68" s="3"/>
      <c r="Q68" s="3"/>
    </row>
    <row r="69" customFormat="false" ht="15" hidden="false" customHeight="false" outlineLevel="0" collapsed="false">
      <c r="A69" s="52"/>
      <c r="B69" s="52"/>
      <c r="C69" s="52"/>
      <c r="D69" s="53"/>
      <c r="E69" s="52"/>
      <c r="F69" s="52"/>
      <c r="G69" s="27" t="str">
        <f aca="false">IF($E69="","",$E69*$F69)</f>
        <v/>
      </c>
      <c r="H69" s="68" t="str">
        <f aca="false">IF($G69="","",IF($G69&gt;=15,"High",IF($G69&gt;=8,"Medium","Low")))</f>
        <v/>
      </c>
      <c r="I69" s="53"/>
      <c r="J69" s="53"/>
      <c r="K69" s="52"/>
      <c r="L69" s="54"/>
      <c r="M69" s="54"/>
      <c r="N69" s="3"/>
      <c r="O69" s="3"/>
      <c r="P69" s="3"/>
      <c r="Q69" s="3"/>
    </row>
    <row r="70" customFormat="false" ht="15" hidden="false" customHeight="false" outlineLevel="0" collapsed="false">
      <c r="A70" s="46"/>
      <c r="B70" s="46"/>
      <c r="C70" s="46"/>
      <c r="D70" s="47"/>
      <c r="E70" s="46"/>
      <c r="F70" s="46"/>
      <c r="G70" s="20" t="str">
        <f aca="false">IF($E70="","",$E70*$F70)</f>
        <v/>
      </c>
      <c r="H70" s="67" t="str">
        <f aca="false">IF($G70="","",IF($G70&gt;=15,"High",IF($G70&gt;=8,"Medium","Low")))</f>
        <v/>
      </c>
      <c r="I70" s="47"/>
      <c r="J70" s="47"/>
      <c r="K70" s="46"/>
      <c r="L70" s="48"/>
      <c r="M70" s="48"/>
      <c r="N70" s="3"/>
      <c r="O70" s="3"/>
      <c r="P70" s="3"/>
      <c r="Q70" s="3"/>
    </row>
    <row r="71" customFormat="false" ht="15" hidden="false" customHeight="false" outlineLevel="0" collapsed="false">
      <c r="A71" s="52"/>
      <c r="B71" s="52"/>
      <c r="C71" s="52"/>
      <c r="D71" s="53"/>
      <c r="E71" s="52"/>
      <c r="F71" s="52"/>
      <c r="G71" s="27" t="str">
        <f aca="false">IF($E71="","",$E71*$F71)</f>
        <v/>
      </c>
      <c r="H71" s="68" t="str">
        <f aca="false">IF($G71="","",IF($G71&gt;=15,"High",IF($G71&gt;=8,"Medium","Low")))</f>
        <v/>
      </c>
      <c r="I71" s="53"/>
      <c r="J71" s="53"/>
      <c r="K71" s="52"/>
      <c r="L71" s="54"/>
      <c r="M71" s="54"/>
      <c r="N71" s="3"/>
      <c r="O71" s="3"/>
      <c r="P71" s="3"/>
      <c r="Q71" s="3"/>
    </row>
    <row r="72" customFormat="false" ht="15" hidden="false" customHeight="false" outlineLevel="0" collapsed="false">
      <c r="A72" s="46"/>
      <c r="B72" s="46"/>
      <c r="C72" s="46"/>
      <c r="D72" s="47"/>
      <c r="E72" s="46"/>
      <c r="F72" s="46"/>
      <c r="G72" s="20" t="str">
        <f aca="false">IF($E72="","",$E72*$F72)</f>
        <v/>
      </c>
      <c r="H72" s="67" t="str">
        <f aca="false">IF($G72="","",IF($G72&gt;=15,"High",IF($G72&gt;=8,"Medium","Low")))</f>
        <v/>
      </c>
      <c r="I72" s="47"/>
      <c r="J72" s="47"/>
      <c r="K72" s="46"/>
      <c r="L72" s="48"/>
      <c r="M72" s="48"/>
      <c r="N72" s="3"/>
      <c r="O72" s="3"/>
      <c r="P72" s="3"/>
      <c r="Q72" s="3"/>
    </row>
    <row r="73" customFormat="false" ht="15" hidden="false" customHeight="false" outlineLevel="0" collapsed="false">
      <c r="A73" s="52"/>
      <c r="B73" s="52"/>
      <c r="C73" s="52"/>
      <c r="D73" s="53"/>
      <c r="E73" s="52"/>
      <c r="F73" s="52"/>
      <c r="G73" s="27" t="str">
        <f aca="false">IF($E73="","",$E73*$F73)</f>
        <v/>
      </c>
      <c r="H73" s="68" t="str">
        <f aca="false">IF($G73="","",IF($G73&gt;=15,"High",IF($G73&gt;=8,"Medium","Low")))</f>
        <v/>
      </c>
      <c r="I73" s="53"/>
      <c r="J73" s="53"/>
      <c r="K73" s="52"/>
      <c r="L73" s="54"/>
      <c r="M73" s="54"/>
      <c r="N73" s="3"/>
      <c r="O73" s="3"/>
      <c r="P73" s="3"/>
      <c r="Q73" s="3"/>
    </row>
    <row r="74" customFormat="false" ht="15" hidden="false" customHeight="false" outlineLevel="0" collapsed="false">
      <c r="A74" s="46"/>
      <c r="B74" s="46"/>
      <c r="C74" s="46"/>
      <c r="D74" s="47"/>
      <c r="E74" s="46"/>
      <c r="F74" s="46"/>
      <c r="G74" s="20" t="str">
        <f aca="false">IF($E74="","",$E74*$F74)</f>
        <v/>
      </c>
      <c r="H74" s="67" t="str">
        <f aca="false">IF($G74="","",IF($G74&gt;=15,"High",IF($G74&gt;=8,"Medium","Low")))</f>
        <v/>
      </c>
      <c r="I74" s="47"/>
      <c r="J74" s="47"/>
      <c r="K74" s="46"/>
      <c r="L74" s="48"/>
      <c r="M74" s="48"/>
      <c r="N74" s="3"/>
      <c r="O74" s="3"/>
      <c r="P74" s="3"/>
      <c r="Q74" s="3"/>
    </row>
    <row r="75" customFormat="false" ht="15" hidden="false" customHeight="false" outlineLevel="0" collapsed="false">
      <c r="A75" s="52"/>
      <c r="B75" s="52"/>
      <c r="C75" s="52"/>
      <c r="D75" s="53"/>
      <c r="E75" s="52"/>
      <c r="F75" s="52"/>
      <c r="G75" s="27" t="str">
        <f aca="false">IF($E75="","",$E75*$F75)</f>
        <v/>
      </c>
      <c r="H75" s="68" t="str">
        <f aca="false">IF($G75="","",IF($G75&gt;=15,"High",IF($G75&gt;=8,"Medium","Low")))</f>
        <v/>
      </c>
      <c r="I75" s="53"/>
      <c r="J75" s="53"/>
      <c r="K75" s="52"/>
      <c r="L75" s="54"/>
      <c r="M75" s="54"/>
      <c r="N75" s="3"/>
      <c r="O75" s="3"/>
      <c r="P75" s="3"/>
      <c r="Q75" s="3"/>
    </row>
    <row r="76" customFormat="false" ht="15" hidden="false" customHeight="false" outlineLevel="0" collapsed="false">
      <c r="A76" s="46"/>
      <c r="B76" s="46"/>
      <c r="C76" s="46"/>
      <c r="D76" s="47"/>
      <c r="E76" s="46"/>
      <c r="F76" s="46"/>
      <c r="G76" s="20" t="str">
        <f aca="false">IF($E76="","",$E76*$F76)</f>
        <v/>
      </c>
      <c r="H76" s="67" t="str">
        <f aca="false">IF($G76="","",IF($G76&gt;=15,"High",IF($G76&gt;=8,"Medium","Low")))</f>
        <v/>
      </c>
      <c r="I76" s="47"/>
      <c r="J76" s="47"/>
      <c r="K76" s="46"/>
      <c r="L76" s="48"/>
      <c r="M76" s="48"/>
      <c r="N76" s="3"/>
      <c r="O76" s="3"/>
      <c r="P76" s="3"/>
      <c r="Q76" s="3"/>
    </row>
    <row r="77" customFormat="false" ht="15" hidden="false" customHeight="false" outlineLevel="0" collapsed="false">
      <c r="A77" s="52"/>
      <c r="B77" s="52"/>
      <c r="C77" s="52"/>
      <c r="D77" s="53"/>
      <c r="E77" s="52"/>
      <c r="F77" s="52"/>
      <c r="G77" s="27" t="str">
        <f aca="false">IF($E77="","",$E77*$F77)</f>
        <v/>
      </c>
      <c r="H77" s="68" t="str">
        <f aca="false">IF($G77="","",IF($G77&gt;=15,"High",IF($G77&gt;=8,"Medium","Low")))</f>
        <v/>
      </c>
      <c r="I77" s="53"/>
      <c r="J77" s="53"/>
      <c r="K77" s="52"/>
      <c r="L77" s="54"/>
      <c r="M77" s="54"/>
      <c r="N77" s="3"/>
      <c r="O77" s="3"/>
      <c r="P77" s="3"/>
      <c r="Q77" s="3"/>
    </row>
    <row r="78" customFormat="false" ht="15" hidden="false" customHeight="false" outlineLevel="0" collapsed="false">
      <c r="A78" s="46"/>
      <c r="B78" s="46"/>
      <c r="C78" s="46"/>
      <c r="D78" s="47"/>
      <c r="E78" s="46"/>
      <c r="F78" s="46"/>
      <c r="G78" s="20" t="str">
        <f aca="false">IF($E78="","",$E78*$F78)</f>
        <v/>
      </c>
      <c r="H78" s="67" t="str">
        <f aca="false">IF($G78="","",IF($G78&gt;=15,"High",IF($G78&gt;=8,"Medium","Low")))</f>
        <v/>
      </c>
      <c r="I78" s="47"/>
      <c r="J78" s="47"/>
      <c r="K78" s="46"/>
      <c r="L78" s="48"/>
      <c r="M78" s="48"/>
      <c r="N78" s="3"/>
      <c r="O78" s="3"/>
      <c r="P78" s="3"/>
      <c r="Q78" s="3"/>
    </row>
    <row r="79" customFormat="false" ht="15" hidden="false" customHeight="false" outlineLevel="0" collapsed="false">
      <c r="A79" s="52"/>
      <c r="B79" s="52"/>
      <c r="C79" s="52"/>
      <c r="D79" s="53"/>
      <c r="E79" s="52"/>
      <c r="F79" s="52"/>
      <c r="G79" s="27" t="str">
        <f aca="false">IF($E79="","",$E79*$F79)</f>
        <v/>
      </c>
      <c r="H79" s="68" t="str">
        <f aca="false">IF($G79="","",IF($G79&gt;=15,"High",IF($G79&gt;=8,"Medium","Low")))</f>
        <v/>
      </c>
      <c r="I79" s="53"/>
      <c r="J79" s="53"/>
      <c r="K79" s="52"/>
      <c r="L79" s="54"/>
      <c r="M79" s="54"/>
      <c r="N79" s="3"/>
      <c r="O79" s="3"/>
      <c r="P79" s="3"/>
      <c r="Q79" s="3"/>
    </row>
    <row r="80" customFormat="false" ht="15" hidden="false" customHeight="false" outlineLevel="0" collapsed="false">
      <c r="A80" s="46"/>
      <c r="B80" s="46"/>
      <c r="C80" s="46"/>
      <c r="D80" s="47"/>
      <c r="E80" s="46"/>
      <c r="F80" s="46"/>
      <c r="G80" s="20" t="str">
        <f aca="false">IF($E80="","",$E80*$F80)</f>
        <v/>
      </c>
      <c r="H80" s="67" t="str">
        <f aca="false">IF($G80="","",IF($G80&gt;=15,"High",IF($G80&gt;=8,"Medium","Low")))</f>
        <v/>
      </c>
      <c r="I80" s="47"/>
      <c r="J80" s="47"/>
      <c r="K80" s="46"/>
      <c r="L80" s="48"/>
      <c r="M80" s="48"/>
      <c r="N80" s="3"/>
      <c r="O80" s="3"/>
      <c r="P80" s="3"/>
      <c r="Q80" s="3"/>
    </row>
    <row r="81" customFormat="false" ht="15" hidden="false" customHeight="false" outlineLevel="0" collapsed="false">
      <c r="A81" s="52"/>
      <c r="B81" s="52"/>
      <c r="C81" s="52"/>
      <c r="D81" s="53"/>
      <c r="E81" s="52"/>
      <c r="F81" s="52"/>
      <c r="G81" s="27" t="str">
        <f aca="false">IF($E81="","",$E81*$F81)</f>
        <v/>
      </c>
      <c r="H81" s="68" t="str">
        <f aca="false">IF($G81="","",IF($G81&gt;=15,"High",IF($G81&gt;=8,"Medium","Low")))</f>
        <v/>
      </c>
      <c r="I81" s="53"/>
      <c r="J81" s="53"/>
      <c r="K81" s="52"/>
      <c r="L81" s="54"/>
      <c r="M81" s="54"/>
      <c r="N81" s="3"/>
      <c r="O81" s="3"/>
      <c r="P81" s="3"/>
      <c r="Q81" s="3"/>
    </row>
    <row r="82" customFormat="false" ht="15" hidden="false" customHeight="false" outlineLevel="0" collapsed="false">
      <c r="A82" s="46"/>
      <c r="B82" s="46"/>
      <c r="C82" s="46"/>
      <c r="D82" s="47"/>
      <c r="E82" s="46"/>
      <c r="F82" s="46"/>
      <c r="G82" s="20" t="str">
        <f aca="false">IF($E82="","",$E82*$F82)</f>
        <v/>
      </c>
      <c r="H82" s="67" t="str">
        <f aca="false">IF($G82="","",IF($G82&gt;=15,"High",IF($G82&gt;=8,"Medium","Low")))</f>
        <v/>
      </c>
      <c r="I82" s="47"/>
      <c r="J82" s="47"/>
      <c r="K82" s="46"/>
      <c r="L82" s="48"/>
      <c r="M82" s="48"/>
      <c r="N82" s="3"/>
      <c r="O82" s="3"/>
      <c r="P82" s="3"/>
      <c r="Q82" s="3"/>
    </row>
    <row r="83" customFormat="false" ht="15" hidden="false" customHeight="false" outlineLevel="0" collapsed="false">
      <c r="A83" s="52"/>
      <c r="B83" s="52"/>
      <c r="C83" s="52"/>
      <c r="D83" s="53"/>
      <c r="E83" s="52"/>
      <c r="F83" s="52"/>
      <c r="G83" s="27" t="str">
        <f aca="false">IF($E83="","",$E83*$F83)</f>
        <v/>
      </c>
      <c r="H83" s="68" t="str">
        <f aca="false">IF($G83="","",IF($G83&gt;=15,"High",IF($G83&gt;=8,"Medium","Low")))</f>
        <v/>
      </c>
      <c r="I83" s="53"/>
      <c r="J83" s="53"/>
      <c r="K83" s="52"/>
      <c r="L83" s="54"/>
      <c r="M83" s="54"/>
      <c r="N83" s="3"/>
      <c r="O83" s="3"/>
      <c r="P83" s="3"/>
      <c r="Q83" s="3"/>
    </row>
    <row r="84" customFormat="false" ht="15" hidden="false" customHeight="false" outlineLevel="0" collapsed="false">
      <c r="A84" s="46"/>
      <c r="B84" s="46"/>
      <c r="C84" s="46"/>
      <c r="D84" s="47"/>
      <c r="E84" s="46"/>
      <c r="F84" s="46"/>
      <c r="G84" s="20" t="str">
        <f aca="false">IF($E84="","",$E84*$F84)</f>
        <v/>
      </c>
      <c r="H84" s="67" t="str">
        <f aca="false">IF($G84="","",IF($G84&gt;=15,"High",IF($G84&gt;=8,"Medium","Low")))</f>
        <v/>
      </c>
      <c r="I84" s="47"/>
      <c r="J84" s="47"/>
      <c r="K84" s="46"/>
      <c r="L84" s="48"/>
      <c r="M84" s="48"/>
      <c r="N84" s="3"/>
      <c r="O84" s="3"/>
      <c r="P84" s="3"/>
      <c r="Q84" s="3"/>
    </row>
    <row r="85" customFormat="false" ht="15" hidden="false" customHeight="false" outlineLevel="0" collapsed="false">
      <c r="A85" s="52"/>
      <c r="B85" s="52"/>
      <c r="C85" s="52"/>
      <c r="D85" s="53"/>
      <c r="E85" s="52"/>
      <c r="F85" s="52"/>
      <c r="G85" s="27" t="str">
        <f aca="false">IF($E85="","",$E85*$F85)</f>
        <v/>
      </c>
      <c r="H85" s="68" t="str">
        <f aca="false">IF($G85="","",IF($G85&gt;=15,"High",IF($G85&gt;=8,"Medium","Low")))</f>
        <v/>
      </c>
      <c r="I85" s="53"/>
      <c r="J85" s="53"/>
      <c r="K85" s="52"/>
      <c r="L85" s="54"/>
      <c r="M85" s="54"/>
      <c r="N85" s="3"/>
      <c r="O85" s="3"/>
      <c r="P85" s="3"/>
      <c r="Q85" s="3"/>
    </row>
    <row r="86" customFormat="false" ht="15" hidden="false" customHeight="false" outlineLevel="0" collapsed="false">
      <c r="A86" s="46"/>
      <c r="B86" s="46"/>
      <c r="C86" s="46"/>
      <c r="D86" s="47"/>
      <c r="E86" s="46"/>
      <c r="F86" s="46"/>
      <c r="G86" s="20" t="str">
        <f aca="false">IF($E86="","",$E86*$F86)</f>
        <v/>
      </c>
      <c r="H86" s="67" t="str">
        <f aca="false">IF($G86="","",IF($G86&gt;=15,"High",IF($G86&gt;=8,"Medium","Low")))</f>
        <v/>
      </c>
      <c r="I86" s="47"/>
      <c r="J86" s="47"/>
      <c r="K86" s="46"/>
      <c r="L86" s="48"/>
      <c r="M86" s="48"/>
      <c r="N86" s="3"/>
      <c r="O86" s="3"/>
      <c r="P86" s="3"/>
      <c r="Q86" s="3"/>
    </row>
    <row r="87" customFormat="false" ht="15" hidden="false" customHeight="false" outlineLevel="0" collapsed="false">
      <c r="A87" s="52"/>
      <c r="B87" s="52"/>
      <c r="C87" s="52"/>
      <c r="D87" s="53"/>
      <c r="E87" s="52"/>
      <c r="F87" s="52"/>
      <c r="G87" s="27" t="str">
        <f aca="false">IF($E87="","",$E87*$F87)</f>
        <v/>
      </c>
      <c r="H87" s="68" t="str">
        <f aca="false">IF($G87="","",IF($G87&gt;=15,"High",IF($G87&gt;=8,"Medium","Low")))</f>
        <v/>
      </c>
      <c r="I87" s="53"/>
      <c r="J87" s="53"/>
      <c r="K87" s="52"/>
      <c r="L87" s="54"/>
      <c r="M87" s="54"/>
      <c r="N87" s="3"/>
      <c r="O87" s="3"/>
      <c r="P87" s="3"/>
      <c r="Q87" s="3"/>
    </row>
    <row r="88" customFormat="false" ht="15" hidden="false" customHeight="false" outlineLevel="0" collapsed="false">
      <c r="A88" s="46"/>
      <c r="B88" s="46"/>
      <c r="C88" s="46"/>
      <c r="D88" s="47"/>
      <c r="E88" s="46"/>
      <c r="F88" s="46"/>
      <c r="G88" s="20" t="str">
        <f aca="false">IF($E88="","",$E88*$F88)</f>
        <v/>
      </c>
      <c r="H88" s="67" t="str">
        <f aca="false">IF($G88="","",IF($G88&gt;=15,"High",IF($G88&gt;=8,"Medium","Low")))</f>
        <v/>
      </c>
      <c r="I88" s="47"/>
      <c r="J88" s="47"/>
      <c r="K88" s="46"/>
      <c r="L88" s="48"/>
      <c r="M88" s="48"/>
      <c r="N88" s="3"/>
      <c r="O88" s="3"/>
      <c r="P88" s="3"/>
      <c r="Q88" s="3"/>
    </row>
    <row r="89" customFormat="false" ht="15" hidden="false" customHeight="false" outlineLevel="0" collapsed="false">
      <c r="A89" s="52"/>
      <c r="B89" s="52"/>
      <c r="C89" s="52"/>
      <c r="D89" s="53"/>
      <c r="E89" s="52"/>
      <c r="F89" s="52"/>
      <c r="G89" s="27" t="str">
        <f aca="false">IF($E89="","",$E89*$F89)</f>
        <v/>
      </c>
      <c r="H89" s="68" t="str">
        <f aca="false">IF($G89="","",IF($G89&gt;=15,"High",IF($G89&gt;=8,"Medium","Low")))</f>
        <v/>
      </c>
      <c r="I89" s="53"/>
      <c r="J89" s="53"/>
      <c r="K89" s="52"/>
      <c r="L89" s="54"/>
      <c r="M89" s="54"/>
      <c r="N89" s="3"/>
      <c r="O89" s="3"/>
      <c r="P89" s="3"/>
      <c r="Q89" s="3"/>
    </row>
    <row r="90" customFormat="false" ht="15" hidden="false" customHeight="false" outlineLevel="0" collapsed="false">
      <c r="A90" s="46"/>
      <c r="B90" s="46"/>
      <c r="C90" s="46"/>
      <c r="D90" s="47"/>
      <c r="E90" s="46"/>
      <c r="F90" s="46"/>
      <c r="G90" s="20" t="str">
        <f aca="false">IF($E90="","",$E90*$F90)</f>
        <v/>
      </c>
      <c r="H90" s="67" t="str">
        <f aca="false">IF($G90="","",IF($G90&gt;=15,"High",IF($G90&gt;=8,"Medium","Low")))</f>
        <v/>
      </c>
      <c r="I90" s="47"/>
      <c r="J90" s="47"/>
      <c r="K90" s="46"/>
      <c r="L90" s="48"/>
      <c r="M90" s="48"/>
      <c r="N90" s="3"/>
      <c r="O90" s="3"/>
      <c r="P90" s="3"/>
      <c r="Q90" s="3"/>
    </row>
    <row r="91" customFormat="false" ht="15" hidden="false" customHeight="false" outlineLevel="0" collapsed="false">
      <c r="A91" s="52"/>
      <c r="B91" s="52"/>
      <c r="C91" s="52"/>
      <c r="D91" s="53"/>
      <c r="E91" s="52"/>
      <c r="F91" s="52"/>
      <c r="G91" s="27" t="str">
        <f aca="false">IF($E91="","",$E91*$F91)</f>
        <v/>
      </c>
      <c r="H91" s="68" t="str">
        <f aca="false">IF($G91="","",IF($G91&gt;=15,"High",IF($G91&gt;=8,"Medium","Low")))</f>
        <v/>
      </c>
      <c r="I91" s="53"/>
      <c r="J91" s="53"/>
      <c r="K91" s="52"/>
      <c r="L91" s="54"/>
      <c r="M91" s="54"/>
      <c r="N91" s="3"/>
      <c r="O91" s="3"/>
      <c r="P91" s="3"/>
      <c r="Q91" s="3"/>
    </row>
    <row r="92" customFormat="false" ht="15" hidden="false" customHeight="false" outlineLevel="0" collapsed="false">
      <c r="A92" s="46"/>
      <c r="B92" s="46"/>
      <c r="C92" s="46"/>
      <c r="D92" s="47"/>
      <c r="E92" s="46"/>
      <c r="F92" s="46"/>
      <c r="G92" s="20" t="str">
        <f aca="false">IF($E92="","",$E92*$F92)</f>
        <v/>
      </c>
      <c r="H92" s="67" t="str">
        <f aca="false">IF($G92="","",IF($G92&gt;=15,"High",IF($G92&gt;=8,"Medium","Low")))</f>
        <v/>
      </c>
      <c r="I92" s="47"/>
      <c r="J92" s="47"/>
      <c r="K92" s="46"/>
      <c r="L92" s="48"/>
      <c r="M92" s="48"/>
      <c r="N92" s="3"/>
      <c r="O92" s="3"/>
      <c r="P92" s="3"/>
      <c r="Q92" s="3"/>
    </row>
    <row r="93" customFormat="false" ht="15" hidden="false" customHeight="false" outlineLevel="0" collapsed="false">
      <c r="A93" s="52"/>
      <c r="B93" s="52"/>
      <c r="C93" s="52"/>
      <c r="D93" s="53"/>
      <c r="E93" s="52"/>
      <c r="F93" s="52"/>
      <c r="G93" s="27" t="str">
        <f aca="false">IF($E93="","",$E93*$F93)</f>
        <v/>
      </c>
      <c r="H93" s="68" t="str">
        <f aca="false">IF($G93="","",IF($G93&gt;=15,"High",IF($G93&gt;=8,"Medium","Low")))</f>
        <v/>
      </c>
      <c r="I93" s="53"/>
      <c r="J93" s="53"/>
      <c r="K93" s="52"/>
      <c r="L93" s="54"/>
      <c r="M93" s="54"/>
      <c r="N93" s="3"/>
      <c r="O93" s="3"/>
      <c r="P93" s="3"/>
      <c r="Q93" s="3"/>
    </row>
    <row r="94" customFormat="false" ht="15" hidden="false" customHeight="false" outlineLevel="0" collapsed="false">
      <c r="A94" s="46"/>
      <c r="B94" s="46"/>
      <c r="C94" s="46"/>
      <c r="D94" s="47"/>
      <c r="E94" s="46"/>
      <c r="F94" s="46"/>
      <c r="G94" s="20" t="str">
        <f aca="false">IF($E94="","",$E94*$F94)</f>
        <v/>
      </c>
      <c r="H94" s="67" t="str">
        <f aca="false">IF($G94="","",IF($G94&gt;=15,"High",IF($G94&gt;=8,"Medium","Low")))</f>
        <v/>
      </c>
      <c r="I94" s="47"/>
      <c r="J94" s="47"/>
      <c r="K94" s="46"/>
      <c r="L94" s="48"/>
      <c r="M94" s="48"/>
      <c r="N94" s="3"/>
      <c r="O94" s="3"/>
      <c r="P94" s="3"/>
      <c r="Q94" s="3"/>
    </row>
    <row r="95" customFormat="false" ht="15" hidden="false" customHeight="false" outlineLevel="0" collapsed="false">
      <c r="A95" s="52"/>
      <c r="B95" s="52"/>
      <c r="C95" s="52"/>
      <c r="D95" s="53"/>
      <c r="E95" s="52"/>
      <c r="F95" s="52"/>
      <c r="G95" s="27" t="str">
        <f aca="false">IF($E95="","",$E95*$F95)</f>
        <v/>
      </c>
      <c r="H95" s="68" t="str">
        <f aca="false">IF($G95="","",IF($G95&gt;=15,"High",IF($G95&gt;=8,"Medium","Low")))</f>
        <v/>
      </c>
      <c r="I95" s="53"/>
      <c r="J95" s="53"/>
      <c r="K95" s="52"/>
      <c r="L95" s="54"/>
      <c r="M95" s="54"/>
      <c r="N95" s="3"/>
      <c r="O95" s="3"/>
      <c r="P95" s="3"/>
      <c r="Q95" s="3"/>
    </row>
    <row r="96" customFormat="false" ht="15" hidden="false" customHeight="false" outlineLevel="0" collapsed="false">
      <c r="A96" s="46"/>
      <c r="B96" s="46"/>
      <c r="C96" s="46"/>
      <c r="D96" s="47"/>
      <c r="E96" s="46"/>
      <c r="F96" s="46"/>
      <c r="G96" s="20" t="str">
        <f aca="false">IF($E96="","",$E96*$F96)</f>
        <v/>
      </c>
      <c r="H96" s="67" t="str">
        <f aca="false">IF($G96="","",IF($G96&gt;=15,"High",IF($G96&gt;=8,"Medium","Low")))</f>
        <v/>
      </c>
      <c r="I96" s="47"/>
      <c r="J96" s="47"/>
      <c r="K96" s="46"/>
      <c r="L96" s="48"/>
      <c r="M96" s="48"/>
      <c r="N96" s="3"/>
      <c r="O96" s="3"/>
      <c r="P96" s="3"/>
      <c r="Q96" s="3"/>
    </row>
    <row r="97" customFormat="false" ht="15" hidden="false" customHeight="false" outlineLevel="0" collapsed="false">
      <c r="A97" s="52"/>
      <c r="B97" s="52"/>
      <c r="C97" s="52"/>
      <c r="D97" s="53"/>
      <c r="E97" s="52"/>
      <c r="F97" s="52"/>
      <c r="G97" s="27" t="str">
        <f aca="false">IF($E97="","",$E97*$F97)</f>
        <v/>
      </c>
      <c r="H97" s="68" t="str">
        <f aca="false">IF($G97="","",IF($G97&gt;=15,"High",IF($G97&gt;=8,"Medium","Low")))</f>
        <v/>
      </c>
      <c r="I97" s="53"/>
      <c r="J97" s="53"/>
      <c r="K97" s="52"/>
      <c r="L97" s="54"/>
      <c r="M97" s="54"/>
      <c r="N97" s="3"/>
      <c r="O97" s="3"/>
      <c r="P97" s="3"/>
      <c r="Q97" s="3"/>
    </row>
    <row r="98" customFormat="false" ht="15" hidden="false" customHeight="false" outlineLevel="0" collapsed="false">
      <c r="A98" s="46"/>
      <c r="B98" s="46"/>
      <c r="C98" s="46"/>
      <c r="D98" s="47"/>
      <c r="E98" s="46"/>
      <c r="F98" s="46"/>
      <c r="G98" s="20" t="str">
        <f aca="false">IF($E98="","",$E98*$F98)</f>
        <v/>
      </c>
      <c r="H98" s="67" t="str">
        <f aca="false">IF($G98="","",IF($G98&gt;=15,"High",IF($G98&gt;=8,"Medium","Low")))</f>
        <v/>
      </c>
      <c r="I98" s="47"/>
      <c r="J98" s="47"/>
      <c r="K98" s="46"/>
      <c r="L98" s="48"/>
      <c r="M98" s="48"/>
      <c r="N98" s="3"/>
      <c r="O98" s="3"/>
      <c r="P98" s="3"/>
      <c r="Q98" s="3"/>
    </row>
    <row r="99" customFormat="false" ht="15" hidden="false" customHeight="false" outlineLevel="0" collapsed="false">
      <c r="A99" s="52"/>
      <c r="B99" s="52"/>
      <c r="C99" s="52"/>
      <c r="D99" s="53"/>
      <c r="E99" s="52"/>
      <c r="F99" s="52"/>
      <c r="G99" s="27" t="str">
        <f aca="false">IF($E99="","",$E99*$F99)</f>
        <v/>
      </c>
      <c r="H99" s="68" t="str">
        <f aca="false">IF($G99="","",IF($G99&gt;=15,"High",IF($G99&gt;=8,"Medium","Low")))</f>
        <v/>
      </c>
      <c r="I99" s="53"/>
      <c r="J99" s="53"/>
      <c r="K99" s="52"/>
      <c r="L99" s="54"/>
      <c r="M99" s="54"/>
      <c r="N99" s="3"/>
      <c r="O99" s="3"/>
      <c r="P99" s="3"/>
      <c r="Q99" s="3"/>
    </row>
    <row r="100" customFormat="false" ht="15" hidden="false" customHeight="false" outlineLevel="0" collapsed="false">
      <c r="A100" s="46"/>
      <c r="B100" s="46"/>
      <c r="C100" s="46"/>
      <c r="D100" s="47"/>
      <c r="E100" s="46"/>
      <c r="F100" s="46"/>
      <c r="G100" s="20" t="str">
        <f aca="false">IF($E100="","",$E100*$F100)</f>
        <v/>
      </c>
      <c r="H100" s="67" t="str">
        <f aca="false">IF($G100="","",IF($G100&gt;=15,"High",IF($G100&gt;=8,"Medium","Low")))</f>
        <v/>
      </c>
      <c r="I100" s="47"/>
      <c r="J100" s="47"/>
      <c r="K100" s="46"/>
      <c r="L100" s="48"/>
      <c r="M100" s="48"/>
      <c r="N100" s="3"/>
      <c r="O100" s="3"/>
      <c r="P100" s="3"/>
      <c r="Q100" s="3"/>
    </row>
    <row r="101" customFormat="false" ht="15" hidden="false" customHeight="false" outlineLevel="0" collapsed="false">
      <c r="A101" s="52"/>
      <c r="B101" s="52"/>
      <c r="C101" s="52"/>
      <c r="D101" s="53"/>
      <c r="E101" s="52"/>
      <c r="F101" s="52"/>
      <c r="G101" s="27" t="str">
        <f aca="false">IF($E101="","",$E101*$F101)</f>
        <v/>
      </c>
      <c r="H101" s="68" t="str">
        <f aca="false">IF($G101="","",IF($G101&gt;=15,"High",IF($G101&gt;=8,"Medium","Low")))</f>
        <v/>
      </c>
      <c r="I101" s="53"/>
      <c r="J101" s="53"/>
      <c r="K101" s="52"/>
      <c r="L101" s="54"/>
      <c r="M101" s="54"/>
      <c r="N101" s="3"/>
      <c r="O101" s="3"/>
      <c r="P101" s="3"/>
      <c r="Q101" s="3"/>
    </row>
    <row r="102" customFormat="false" ht="15" hidden="false" customHeight="false" outlineLevel="0" collapsed="false">
      <c r="A102" s="46"/>
      <c r="B102" s="46"/>
      <c r="C102" s="46"/>
      <c r="D102" s="47"/>
      <c r="E102" s="46"/>
      <c r="F102" s="46"/>
      <c r="G102" s="20" t="str">
        <f aca="false">IF($E102="","",$E102*$F102)</f>
        <v/>
      </c>
      <c r="H102" s="67" t="str">
        <f aca="false">IF($G102="","",IF($G102&gt;=15,"High",IF($G102&gt;=8,"Medium","Low")))</f>
        <v/>
      </c>
      <c r="I102" s="47"/>
      <c r="J102" s="47"/>
      <c r="K102" s="46"/>
      <c r="L102" s="48"/>
      <c r="M102" s="48"/>
      <c r="N102" s="3"/>
      <c r="O102" s="3"/>
      <c r="P102" s="3"/>
      <c r="Q102" s="3"/>
    </row>
    <row r="103" customFormat="false" ht="15" hidden="false" customHeight="false" outlineLevel="0" collapsed="false">
      <c r="A103" s="52"/>
      <c r="B103" s="52"/>
      <c r="C103" s="52"/>
      <c r="D103" s="53"/>
      <c r="E103" s="52"/>
      <c r="F103" s="52"/>
      <c r="G103" s="27" t="str">
        <f aca="false">IF($E103="","",$E103*$F103)</f>
        <v/>
      </c>
      <c r="H103" s="68" t="str">
        <f aca="false">IF($G103="","",IF($G103&gt;=15,"High",IF($G103&gt;=8,"Medium","Low")))</f>
        <v/>
      </c>
      <c r="I103" s="53"/>
      <c r="J103" s="53"/>
      <c r="K103" s="52"/>
      <c r="L103" s="54"/>
      <c r="M103" s="54"/>
      <c r="N103" s="3"/>
      <c r="O103" s="3"/>
      <c r="P103" s="3"/>
      <c r="Q103" s="3"/>
    </row>
    <row r="104" customFormat="false" ht="15" hidden="false" customHeight="false" outlineLevel="0" collapsed="false">
      <c r="A104" s="46"/>
      <c r="B104" s="46"/>
      <c r="C104" s="46"/>
      <c r="D104" s="47"/>
      <c r="E104" s="46"/>
      <c r="F104" s="46"/>
      <c r="G104" s="20" t="str">
        <f aca="false">IF($E104="","",$E104*$F104)</f>
        <v/>
      </c>
      <c r="H104" s="67" t="str">
        <f aca="false">IF($G104="","",IF($G104&gt;=15,"High",IF($G104&gt;=8,"Medium","Low")))</f>
        <v/>
      </c>
      <c r="I104" s="47"/>
      <c r="J104" s="47"/>
      <c r="K104" s="46"/>
      <c r="L104" s="48"/>
      <c r="M104" s="48"/>
      <c r="N104" s="3"/>
      <c r="O104" s="3"/>
      <c r="P104" s="3"/>
      <c r="Q104" s="3"/>
    </row>
    <row r="105" customFormat="false" ht="15" hidden="false" customHeight="false" outlineLevel="0" collapsed="false">
      <c r="A105" s="52"/>
      <c r="B105" s="52"/>
      <c r="C105" s="52"/>
      <c r="D105" s="53"/>
      <c r="E105" s="52"/>
      <c r="F105" s="52"/>
      <c r="G105" s="27" t="str">
        <f aca="false">IF($E105="","",$E105*$F105)</f>
        <v/>
      </c>
      <c r="H105" s="68" t="str">
        <f aca="false">IF($G105="","",IF($G105&gt;=15,"High",IF($G105&gt;=8,"Medium","Low")))</f>
        <v/>
      </c>
      <c r="I105" s="53"/>
      <c r="J105" s="53"/>
      <c r="K105" s="52"/>
      <c r="L105" s="54"/>
      <c r="M105" s="54"/>
      <c r="N105" s="3"/>
      <c r="O105" s="3"/>
      <c r="P105" s="3"/>
      <c r="Q105" s="3"/>
    </row>
    <row r="106" customFormat="false" ht="15" hidden="false" customHeight="false" outlineLevel="0" collapsed="false">
      <c r="A106" s="46"/>
      <c r="B106" s="46"/>
      <c r="C106" s="46"/>
      <c r="D106" s="47"/>
      <c r="E106" s="46"/>
      <c r="F106" s="46"/>
      <c r="G106" s="20" t="str">
        <f aca="false">IF($E106="","",$E106*$F106)</f>
        <v/>
      </c>
      <c r="H106" s="67" t="str">
        <f aca="false">IF($G106="","",IF($G106&gt;=15,"High",IF($G106&gt;=8,"Medium","Low")))</f>
        <v/>
      </c>
      <c r="I106" s="47"/>
      <c r="J106" s="47"/>
      <c r="K106" s="46"/>
      <c r="L106" s="48"/>
      <c r="M106" s="48"/>
      <c r="N106" s="3"/>
      <c r="O106" s="3"/>
      <c r="P106" s="3"/>
      <c r="Q106" s="3"/>
    </row>
    <row r="107" customFormat="false" ht="15" hidden="false" customHeight="false" outlineLevel="0" collapsed="false">
      <c r="A107" s="52"/>
      <c r="B107" s="52"/>
      <c r="C107" s="52"/>
      <c r="D107" s="53"/>
      <c r="E107" s="52"/>
      <c r="F107" s="52"/>
      <c r="G107" s="27" t="str">
        <f aca="false">IF($E107="","",$E107*$F107)</f>
        <v/>
      </c>
      <c r="H107" s="68" t="str">
        <f aca="false">IF($G107="","",IF($G107&gt;=15,"High",IF($G107&gt;=8,"Medium","Low")))</f>
        <v/>
      </c>
      <c r="I107" s="53"/>
      <c r="J107" s="53"/>
      <c r="K107" s="52"/>
      <c r="L107" s="54"/>
      <c r="M107" s="54"/>
      <c r="N107" s="3"/>
      <c r="O107" s="3"/>
      <c r="P107" s="3"/>
      <c r="Q107" s="3"/>
    </row>
    <row r="108" customFormat="false" ht="15" hidden="false" customHeight="false" outlineLevel="0" collapsed="false">
      <c r="A108" s="46"/>
      <c r="B108" s="46"/>
      <c r="C108" s="46"/>
      <c r="D108" s="47"/>
      <c r="E108" s="46"/>
      <c r="F108" s="46"/>
      <c r="G108" s="20" t="str">
        <f aca="false">IF($E108="","",$E108*$F108)</f>
        <v/>
      </c>
      <c r="H108" s="67" t="str">
        <f aca="false">IF($G108="","",IF($G108&gt;=15,"High",IF($G108&gt;=8,"Medium","Low")))</f>
        <v/>
      </c>
      <c r="I108" s="47"/>
      <c r="J108" s="47"/>
      <c r="K108" s="46"/>
      <c r="L108" s="48"/>
      <c r="M108" s="48"/>
      <c r="N108" s="3"/>
      <c r="O108" s="3"/>
      <c r="P108" s="3"/>
      <c r="Q108" s="3"/>
    </row>
    <row r="109" customFormat="false" ht="15" hidden="false" customHeight="false" outlineLevel="0" collapsed="false">
      <c r="A109" s="52"/>
      <c r="B109" s="52"/>
      <c r="C109" s="52"/>
      <c r="D109" s="53"/>
      <c r="E109" s="52"/>
      <c r="F109" s="52"/>
      <c r="G109" s="27" t="str">
        <f aca="false">IF($E109="","",$E109*$F109)</f>
        <v/>
      </c>
      <c r="H109" s="68" t="str">
        <f aca="false">IF($G109="","",IF($G109&gt;=15,"High",IF($G109&gt;=8,"Medium","Low")))</f>
        <v/>
      </c>
      <c r="I109" s="53"/>
      <c r="J109" s="53"/>
      <c r="K109" s="52"/>
      <c r="L109" s="54"/>
      <c r="M109" s="54"/>
      <c r="N109" s="3"/>
      <c r="O109" s="3"/>
      <c r="P109" s="3"/>
      <c r="Q109" s="3"/>
    </row>
    <row r="110" customFormat="false" ht="15" hidden="false" customHeight="false" outlineLevel="0" collapsed="false">
      <c r="A110" s="46"/>
      <c r="B110" s="46"/>
      <c r="C110" s="46"/>
      <c r="D110" s="47"/>
      <c r="E110" s="46"/>
      <c r="F110" s="46"/>
      <c r="G110" s="20" t="str">
        <f aca="false">IF($E110="","",$E110*$F110)</f>
        <v/>
      </c>
      <c r="H110" s="67" t="str">
        <f aca="false">IF($G110="","",IF($G110&gt;=15,"High",IF($G110&gt;=8,"Medium","Low")))</f>
        <v/>
      </c>
      <c r="I110" s="47"/>
      <c r="J110" s="47"/>
      <c r="K110" s="46"/>
      <c r="L110" s="48"/>
      <c r="M110" s="48"/>
      <c r="N110" s="3"/>
      <c r="O110" s="3"/>
      <c r="P110" s="3"/>
      <c r="Q110" s="3"/>
    </row>
    <row r="111" customFormat="false" ht="15" hidden="false" customHeight="false" outlineLevel="0" collapsed="false">
      <c r="A111" s="52"/>
      <c r="B111" s="52"/>
      <c r="C111" s="52"/>
      <c r="D111" s="53"/>
      <c r="E111" s="52"/>
      <c r="F111" s="52"/>
      <c r="G111" s="27" t="str">
        <f aca="false">IF($E111="","",$E111*$F111)</f>
        <v/>
      </c>
      <c r="H111" s="68" t="str">
        <f aca="false">IF($G111="","",IF($G111&gt;=15,"High",IF($G111&gt;=8,"Medium","Low")))</f>
        <v/>
      </c>
      <c r="I111" s="53"/>
      <c r="J111" s="53"/>
      <c r="K111" s="52"/>
      <c r="L111" s="54"/>
      <c r="M111" s="54"/>
      <c r="N111" s="3"/>
      <c r="O111" s="3"/>
      <c r="P111" s="3"/>
      <c r="Q111" s="3"/>
    </row>
    <row r="112" customFormat="false" ht="15" hidden="false" customHeight="false" outlineLevel="0" collapsed="false">
      <c r="A112" s="46"/>
      <c r="B112" s="46"/>
      <c r="C112" s="46"/>
      <c r="D112" s="47"/>
      <c r="E112" s="46"/>
      <c r="F112" s="46"/>
      <c r="G112" s="20" t="str">
        <f aca="false">IF($E112="","",$E112*$F112)</f>
        <v/>
      </c>
      <c r="H112" s="67" t="str">
        <f aca="false">IF($G112="","",IF($G112&gt;=15,"High",IF($G112&gt;=8,"Medium","Low")))</f>
        <v/>
      </c>
      <c r="I112" s="47"/>
      <c r="J112" s="47"/>
      <c r="K112" s="46"/>
      <c r="L112" s="48"/>
      <c r="M112" s="48"/>
      <c r="N112" s="3"/>
      <c r="O112" s="3"/>
      <c r="P112" s="3"/>
      <c r="Q112" s="3"/>
    </row>
    <row r="113" customFormat="false" ht="15" hidden="false" customHeight="false" outlineLevel="0" collapsed="false">
      <c r="A113" s="52"/>
      <c r="B113" s="52"/>
      <c r="C113" s="52"/>
      <c r="D113" s="53"/>
      <c r="E113" s="52"/>
      <c r="F113" s="52"/>
      <c r="G113" s="27" t="str">
        <f aca="false">IF($E113="","",$E113*$F113)</f>
        <v/>
      </c>
      <c r="H113" s="68" t="str">
        <f aca="false">IF($G113="","",IF($G113&gt;=15,"High",IF($G113&gt;=8,"Medium","Low")))</f>
        <v/>
      </c>
      <c r="I113" s="53"/>
      <c r="J113" s="53"/>
      <c r="K113" s="52"/>
      <c r="L113" s="54"/>
      <c r="M113" s="54"/>
      <c r="N113" s="3"/>
      <c r="O113" s="3"/>
      <c r="P113" s="3"/>
      <c r="Q113" s="3"/>
    </row>
    <row r="114" customFormat="false" ht="15" hidden="false" customHeight="false" outlineLevel="0" collapsed="false">
      <c r="A114" s="46"/>
      <c r="B114" s="46"/>
      <c r="C114" s="46"/>
      <c r="D114" s="47"/>
      <c r="E114" s="46"/>
      <c r="F114" s="46"/>
      <c r="G114" s="20" t="str">
        <f aca="false">IF($E114="","",$E114*$F114)</f>
        <v/>
      </c>
      <c r="H114" s="67" t="str">
        <f aca="false">IF($G114="","",IF($G114&gt;=15,"High",IF($G114&gt;=8,"Medium","Low")))</f>
        <v/>
      </c>
      <c r="I114" s="47"/>
      <c r="J114" s="47"/>
      <c r="K114" s="46"/>
      <c r="L114" s="48"/>
      <c r="M114" s="48"/>
      <c r="N114" s="3"/>
      <c r="O114" s="3"/>
      <c r="P114" s="3"/>
      <c r="Q114" s="3"/>
    </row>
    <row r="115" customFormat="false" ht="15" hidden="false" customHeight="false" outlineLevel="0" collapsed="false">
      <c r="A115" s="52"/>
      <c r="B115" s="52"/>
      <c r="C115" s="52"/>
      <c r="D115" s="53"/>
      <c r="E115" s="52"/>
      <c r="F115" s="52"/>
      <c r="G115" s="27" t="str">
        <f aca="false">IF($E115="","",$E115*$F115)</f>
        <v/>
      </c>
      <c r="H115" s="68" t="str">
        <f aca="false">IF($G115="","",IF($G115&gt;=15,"High",IF($G115&gt;=8,"Medium","Low")))</f>
        <v/>
      </c>
      <c r="I115" s="53"/>
      <c r="J115" s="53"/>
      <c r="K115" s="52"/>
      <c r="L115" s="54"/>
      <c r="M115" s="54"/>
      <c r="N115" s="3"/>
      <c r="O115" s="3"/>
      <c r="P115" s="3"/>
      <c r="Q115" s="3"/>
    </row>
    <row r="116" customFormat="false" ht="15" hidden="false" customHeight="false" outlineLevel="0" collapsed="false">
      <c r="A116" s="46"/>
      <c r="B116" s="46"/>
      <c r="C116" s="46"/>
      <c r="D116" s="47"/>
      <c r="E116" s="46"/>
      <c r="F116" s="46"/>
      <c r="G116" s="20" t="str">
        <f aca="false">IF($E116="","",$E116*$F116)</f>
        <v/>
      </c>
      <c r="H116" s="67" t="str">
        <f aca="false">IF($G116="","",IF($G116&gt;=15,"High",IF($G116&gt;=8,"Medium","Low")))</f>
        <v/>
      </c>
      <c r="I116" s="47"/>
      <c r="J116" s="47"/>
      <c r="K116" s="46"/>
      <c r="L116" s="48"/>
      <c r="M116" s="48"/>
      <c r="N116" s="3"/>
      <c r="O116" s="3"/>
      <c r="P116" s="3"/>
      <c r="Q116" s="3"/>
    </row>
    <row r="117" customFormat="false" ht="15" hidden="false" customHeight="false" outlineLevel="0" collapsed="false">
      <c r="A117" s="52"/>
      <c r="B117" s="52"/>
      <c r="C117" s="52"/>
      <c r="D117" s="53"/>
      <c r="E117" s="52"/>
      <c r="F117" s="52"/>
      <c r="G117" s="27" t="str">
        <f aca="false">IF($E117="","",$E117*$F117)</f>
        <v/>
      </c>
      <c r="H117" s="68" t="str">
        <f aca="false">IF($G117="","",IF($G117&gt;=15,"High",IF($G117&gt;=8,"Medium","Low")))</f>
        <v/>
      </c>
      <c r="I117" s="53"/>
      <c r="J117" s="53"/>
      <c r="K117" s="52"/>
      <c r="L117" s="54"/>
      <c r="M117" s="54"/>
      <c r="N117" s="3"/>
      <c r="O117" s="3"/>
      <c r="P117" s="3"/>
      <c r="Q117" s="3"/>
    </row>
    <row r="118" customFormat="false" ht="15" hidden="false" customHeight="false" outlineLevel="0" collapsed="false">
      <c r="A118" s="46"/>
      <c r="B118" s="46"/>
      <c r="C118" s="46"/>
      <c r="D118" s="47"/>
      <c r="E118" s="46"/>
      <c r="F118" s="46"/>
      <c r="G118" s="20" t="str">
        <f aca="false">IF($E118="","",$E118*$F118)</f>
        <v/>
      </c>
      <c r="H118" s="67" t="str">
        <f aca="false">IF($G118="","",IF($G118&gt;=15,"High",IF($G118&gt;=8,"Medium","Low")))</f>
        <v/>
      </c>
      <c r="I118" s="47"/>
      <c r="J118" s="47"/>
      <c r="K118" s="46"/>
      <c r="L118" s="48"/>
      <c r="M118" s="48"/>
      <c r="N118" s="3"/>
      <c r="O118" s="3"/>
      <c r="P118" s="3"/>
      <c r="Q118" s="3"/>
    </row>
    <row r="119" customFormat="false" ht="15" hidden="false" customHeight="false" outlineLevel="0" collapsed="false">
      <c r="A119" s="52"/>
      <c r="B119" s="52"/>
      <c r="C119" s="52"/>
      <c r="D119" s="53"/>
      <c r="E119" s="52"/>
      <c r="F119" s="52"/>
      <c r="G119" s="27" t="str">
        <f aca="false">IF($E119="","",$E119*$F119)</f>
        <v/>
      </c>
      <c r="H119" s="68" t="str">
        <f aca="false">IF($G119="","",IF($G119&gt;=15,"High",IF($G119&gt;=8,"Medium","Low")))</f>
        <v/>
      </c>
      <c r="I119" s="53"/>
      <c r="J119" s="53"/>
      <c r="K119" s="52"/>
      <c r="L119" s="54"/>
      <c r="M119" s="54"/>
      <c r="N119" s="3"/>
      <c r="O119" s="3"/>
      <c r="P119" s="3"/>
      <c r="Q119" s="3"/>
    </row>
    <row r="120" customFormat="false" ht="15" hidden="false" customHeight="false" outlineLevel="0" collapsed="false">
      <c r="A120" s="46"/>
      <c r="B120" s="46"/>
      <c r="C120" s="46"/>
      <c r="D120" s="47"/>
      <c r="E120" s="46"/>
      <c r="F120" s="46"/>
      <c r="G120" s="20" t="str">
        <f aca="false">IF($E120="","",$E120*$F120)</f>
        <v/>
      </c>
      <c r="H120" s="67" t="str">
        <f aca="false">IF($G120="","",IF($G120&gt;=15,"High",IF($G120&gt;=8,"Medium","Low")))</f>
        <v/>
      </c>
      <c r="I120" s="47"/>
      <c r="J120" s="47"/>
      <c r="K120" s="46"/>
      <c r="L120" s="48"/>
      <c r="M120" s="48"/>
      <c r="N120" s="3"/>
      <c r="O120" s="3"/>
      <c r="P120" s="3"/>
      <c r="Q120" s="3"/>
    </row>
    <row r="121" customFormat="false" ht="15" hidden="false" customHeight="false" outlineLevel="0" collapsed="false">
      <c r="A121" s="52"/>
      <c r="B121" s="52"/>
      <c r="C121" s="52"/>
      <c r="D121" s="53"/>
      <c r="E121" s="52"/>
      <c r="F121" s="52"/>
      <c r="G121" s="27" t="str">
        <f aca="false">IF($E121="","",$E121*$F121)</f>
        <v/>
      </c>
      <c r="H121" s="68" t="str">
        <f aca="false">IF($G121="","",IF($G121&gt;=15,"High",IF($G121&gt;=8,"Medium","Low")))</f>
        <v/>
      </c>
      <c r="I121" s="53"/>
      <c r="J121" s="53"/>
      <c r="K121" s="52"/>
      <c r="L121" s="54"/>
      <c r="M121" s="54"/>
      <c r="N121" s="3"/>
      <c r="O121" s="3"/>
      <c r="P121" s="3"/>
      <c r="Q121" s="3"/>
    </row>
    <row r="122" customFormat="false" ht="15" hidden="false" customHeight="false" outlineLevel="0" collapsed="false">
      <c r="A122" s="46"/>
      <c r="B122" s="46"/>
      <c r="C122" s="46"/>
      <c r="D122" s="47"/>
      <c r="E122" s="46"/>
      <c r="F122" s="46"/>
      <c r="G122" s="20" t="str">
        <f aca="false">IF($E122="","",$E122*$F122)</f>
        <v/>
      </c>
      <c r="H122" s="67" t="str">
        <f aca="false">IF($G122="","",IF($G122&gt;=15,"High",IF($G122&gt;=8,"Medium","Low")))</f>
        <v/>
      </c>
      <c r="I122" s="47"/>
      <c r="J122" s="47"/>
      <c r="K122" s="46"/>
      <c r="L122" s="48"/>
      <c r="M122" s="48"/>
      <c r="N122" s="3"/>
      <c r="O122" s="3"/>
      <c r="P122" s="3"/>
      <c r="Q122" s="3"/>
    </row>
    <row r="123" customFormat="false" ht="15" hidden="false" customHeight="false" outlineLevel="0" collapsed="false">
      <c r="A123" s="52"/>
      <c r="B123" s="52"/>
      <c r="C123" s="52"/>
      <c r="D123" s="53"/>
      <c r="E123" s="52"/>
      <c r="F123" s="52"/>
      <c r="G123" s="27" t="str">
        <f aca="false">IF($E123="","",$E123*$F123)</f>
        <v/>
      </c>
      <c r="H123" s="68" t="str">
        <f aca="false">IF($G123="","",IF($G123&gt;=15,"High",IF($G123&gt;=8,"Medium","Low")))</f>
        <v/>
      </c>
      <c r="I123" s="53"/>
      <c r="J123" s="53"/>
      <c r="K123" s="52"/>
      <c r="L123" s="54"/>
      <c r="M123" s="54"/>
      <c r="N123" s="3"/>
      <c r="O123" s="3"/>
      <c r="P123" s="3"/>
      <c r="Q123" s="3"/>
    </row>
    <row r="124" customFormat="false" ht="15" hidden="false" customHeight="false" outlineLevel="0" collapsed="false">
      <c r="A124" s="46"/>
      <c r="B124" s="46"/>
      <c r="C124" s="46"/>
      <c r="D124" s="47"/>
      <c r="E124" s="46"/>
      <c r="F124" s="46"/>
      <c r="G124" s="20" t="str">
        <f aca="false">IF($E124="","",$E124*$F124)</f>
        <v/>
      </c>
      <c r="H124" s="67" t="str">
        <f aca="false">IF($G124="","",IF($G124&gt;=15,"High",IF($G124&gt;=8,"Medium","Low")))</f>
        <v/>
      </c>
      <c r="I124" s="47"/>
      <c r="J124" s="47"/>
      <c r="K124" s="46"/>
      <c r="L124" s="48"/>
      <c r="M124" s="48"/>
      <c r="N124" s="3"/>
      <c r="O124" s="3"/>
      <c r="P124" s="3"/>
      <c r="Q124" s="3"/>
    </row>
    <row r="125" customFormat="false" ht="15" hidden="false" customHeight="false" outlineLevel="0" collapsed="false">
      <c r="A125" s="52"/>
      <c r="B125" s="52"/>
      <c r="C125" s="52"/>
      <c r="D125" s="53"/>
      <c r="E125" s="52"/>
      <c r="F125" s="52"/>
      <c r="G125" s="27" t="str">
        <f aca="false">IF($E125="","",$E125*$F125)</f>
        <v/>
      </c>
      <c r="H125" s="68" t="str">
        <f aca="false">IF($G125="","",IF($G125&gt;=15,"High",IF($G125&gt;=8,"Medium","Low")))</f>
        <v/>
      </c>
      <c r="I125" s="53"/>
      <c r="J125" s="53"/>
      <c r="K125" s="52"/>
      <c r="L125" s="54"/>
      <c r="M125" s="54"/>
      <c r="N125" s="3"/>
      <c r="O125" s="3"/>
      <c r="P125" s="3"/>
      <c r="Q125" s="3"/>
    </row>
    <row r="126" customFormat="false" ht="15" hidden="false" customHeight="false" outlineLevel="0" collapsed="false">
      <c r="A126" s="46"/>
      <c r="B126" s="46"/>
      <c r="C126" s="46"/>
      <c r="D126" s="47"/>
      <c r="E126" s="46"/>
      <c r="F126" s="46"/>
      <c r="G126" s="20" t="str">
        <f aca="false">IF($E126="","",$E126*$F126)</f>
        <v/>
      </c>
      <c r="H126" s="67" t="str">
        <f aca="false">IF($G126="","",IF($G126&gt;=15,"High",IF($G126&gt;=8,"Medium","Low")))</f>
        <v/>
      </c>
      <c r="I126" s="47"/>
      <c r="J126" s="47"/>
      <c r="K126" s="46"/>
      <c r="L126" s="48"/>
      <c r="M126" s="48"/>
      <c r="N126" s="3"/>
      <c r="O126" s="3"/>
      <c r="P126" s="3"/>
      <c r="Q126" s="3"/>
    </row>
    <row r="127" customFormat="false" ht="15" hidden="false" customHeight="false" outlineLevel="0" collapsed="false">
      <c r="A127" s="52"/>
      <c r="B127" s="52"/>
      <c r="C127" s="52"/>
      <c r="D127" s="53"/>
      <c r="E127" s="52"/>
      <c r="F127" s="52"/>
      <c r="G127" s="27" t="str">
        <f aca="false">IF($E127="","",$E127*$F127)</f>
        <v/>
      </c>
      <c r="H127" s="68" t="str">
        <f aca="false">IF($G127="","",IF($G127&gt;=15,"High",IF($G127&gt;=8,"Medium","Low")))</f>
        <v/>
      </c>
      <c r="I127" s="53"/>
      <c r="J127" s="53"/>
      <c r="K127" s="52"/>
      <c r="L127" s="54"/>
      <c r="M127" s="54"/>
      <c r="N127" s="3"/>
      <c r="O127" s="3"/>
      <c r="P127" s="3"/>
      <c r="Q127" s="3"/>
    </row>
    <row r="128" customFormat="false" ht="15" hidden="false" customHeight="false" outlineLevel="0" collapsed="false">
      <c r="A128" s="46"/>
      <c r="B128" s="46"/>
      <c r="C128" s="46"/>
      <c r="D128" s="47"/>
      <c r="E128" s="46"/>
      <c r="F128" s="46"/>
      <c r="G128" s="20" t="str">
        <f aca="false">IF($E128="","",$E128*$F128)</f>
        <v/>
      </c>
      <c r="H128" s="67" t="str">
        <f aca="false">IF($G128="","",IF($G128&gt;=15,"High",IF($G128&gt;=8,"Medium","Low")))</f>
        <v/>
      </c>
      <c r="I128" s="47"/>
      <c r="J128" s="47"/>
      <c r="K128" s="46"/>
      <c r="L128" s="48"/>
      <c r="M128" s="48"/>
      <c r="N128" s="3"/>
      <c r="O128" s="3"/>
      <c r="P128" s="3"/>
      <c r="Q128" s="3"/>
    </row>
    <row r="129" customFormat="false" ht="15" hidden="false" customHeight="false" outlineLevel="0" collapsed="false">
      <c r="A129" s="52"/>
      <c r="B129" s="52"/>
      <c r="C129" s="52"/>
      <c r="D129" s="53"/>
      <c r="E129" s="52"/>
      <c r="F129" s="52"/>
      <c r="G129" s="27" t="str">
        <f aca="false">IF($E129="","",$E129*$F129)</f>
        <v/>
      </c>
      <c r="H129" s="68" t="str">
        <f aca="false">IF($G129="","",IF($G129&gt;=15,"High",IF($G129&gt;=8,"Medium","Low")))</f>
        <v/>
      </c>
      <c r="I129" s="53"/>
      <c r="J129" s="53"/>
      <c r="K129" s="52"/>
      <c r="L129" s="54"/>
      <c r="M129" s="54"/>
      <c r="N129" s="3"/>
      <c r="O129" s="3"/>
      <c r="P129" s="3"/>
      <c r="Q129" s="3"/>
    </row>
    <row r="130" customFormat="false" ht="15" hidden="false" customHeight="false" outlineLevel="0" collapsed="false">
      <c r="A130" s="46"/>
      <c r="B130" s="46"/>
      <c r="C130" s="46"/>
      <c r="D130" s="47"/>
      <c r="E130" s="46"/>
      <c r="F130" s="46"/>
      <c r="G130" s="20" t="str">
        <f aca="false">IF($E130="","",$E130*$F130)</f>
        <v/>
      </c>
      <c r="H130" s="67" t="str">
        <f aca="false">IF($G130="","",IF($G130&gt;=15,"High",IF($G130&gt;=8,"Medium","Low")))</f>
        <v/>
      </c>
      <c r="I130" s="47"/>
      <c r="J130" s="47"/>
      <c r="K130" s="46"/>
      <c r="L130" s="48"/>
      <c r="M130" s="48"/>
      <c r="N130" s="3"/>
      <c r="O130" s="3"/>
      <c r="P130" s="3"/>
      <c r="Q130" s="3"/>
    </row>
    <row r="131" customFormat="false" ht="15" hidden="false" customHeight="false" outlineLevel="0" collapsed="false">
      <c r="A131" s="52"/>
      <c r="B131" s="52"/>
      <c r="C131" s="52"/>
      <c r="D131" s="53"/>
      <c r="E131" s="52"/>
      <c r="F131" s="52"/>
      <c r="G131" s="27" t="str">
        <f aca="false">IF($E131="","",$E131*$F131)</f>
        <v/>
      </c>
      <c r="H131" s="68" t="str">
        <f aca="false">IF($G131="","",IF($G131&gt;=15,"High",IF($G131&gt;=8,"Medium","Low")))</f>
        <v/>
      </c>
      <c r="I131" s="53"/>
      <c r="J131" s="53"/>
      <c r="K131" s="52"/>
      <c r="L131" s="54"/>
      <c r="M131" s="54"/>
      <c r="N131" s="3"/>
      <c r="O131" s="3"/>
      <c r="P131" s="3"/>
      <c r="Q131" s="3"/>
    </row>
    <row r="132" customFormat="false" ht="15" hidden="false" customHeight="false" outlineLevel="0" collapsed="false">
      <c r="A132" s="46"/>
      <c r="B132" s="46"/>
      <c r="C132" s="46"/>
      <c r="D132" s="47"/>
      <c r="E132" s="46"/>
      <c r="F132" s="46"/>
      <c r="G132" s="20" t="str">
        <f aca="false">IF($E132="","",$E132*$F132)</f>
        <v/>
      </c>
      <c r="H132" s="67" t="str">
        <f aca="false">IF($G132="","",IF($G132&gt;=15,"High",IF($G132&gt;=8,"Medium","Low")))</f>
        <v/>
      </c>
      <c r="I132" s="47"/>
      <c r="J132" s="47"/>
      <c r="K132" s="46"/>
      <c r="L132" s="48"/>
      <c r="M132" s="48"/>
      <c r="N132" s="3"/>
      <c r="O132" s="3"/>
      <c r="P132" s="3"/>
      <c r="Q132" s="3"/>
    </row>
    <row r="133" customFormat="false" ht="15" hidden="false" customHeight="false" outlineLevel="0" collapsed="false">
      <c r="A133" s="52"/>
      <c r="B133" s="52"/>
      <c r="C133" s="52"/>
      <c r="D133" s="53"/>
      <c r="E133" s="52"/>
      <c r="F133" s="52"/>
      <c r="G133" s="27" t="str">
        <f aca="false">IF($E133="","",$E133*$F133)</f>
        <v/>
      </c>
      <c r="H133" s="68" t="str">
        <f aca="false">IF($G133="","",IF($G133&gt;=15,"High",IF($G133&gt;=8,"Medium","Low")))</f>
        <v/>
      </c>
      <c r="I133" s="53"/>
      <c r="J133" s="53"/>
      <c r="K133" s="52"/>
      <c r="L133" s="54"/>
      <c r="M133" s="54"/>
      <c r="N133" s="3"/>
      <c r="O133" s="3"/>
      <c r="P133" s="3"/>
      <c r="Q133" s="3"/>
    </row>
    <row r="134" customFormat="false" ht="15" hidden="false" customHeight="false" outlineLevel="0" collapsed="false">
      <c r="A134" s="46"/>
      <c r="B134" s="46"/>
      <c r="C134" s="46"/>
      <c r="D134" s="47"/>
      <c r="E134" s="46"/>
      <c r="F134" s="46"/>
      <c r="G134" s="20" t="str">
        <f aca="false">IF($E134="","",$E134*$F134)</f>
        <v/>
      </c>
      <c r="H134" s="67" t="str">
        <f aca="false">IF($G134="","",IF($G134&gt;=15,"High",IF($G134&gt;=8,"Medium","Low")))</f>
        <v/>
      </c>
      <c r="I134" s="47"/>
      <c r="J134" s="47"/>
      <c r="K134" s="46"/>
      <c r="L134" s="48"/>
      <c r="M134" s="48"/>
      <c r="N134" s="3"/>
      <c r="O134" s="3"/>
      <c r="P134" s="3"/>
      <c r="Q134" s="3"/>
    </row>
    <row r="135" customFormat="false" ht="15" hidden="false" customHeight="false" outlineLevel="0" collapsed="false">
      <c r="A135" s="52"/>
      <c r="B135" s="52"/>
      <c r="C135" s="52"/>
      <c r="D135" s="53"/>
      <c r="E135" s="52"/>
      <c r="F135" s="52"/>
      <c r="G135" s="27" t="str">
        <f aca="false">IF($E135="","",$E135*$F135)</f>
        <v/>
      </c>
      <c r="H135" s="68" t="str">
        <f aca="false">IF($G135="","",IF($G135&gt;=15,"High",IF($G135&gt;=8,"Medium","Low")))</f>
        <v/>
      </c>
      <c r="I135" s="53"/>
      <c r="J135" s="53"/>
      <c r="K135" s="52"/>
      <c r="L135" s="54"/>
      <c r="M135" s="54"/>
      <c r="N135" s="3"/>
      <c r="O135" s="3"/>
      <c r="P135" s="3"/>
      <c r="Q135" s="3"/>
    </row>
    <row r="136" customFormat="false" ht="15" hidden="false" customHeight="false" outlineLevel="0" collapsed="false">
      <c r="A136" s="46"/>
      <c r="B136" s="46"/>
      <c r="C136" s="46"/>
      <c r="D136" s="47"/>
      <c r="E136" s="46"/>
      <c r="F136" s="46"/>
      <c r="G136" s="20" t="str">
        <f aca="false">IF($E136="","",$E136*$F136)</f>
        <v/>
      </c>
      <c r="H136" s="67" t="str">
        <f aca="false">IF($G136="","",IF($G136&gt;=15,"High",IF($G136&gt;=8,"Medium","Low")))</f>
        <v/>
      </c>
      <c r="I136" s="47"/>
      <c r="J136" s="47"/>
      <c r="K136" s="46"/>
      <c r="L136" s="48"/>
      <c r="M136" s="48"/>
      <c r="N136" s="3"/>
      <c r="O136" s="3"/>
      <c r="P136" s="3"/>
      <c r="Q136" s="3"/>
    </row>
    <row r="137" customFormat="false" ht="15" hidden="false" customHeight="false" outlineLevel="0" collapsed="false">
      <c r="A137" s="52"/>
      <c r="B137" s="52"/>
      <c r="C137" s="52"/>
      <c r="D137" s="53"/>
      <c r="E137" s="52"/>
      <c r="F137" s="52"/>
      <c r="G137" s="27" t="str">
        <f aca="false">IF($E137="","",$E137*$F137)</f>
        <v/>
      </c>
      <c r="H137" s="68" t="str">
        <f aca="false">IF($G137="","",IF($G137&gt;=15,"High",IF($G137&gt;=8,"Medium","Low")))</f>
        <v/>
      </c>
      <c r="I137" s="53"/>
      <c r="J137" s="53"/>
      <c r="K137" s="52"/>
      <c r="L137" s="54"/>
      <c r="M137" s="54"/>
      <c r="N137" s="3"/>
      <c r="O137" s="3"/>
      <c r="P137" s="3"/>
      <c r="Q137" s="3"/>
    </row>
    <row r="138" customFormat="false" ht="15" hidden="false" customHeight="false" outlineLevel="0" collapsed="false">
      <c r="A138" s="46"/>
      <c r="B138" s="46"/>
      <c r="C138" s="46"/>
      <c r="D138" s="47"/>
      <c r="E138" s="46"/>
      <c r="F138" s="46"/>
      <c r="G138" s="20" t="str">
        <f aca="false">IF($E138="","",$E138*$F138)</f>
        <v/>
      </c>
      <c r="H138" s="67" t="str">
        <f aca="false">IF($G138="","",IF($G138&gt;=15,"High",IF($G138&gt;=8,"Medium","Low")))</f>
        <v/>
      </c>
      <c r="I138" s="47"/>
      <c r="J138" s="47"/>
      <c r="K138" s="46"/>
      <c r="L138" s="48"/>
      <c r="M138" s="48"/>
      <c r="N138" s="3"/>
      <c r="O138" s="3"/>
      <c r="P138" s="3"/>
      <c r="Q138" s="3"/>
    </row>
    <row r="139" customFormat="false" ht="15" hidden="false" customHeight="false" outlineLevel="0" collapsed="false">
      <c r="A139" s="52"/>
      <c r="B139" s="52"/>
      <c r="C139" s="52"/>
      <c r="D139" s="53"/>
      <c r="E139" s="52"/>
      <c r="F139" s="52"/>
      <c r="G139" s="27" t="str">
        <f aca="false">IF($E139="","",$E139*$F139)</f>
        <v/>
      </c>
      <c r="H139" s="68" t="str">
        <f aca="false">IF($G139="","",IF($G139&gt;=15,"High",IF($G139&gt;=8,"Medium","Low")))</f>
        <v/>
      </c>
      <c r="I139" s="53"/>
      <c r="J139" s="53"/>
      <c r="K139" s="52"/>
      <c r="L139" s="54"/>
      <c r="M139" s="54"/>
      <c r="N139" s="3"/>
      <c r="O139" s="3"/>
      <c r="P139" s="3"/>
      <c r="Q139" s="3"/>
    </row>
    <row r="140" customFormat="false" ht="15" hidden="false" customHeight="false" outlineLevel="0" collapsed="false">
      <c r="A140" s="46"/>
      <c r="B140" s="46"/>
      <c r="C140" s="46"/>
      <c r="D140" s="47"/>
      <c r="E140" s="46"/>
      <c r="F140" s="46"/>
      <c r="G140" s="20" t="str">
        <f aca="false">IF($E140="","",$E140*$F140)</f>
        <v/>
      </c>
      <c r="H140" s="67" t="str">
        <f aca="false">IF($G140="","",IF($G140&gt;=15,"High",IF($G140&gt;=8,"Medium","Low")))</f>
        <v/>
      </c>
      <c r="I140" s="47"/>
      <c r="J140" s="47"/>
      <c r="K140" s="46"/>
      <c r="L140" s="48"/>
      <c r="M140" s="48"/>
      <c r="N140" s="3"/>
      <c r="O140" s="3"/>
      <c r="P140" s="3"/>
      <c r="Q140" s="3"/>
    </row>
    <row r="141" customFormat="false" ht="15" hidden="false" customHeight="false" outlineLevel="0" collapsed="false">
      <c r="A141" s="52"/>
      <c r="B141" s="52"/>
      <c r="C141" s="52"/>
      <c r="D141" s="53"/>
      <c r="E141" s="52"/>
      <c r="F141" s="52"/>
      <c r="G141" s="27" t="str">
        <f aca="false">IF($E141="","",$E141*$F141)</f>
        <v/>
      </c>
      <c r="H141" s="68" t="str">
        <f aca="false">IF($G141="","",IF($G141&gt;=15,"High",IF($G141&gt;=8,"Medium","Low")))</f>
        <v/>
      </c>
      <c r="I141" s="53"/>
      <c r="J141" s="53"/>
      <c r="K141" s="52"/>
      <c r="L141" s="54"/>
      <c r="M141" s="54"/>
      <c r="N141" s="3"/>
      <c r="O141" s="3"/>
      <c r="P141" s="3"/>
      <c r="Q141" s="3"/>
    </row>
    <row r="142" customFormat="false" ht="15" hidden="false" customHeight="false" outlineLevel="0" collapsed="false">
      <c r="A142" s="46"/>
      <c r="B142" s="46"/>
      <c r="C142" s="46"/>
      <c r="D142" s="47"/>
      <c r="E142" s="46"/>
      <c r="F142" s="46"/>
      <c r="G142" s="20" t="str">
        <f aca="false">IF($E142="","",$E142*$F142)</f>
        <v/>
      </c>
      <c r="H142" s="67" t="str">
        <f aca="false">IF($G142="","",IF($G142&gt;=15,"High",IF($G142&gt;=8,"Medium","Low")))</f>
        <v/>
      </c>
      <c r="I142" s="47"/>
      <c r="J142" s="47"/>
      <c r="K142" s="46"/>
      <c r="L142" s="48"/>
      <c r="M142" s="48"/>
      <c r="N142" s="3"/>
      <c r="O142" s="3"/>
      <c r="P142" s="3"/>
      <c r="Q142" s="3"/>
    </row>
    <row r="143" customFormat="false" ht="15" hidden="false" customHeight="false" outlineLevel="0" collapsed="false">
      <c r="A143" s="52"/>
      <c r="B143" s="52"/>
      <c r="C143" s="52"/>
      <c r="D143" s="53"/>
      <c r="E143" s="52"/>
      <c r="F143" s="52"/>
      <c r="G143" s="27" t="str">
        <f aca="false">IF($E143="","",$E143*$F143)</f>
        <v/>
      </c>
      <c r="H143" s="68" t="str">
        <f aca="false">IF($G143="","",IF($G143&gt;=15,"High",IF($G143&gt;=8,"Medium","Low")))</f>
        <v/>
      </c>
      <c r="I143" s="53"/>
      <c r="J143" s="53"/>
      <c r="K143" s="52"/>
      <c r="L143" s="54"/>
      <c r="M143" s="54"/>
      <c r="N143" s="3"/>
      <c r="O143" s="3"/>
      <c r="P143" s="3"/>
      <c r="Q143" s="3"/>
    </row>
    <row r="144" customFormat="false" ht="15" hidden="false" customHeight="false" outlineLevel="0" collapsed="false">
      <c r="A144" s="46"/>
      <c r="B144" s="46"/>
      <c r="C144" s="46"/>
      <c r="D144" s="47"/>
      <c r="E144" s="46"/>
      <c r="F144" s="46"/>
      <c r="G144" s="20" t="str">
        <f aca="false">IF($E144="","",$E144*$F144)</f>
        <v/>
      </c>
      <c r="H144" s="67" t="str">
        <f aca="false">IF($G144="","",IF($G144&gt;=15,"High",IF($G144&gt;=8,"Medium","Low")))</f>
        <v/>
      </c>
      <c r="I144" s="47"/>
      <c r="J144" s="47"/>
      <c r="K144" s="46"/>
      <c r="L144" s="48"/>
      <c r="M144" s="48"/>
      <c r="N144" s="3"/>
      <c r="O144" s="3"/>
      <c r="P144" s="3"/>
      <c r="Q144" s="3"/>
    </row>
    <row r="145" customFormat="false" ht="15" hidden="false" customHeight="false" outlineLevel="0" collapsed="false">
      <c r="A145" s="52"/>
      <c r="B145" s="52"/>
      <c r="C145" s="52"/>
      <c r="D145" s="53"/>
      <c r="E145" s="52"/>
      <c r="F145" s="52"/>
      <c r="G145" s="27" t="str">
        <f aca="false">IF($E145="","",$E145*$F145)</f>
        <v/>
      </c>
      <c r="H145" s="68" t="str">
        <f aca="false">IF($G145="","",IF($G145&gt;=15,"High",IF($G145&gt;=8,"Medium","Low")))</f>
        <v/>
      </c>
      <c r="I145" s="53"/>
      <c r="J145" s="53"/>
      <c r="K145" s="52"/>
      <c r="L145" s="54"/>
      <c r="M145" s="54"/>
      <c r="N145" s="3"/>
      <c r="O145" s="3"/>
      <c r="P145" s="3"/>
      <c r="Q145" s="3"/>
    </row>
    <row r="146" customFormat="false" ht="15" hidden="false" customHeight="false" outlineLevel="0" collapsed="false">
      <c r="A146" s="46"/>
      <c r="B146" s="46"/>
      <c r="C146" s="46"/>
      <c r="D146" s="47"/>
      <c r="E146" s="46"/>
      <c r="F146" s="46"/>
      <c r="G146" s="20" t="str">
        <f aca="false">IF($E146="","",$E146*$F146)</f>
        <v/>
      </c>
      <c r="H146" s="67" t="str">
        <f aca="false">IF($G146="","",IF($G146&gt;=15,"High",IF($G146&gt;=8,"Medium","Low")))</f>
        <v/>
      </c>
      <c r="I146" s="47"/>
      <c r="J146" s="47"/>
      <c r="K146" s="46"/>
      <c r="L146" s="48"/>
      <c r="M146" s="48"/>
      <c r="N146" s="3"/>
      <c r="O146" s="3"/>
      <c r="P146" s="3"/>
      <c r="Q146" s="3"/>
    </row>
    <row r="147" customFormat="false" ht="15" hidden="false" customHeight="false" outlineLevel="0" collapsed="false">
      <c r="A147" s="52"/>
      <c r="B147" s="52"/>
      <c r="C147" s="52"/>
      <c r="D147" s="53"/>
      <c r="E147" s="52"/>
      <c r="F147" s="52"/>
      <c r="G147" s="27" t="str">
        <f aca="false">IF($E147="","",$E147*$F147)</f>
        <v/>
      </c>
      <c r="H147" s="68" t="str">
        <f aca="false">IF($G147="","",IF($G147&gt;=15,"High",IF($G147&gt;=8,"Medium","Low")))</f>
        <v/>
      </c>
      <c r="I147" s="53"/>
      <c r="J147" s="53"/>
      <c r="K147" s="52"/>
      <c r="L147" s="54"/>
      <c r="M147" s="54"/>
      <c r="N147" s="3"/>
      <c r="O147" s="3"/>
      <c r="P147" s="3"/>
      <c r="Q147" s="3"/>
    </row>
    <row r="148" customFormat="false" ht="15" hidden="false" customHeight="false" outlineLevel="0" collapsed="false">
      <c r="A148" s="46"/>
      <c r="B148" s="46"/>
      <c r="C148" s="46"/>
      <c r="D148" s="47"/>
      <c r="E148" s="46"/>
      <c r="F148" s="46"/>
      <c r="G148" s="20" t="str">
        <f aca="false">IF($E148="","",$E148*$F148)</f>
        <v/>
      </c>
      <c r="H148" s="67" t="str">
        <f aca="false">IF($G148="","",IF($G148&gt;=15,"High",IF($G148&gt;=8,"Medium","Low")))</f>
        <v/>
      </c>
      <c r="I148" s="47"/>
      <c r="J148" s="47"/>
      <c r="K148" s="46"/>
      <c r="L148" s="48"/>
      <c r="M148" s="48"/>
      <c r="N148" s="3"/>
      <c r="O148" s="3"/>
      <c r="P148" s="3"/>
      <c r="Q148" s="3"/>
    </row>
    <row r="149" customFormat="false" ht="15" hidden="false" customHeight="false" outlineLevel="0" collapsed="false">
      <c r="A149" s="52"/>
      <c r="B149" s="52"/>
      <c r="C149" s="52"/>
      <c r="D149" s="53"/>
      <c r="E149" s="52"/>
      <c r="F149" s="52"/>
      <c r="G149" s="27" t="str">
        <f aca="false">IF($E149="","",$E149*$F149)</f>
        <v/>
      </c>
      <c r="H149" s="68" t="str">
        <f aca="false">IF($G149="","",IF($G149&gt;=15,"High",IF($G149&gt;=8,"Medium","Low")))</f>
        <v/>
      </c>
      <c r="I149" s="53"/>
      <c r="J149" s="53"/>
      <c r="K149" s="52"/>
      <c r="L149" s="54"/>
      <c r="M149" s="54"/>
      <c r="N149" s="3"/>
      <c r="O149" s="3"/>
      <c r="P149" s="3"/>
      <c r="Q149" s="3"/>
    </row>
    <row r="150" customFormat="false" ht="15" hidden="false" customHeight="false" outlineLevel="0" collapsed="false">
      <c r="A150" s="46"/>
      <c r="B150" s="46"/>
      <c r="C150" s="46"/>
      <c r="D150" s="47"/>
      <c r="E150" s="46"/>
      <c r="F150" s="46"/>
      <c r="G150" s="20" t="str">
        <f aca="false">IF($E150="","",$E150*$F150)</f>
        <v/>
      </c>
      <c r="H150" s="67" t="str">
        <f aca="false">IF($G150="","",IF($G150&gt;=15,"High",IF($G150&gt;=8,"Medium","Low")))</f>
        <v/>
      </c>
      <c r="I150" s="47"/>
      <c r="J150" s="47"/>
      <c r="K150" s="46"/>
      <c r="L150" s="48"/>
      <c r="M150" s="48"/>
      <c r="N150" s="3"/>
      <c r="O150" s="3"/>
      <c r="P150" s="3"/>
      <c r="Q150" s="3"/>
    </row>
    <row r="151" customFormat="false" ht="15" hidden="false" customHeight="false" outlineLevel="0" collapsed="false">
      <c r="A151" s="52"/>
      <c r="B151" s="52"/>
      <c r="C151" s="52"/>
      <c r="D151" s="53"/>
      <c r="E151" s="52"/>
      <c r="F151" s="52"/>
      <c r="G151" s="27" t="str">
        <f aca="false">IF($E151="","",$E151*$F151)</f>
        <v/>
      </c>
      <c r="H151" s="68" t="str">
        <f aca="false">IF($G151="","",IF($G151&gt;=15,"High",IF($G151&gt;=8,"Medium","Low")))</f>
        <v/>
      </c>
      <c r="I151" s="53"/>
      <c r="J151" s="53"/>
      <c r="K151" s="52"/>
      <c r="L151" s="54"/>
      <c r="M151" s="54"/>
      <c r="N151" s="3"/>
      <c r="O151" s="3"/>
      <c r="P151" s="3"/>
      <c r="Q151" s="3"/>
    </row>
    <row r="152" customFormat="false" ht="15" hidden="false" customHeight="false" outlineLevel="0" collapsed="false">
      <c r="A152" s="46"/>
      <c r="B152" s="46"/>
      <c r="C152" s="46"/>
      <c r="D152" s="47"/>
      <c r="E152" s="46"/>
      <c r="F152" s="46"/>
      <c r="G152" s="20" t="str">
        <f aca="false">IF($E152="","",$E152*$F152)</f>
        <v/>
      </c>
      <c r="H152" s="67" t="str">
        <f aca="false">IF($G152="","",IF($G152&gt;=15,"High",IF($G152&gt;=8,"Medium","Low")))</f>
        <v/>
      </c>
      <c r="I152" s="47"/>
      <c r="J152" s="47"/>
      <c r="K152" s="46"/>
      <c r="L152" s="48"/>
      <c r="M152" s="48"/>
      <c r="N152" s="3"/>
      <c r="O152" s="3"/>
      <c r="P152" s="3"/>
      <c r="Q152" s="3"/>
    </row>
    <row r="153" customFormat="false" ht="15" hidden="false" customHeight="false" outlineLevel="0" collapsed="false">
      <c r="A153" s="52"/>
      <c r="B153" s="52"/>
      <c r="C153" s="52"/>
      <c r="D153" s="53"/>
      <c r="E153" s="52"/>
      <c r="F153" s="52"/>
      <c r="G153" s="27" t="str">
        <f aca="false">IF($E153="","",$E153*$F153)</f>
        <v/>
      </c>
      <c r="H153" s="68" t="str">
        <f aca="false">IF($G153="","",IF($G153&gt;=15,"High",IF($G153&gt;=8,"Medium","Low")))</f>
        <v/>
      </c>
      <c r="I153" s="53"/>
      <c r="J153" s="53"/>
      <c r="K153" s="52"/>
      <c r="L153" s="54"/>
      <c r="M153" s="54"/>
      <c r="N153" s="3"/>
      <c r="O153" s="3"/>
      <c r="P153" s="3"/>
      <c r="Q153" s="3"/>
    </row>
    <row r="154" customFormat="false" ht="15" hidden="false" customHeight="false" outlineLevel="0" collapsed="false">
      <c r="A154" s="46"/>
      <c r="B154" s="46"/>
      <c r="C154" s="46"/>
      <c r="D154" s="47"/>
      <c r="E154" s="46"/>
      <c r="F154" s="46"/>
      <c r="G154" s="20" t="str">
        <f aca="false">IF($E154="","",$E154*$F154)</f>
        <v/>
      </c>
      <c r="H154" s="67" t="str">
        <f aca="false">IF($G154="","",IF($G154&gt;=15,"High",IF($G154&gt;=8,"Medium","Low")))</f>
        <v/>
      </c>
      <c r="I154" s="47"/>
      <c r="J154" s="47"/>
      <c r="K154" s="46"/>
      <c r="L154" s="48"/>
      <c r="M154" s="48"/>
      <c r="N154" s="3"/>
      <c r="O154" s="3"/>
      <c r="P154" s="3"/>
      <c r="Q154" s="3"/>
    </row>
    <row r="155" customFormat="false" ht="15" hidden="false" customHeight="false" outlineLevel="0" collapsed="false">
      <c r="A155" s="52"/>
      <c r="B155" s="52"/>
      <c r="C155" s="52"/>
      <c r="D155" s="53"/>
      <c r="E155" s="52"/>
      <c r="F155" s="52"/>
      <c r="G155" s="27" t="str">
        <f aca="false">IF($E155="","",$E155*$F155)</f>
        <v/>
      </c>
      <c r="H155" s="68" t="str">
        <f aca="false">IF($G155="","",IF($G155&gt;=15,"High",IF($G155&gt;=8,"Medium","Low")))</f>
        <v/>
      </c>
      <c r="I155" s="53"/>
      <c r="J155" s="53"/>
      <c r="K155" s="52"/>
      <c r="L155" s="54"/>
      <c r="M155" s="54"/>
      <c r="N155" s="3"/>
      <c r="O155" s="3"/>
      <c r="P155" s="3"/>
      <c r="Q155" s="3"/>
    </row>
    <row r="156" customFormat="false" ht="15" hidden="false" customHeight="false" outlineLevel="0" collapsed="false">
      <c r="A156" s="46"/>
      <c r="B156" s="46"/>
      <c r="C156" s="46"/>
      <c r="D156" s="47"/>
      <c r="E156" s="46"/>
      <c r="F156" s="46"/>
      <c r="G156" s="20" t="str">
        <f aca="false">IF($E156="","",$E156*$F156)</f>
        <v/>
      </c>
      <c r="H156" s="67" t="str">
        <f aca="false">IF($G156="","",IF($G156&gt;=15,"High",IF($G156&gt;=8,"Medium","Low")))</f>
        <v/>
      </c>
      <c r="I156" s="47"/>
      <c r="J156" s="47"/>
      <c r="K156" s="46"/>
      <c r="L156" s="48"/>
      <c r="M156" s="48"/>
      <c r="N156" s="3"/>
      <c r="O156" s="3"/>
      <c r="P156" s="3"/>
      <c r="Q156" s="3"/>
    </row>
    <row r="157" customFormat="false" ht="15" hidden="false" customHeight="false" outlineLevel="0" collapsed="false">
      <c r="A157" s="52"/>
      <c r="B157" s="52"/>
      <c r="C157" s="52"/>
      <c r="D157" s="53"/>
      <c r="E157" s="52"/>
      <c r="F157" s="52"/>
      <c r="G157" s="27" t="str">
        <f aca="false">IF($E157="","",$E157*$F157)</f>
        <v/>
      </c>
      <c r="H157" s="68" t="str">
        <f aca="false">IF($G157="","",IF($G157&gt;=15,"High",IF($G157&gt;=8,"Medium","Low")))</f>
        <v/>
      </c>
      <c r="I157" s="53"/>
      <c r="J157" s="53"/>
      <c r="K157" s="52"/>
      <c r="L157" s="54"/>
      <c r="M157" s="54"/>
      <c r="N157" s="3"/>
      <c r="O157" s="3"/>
      <c r="P157" s="3"/>
      <c r="Q157" s="3"/>
    </row>
    <row r="158" customFormat="false" ht="15" hidden="false" customHeight="false" outlineLevel="0" collapsed="false">
      <c r="A158" s="46"/>
      <c r="B158" s="46"/>
      <c r="C158" s="46"/>
      <c r="D158" s="47"/>
      <c r="E158" s="46"/>
      <c r="F158" s="46"/>
      <c r="G158" s="20" t="str">
        <f aca="false">IF($E158="","",$E158*$F158)</f>
        <v/>
      </c>
      <c r="H158" s="67" t="str">
        <f aca="false">IF($G158="","",IF($G158&gt;=15,"High",IF($G158&gt;=8,"Medium","Low")))</f>
        <v/>
      </c>
      <c r="I158" s="47"/>
      <c r="J158" s="47"/>
      <c r="K158" s="46"/>
      <c r="L158" s="48"/>
      <c r="M158" s="48"/>
      <c r="N158" s="3"/>
      <c r="O158" s="3"/>
      <c r="P158" s="3"/>
      <c r="Q158" s="3"/>
    </row>
    <row r="159" customFormat="false" ht="15" hidden="false" customHeight="false" outlineLevel="0" collapsed="false">
      <c r="A159" s="52"/>
      <c r="B159" s="52"/>
      <c r="C159" s="52"/>
      <c r="D159" s="53"/>
      <c r="E159" s="52"/>
      <c r="F159" s="52"/>
      <c r="G159" s="27" t="str">
        <f aca="false">IF($E159="","",$E159*$F159)</f>
        <v/>
      </c>
      <c r="H159" s="68" t="str">
        <f aca="false">IF($G159="","",IF($G159&gt;=15,"High",IF($G159&gt;=8,"Medium","Low")))</f>
        <v/>
      </c>
      <c r="I159" s="53"/>
      <c r="J159" s="53"/>
      <c r="K159" s="52"/>
      <c r="L159" s="54"/>
      <c r="M159" s="54"/>
      <c r="N159" s="3"/>
      <c r="O159" s="3"/>
      <c r="P159" s="3"/>
      <c r="Q159" s="3"/>
    </row>
    <row r="160" customFormat="false" ht="15" hidden="false" customHeight="false" outlineLevel="0" collapsed="false">
      <c r="A160" s="46"/>
      <c r="B160" s="46"/>
      <c r="C160" s="46"/>
      <c r="D160" s="47"/>
      <c r="E160" s="46"/>
      <c r="F160" s="46"/>
      <c r="G160" s="20" t="str">
        <f aca="false">IF($E160="","",$E160*$F160)</f>
        <v/>
      </c>
      <c r="H160" s="67" t="str">
        <f aca="false">IF($G160="","",IF($G160&gt;=15,"High",IF($G160&gt;=8,"Medium","Low")))</f>
        <v/>
      </c>
      <c r="I160" s="47"/>
      <c r="J160" s="47"/>
      <c r="K160" s="46"/>
      <c r="L160" s="48"/>
      <c r="M160" s="48"/>
      <c r="N160" s="3"/>
      <c r="O160" s="3"/>
      <c r="P160" s="3"/>
      <c r="Q160" s="3"/>
    </row>
    <row r="161" customFormat="false" ht="15" hidden="false" customHeight="false" outlineLevel="0" collapsed="false">
      <c r="A161" s="52"/>
      <c r="B161" s="52"/>
      <c r="C161" s="52"/>
      <c r="D161" s="53"/>
      <c r="E161" s="52"/>
      <c r="F161" s="52"/>
      <c r="G161" s="27" t="str">
        <f aca="false">IF($E161="","",$E161*$F161)</f>
        <v/>
      </c>
      <c r="H161" s="68" t="str">
        <f aca="false">IF($G161="","",IF($G161&gt;=15,"High",IF($G161&gt;=8,"Medium","Low")))</f>
        <v/>
      </c>
      <c r="I161" s="53"/>
      <c r="J161" s="53"/>
      <c r="K161" s="52"/>
      <c r="L161" s="54"/>
      <c r="M161" s="54"/>
      <c r="N161" s="3"/>
      <c r="O161" s="3"/>
      <c r="P161" s="3"/>
      <c r="Q161" s="3"/>
    </row>
    <row r="162" customFormat="false" ht="15" hidden="false" customHeight="false" outlineLevel="0" collapsed="false">
      <c r="A162" s="46"/>
      <c r="B162" s="46"/>
      <c r="C162" s="46"/>
      <c r="D162" s="47"/>
      <c r="E162" s="46"/>
      <c r="F162" s="46"/>
      <c r="G162" s="20" t="str">
        <f aca="false">IF($E162="","",$E162*$F162)</f>
        <v/>
      </c>
      <c r="H162" s="67" t="str">
        <f aca="false">IF($G162="","",IF($G162&gt;=15,"High",IF($G162&gt;=8,"Medium","Low")))</f>
        <v/>
      </c>
      <c r="I162" s="47"/>
      <c r="J162" s="47"/>
      <c r="K162" s="46"/>
      <c r="L162" s="48"/>
      <c r="M162" s="48"/>
      <c r="N162" s="3"/>
      <c r="O162" s="3"/>
      <c r="P162" s="3"/>
      <c r="Q162" s="3"/>
    </row>
    <row r="163" customFormat="false" ht="15" hidden="false" customHeight="false" outlineLevel="0" collapsed="false">
      <c r="A163" s="52"/>
      <c r="B163" s="52"/>
      <c r="C163" s="52"/>
      <c r="D163" s="53"/>
      <c r="E163" s="52"/>
      <c r="F163" s="52"/>
      <c r="G163" s="27" t="str">
        <f aca="false">IF($E163="","",$E163*$F163)</f>
        <v/>
      </c>
      <c r="H163" s="68" t="str">
        <f aca="false">IF($G163="","",IF($G163&gt;=15,"High",IF($G163&gt;=8,"Medium","Low")))</f>
        <v/>
      </c>
      <c r="I163" s="53"/>
      <c r="J163" s="53"/>
      <c r="K163" s="52"/>
      <c r="L163" s="54"/>
      <c r="M163" s="54"/>
      <c r="N163" s="3"/>
      <c r="O163" s="3"/>
      <c r="P163" s="3"/>
      <c r="Q163" s="3"/>
    </row>
    <row r="164" customFormat="false" ht="15" hidden="false" customHeight="false" outlineLevel="0" collapsed="false">
      <c r="A164" s="46"/>
      <c r="B164" s="46"/>
      <c r="C164" s="46"/>
      <c r="D164" s="47"/>
      <c r="E164" s="46"/>
      <c r="F164" s="46"/>
      <c r="G164" s="20" t="str">
        <f aca="false">IF($E164="","",$E164*$F164)</f>
        <v/>
      </c>
      <c r="H164" s="67" t="str">
        <f aca="false">IF($G164="","",IF($G164&gt;=15,"High",IF($G164&gt;=8,"Medium","Low")))</f>
        <v/>
      </c>
      <c r="I164" s="47"/>
      <c r="J164" s="47"/>
      <c r="K164" s="46"/>
      <c r="L164" s="48"/>
      <c r="M164" s="48"/>
      <c r="N164" s="3"/>
      <c r="O164" s="3"/>
      <c r="P164" s="3"/>
      <c r="Q164" s="3"/>
    </row>
    <row r="165" customFormat="false" ht="15" hidden="false" customHeight="false" outlineLevel="0" collapsed="false">
      <c r="A165" s="52"/>
      <c r="B165" s="52"/>
      <c r="C165" s="52"/>
      <c r="D165" s="53"/>
      <c r="E165" s="52"/>
      <c r="F165" s="52"/>
      <c r="G165" s="27" t="str">
        <f aca="false">IF($E165="","",$E165*$F165)</f>
        <v/>
      </c>
      <c r="H165" s="68" t="str">
        <f aca="false">IF($G165="","",IF($G165&gt;=15,"High",IF($G165&gt;=8,"Medium","Low")))</f>
        <v/>
      </c>
      <c r="I165" s="53"/>
      <c r="J165" s="53"/>
      <c r="K165" s="52"/>
      <c r="L165" s="54"/>
      <c r="M165" s="54"/>
      <c r="N165" s="3"/>
      <c r="O165" s="3"/>
      <c r="P165" s="3"/>
      <c r="Q165" s="3"/>
    </row>
    <row r="166" customFormat="false" ht="15" hidden="false" customHeight="false" outlineLevel="0" collapsed="false">
      <c r="A166" s="46"/>
      <c r="B166" s="46"/>
      <c r="C166" s="46"/>
      <c r="D166" s="47"/>
      <c r="E166" s="46"/>
      <c r="F166" s="46"/>
      <c r="G166" s="20" t="str">
        <f aca="false">IF($E166="","",$E166*$F166)</f>
        <v/>
      </c>
      <c r="H166" s="67" t="str">
        <f aca="false">IF($G166="","",IF($G166&gt;=15,"High",IF($G166&gt;=8,"Medium","Low")))</f>
        <v/>
      </c>
      <c r="I166" s="47"/>
      <c r="J166" s="47"/>
      <c r="K166" s="46"/>
      <c r="L166" s="48"/>
      <c r="M166" s="48"/>
      <c r="N166" s="3"/>
      <c r="O166" s="3"/>
      <c r="P166" s="3"/>
      <c r="Q166" s="3"/>
    </row>
    <row r="167" customFormat="false" ht="15" hidden="false" customHeight="false" outlineLevel="0" collapsed="false">
      <c r="A167" s="52"/>
      <c r="B167" s="52"/>
      <c r="C167" s="52"/>
      <c r="D167" s="53"/>
      <c r="E167" s="52"/>
      <c r="F167" s="52"/>
      <c r="G167" s="27" t="str">
        <f aca="false">IF($E167="","",$E167*$F167)</f>
        <v/>
      </c>
      <c r="H167" s="68" t="str">
        <f aca="false">IF($G167="","",IF($G167&gt;=15,"High",IF($G167&gt;=8,"Medium","Low")))</f>
        <v/>
      </c>
      <c r="I167" s="53"/>
      <c r="J167" s="53"/>
      <c r="K167" s="52"/>
      <c r="L167" s="54"/>
      <c r="M167" s="54"/>
      <c r="N167" s="3"/>
      <c r="O167" s="3"/>
      <c r="P167" s="3"/>
      <c r="Q167" s="3"/>
    </row>
    <row r="168" customFormat="false" ht="15" hidden="false" customHeight="false" outlineLevel="0" collapsed="false">
      <c r="A168" s="46"/>
      <c r="B168" s="46"/>
      <c r="C168" s="46"/>
      <c r="D168" s="47"/>
      <c r="E168" s="46"/>
      <c r="F168" s="46"/>
      <c r="G168" s="20" t="str">
        <f aca="false">IF($E168="","",$E168*$F168)</f>
        <v/>
      </c>
      <c r="H168" s="67" t="str">
        <f aca="false">IF($G168="","",IF($G168&gt;=15,"High",IF($G168&gt;=8,"Medium","Low")))</f>
        <v/>
      </c>
      <c r="I168" s="47"/>
      <c r="J168" s="47"/>
      <c r="K168" s="46"/>
      <c r="L168" s="48"/>
      <c r="M168" s="48"/>
      <c r="N168" s="3"/>
      <c r="O168" s="3"/>
      <c r="P168" s="3"/>
      <c r="Q168" s="3"/>
    </row>
    <row r="169" customFormat="false" ht="15" hidden="false" customHeight="false" outlineLevel="0" collapsed="false">
      <c r="A169" s="52"/>
      <c r="B169" s="52"/>
      <c r="C169" s="52"/>
      <c r="D169" s="53"/>
      <c r="E169" s="52"/>
      <c r="F169" s="52"/>
      <c r="G169" s="27" t="str">
        <f aca="false">IF($E169="","",$E169*$F169)</f>
        <v/>
      </c>
      <c r="H169" s="68" t="str">
        <f aca="false">IF($G169="","",IF($G169&gt;=15,"High",IF($G169&gt;=8,"Medium","Low")))</f>
        <v/>
      </c>
      <c r="I169" s="53"/>
      <c r="J169" s="53"/>
      <c r="K169" s="52"/>
      <c r="L169" s="54"/>
      <c r="M169" s="54"/>
      <c r="N169" s="3"/>
      <c r="O169" s="3"/>
      <c r="P169" s="3"/>
      <c r="Q169" s="3"/>
    </row>
    <row r="170" customFormat="false" ht="15" hidden="false" customHeight="false" outlineLevel="0" collapsed="false">
      <c r="A170" s="46"/>
      <c r="B170" s="46"/>
      <c r="C170" s="46"/>
      <c r="D170" s="47"/>
      <c r="E170" s="46"/>
      <c r="F170" s="46"/>
      <c r="G170" s="20" t="str">
        <f aca="false">IF($E170="","",$E170*$F170)</f>
        <v/>
      </c>
      <c r="H170" s="67" t="str">
        <f aca="false">IF($G170="","",IF($G170&gt;=15,"High",IF($G170&gt;=8,"Medium","Low")))</f>
        <v/>
      </c>
      <c r="I170" s="47"/>
      <c r="J170" s="47"/>
      <c r="K170" s="46"/>
      <c r="L170" s="48"/>
      <c r="M170" s="48"/>
      <c r="N170" s="3"/>
      <c r="O170" s="3"/>
      <c r="P170" s="3"/>
      <c r="Q170" s="3"/>
    </row>
    <row r="171" customFormat="false" ht="15" hidden="false" customHeight="false" outlineLevel="0" collapsed="false">
      <c r="A171" s="52"/>
      <c r="B171" s="52"/>
      <c r="C171" s="52"/>
      <c r="D171" s="53"/>
      <c r="E171" s="52"/>
      <c r="F171" s="52"/>
      <c r="G171" s="27" t="str">
        <f aca="false">IF($E171="","",$E171*$F171)</f>
        <v/>
      </c>
      <c r="H171" s="68" t="str">
        <f aca="false">IF($G171="","",IF($G171&gt;=15,"High",IF($G171&gt;=8,"Medium","Low")))</f>
        <v/>
      </c>
      <c r="I171" s="53"/>
      <c r="J171" s="53"/>
      <c r="K171" s="52"/>
      <c r="L171" s="54"/>
      <c r="M171" s="54"/>
      <c r="N171" s="3"/>
      <c r="O171" s="3"/>
      <c r="P171" s="3"/>
      <c r="Q171" s="3"/>
    </row>
    <row r="172" customFormat="false" ht="15" hidden="false" customHeight="false" outlineLevel="0" collapsed="false">
      <c r="A172" s="46"/>
      <c r="B172" s="46"/>
      <c r="C172" s="46"/>
      <c r="D172" s="47"/>
      <c r="E172" s="46"/>
      <c r="F172" s="46"/>
      <c r="G172" s="20" t="str">
        <f aca="false">IF($E172="","",$E172*$F172)</f>
        <v/>
      </c>
      <c r="H172" s="67" t="str">
        <f aca="false">IF($G172="","",IF($G172&gt;=15,"High",IF($G172&gt;=8,"Medium","Low")))</f>
        <v/>
      </c>
      <c r="I172" s="47"/>
      <c r="J172" s="47"/>
      <c r="K172" s="46"/>
      <c r="L172" s="48"/>
      <c r="M172" s="48"/>
      <c r="N172" s="3"/>
      <c r="O172" s="3"/>
      <c r="P172" s="3"/>
      <c r="Q172" s="3"/>
    </row>
    <row r="173" customFormat="false" ht="15" hidden="false" customHeight="false" outlineLevel="0" collapsed="false">
      <c r="A173" s="52"/>
      <c r="B173" s="52"/>
      <c r="C173" s="52"/>
      <c r="D173" s="53"/>
      <c r="E173" s="52"/>
      <c r="F173" s="52"/>
      <c r="G173" s="27" t="str">
        <f aca="false">IF($E173="","",$E173*$F173)</f>
        <v/>
      </c>
      <c r="H173" s="68" t="str">
        <f aca="false">IF($G173="","",IF($G173&gt;=15,"High",IF($G173&gt;=8,"Medium","Low")))</f>
        <v/>
      </c>
      <c r="I173" s="53"/>
      <c r="J173" s="53"/>
      <c r="K173" s="52"/>
      <c r="L173" s="54"/>
      <c r="M173" s="54"/>
      <c r="N173" s="3"/>
      <c r="O173" s="3"/>
      <c r="P173" s="3"/>
      <c r="Q173" s="3"/>
    </row>
    <row r="174" customFormat="false" ht="15" hidden="false" customHeight="false" outlineLevel="0" collapsed="false">
      <c r="A174" s="46"/>
      <c r="B174" s="46"/>
      <c r="C174" s="46"/>
      <c r="D174" s="47"/>
      <c r="E174" s="46"/>
      <c r="F174" s="46"/>
      <c r="G174" s="20" t="str">
        <f aca="false">IF($E174="","",$E174*$F174)</f>
        <v/>
      </c>
      <c r="H174" s="67" t="str">
        <f aca="false">IF($G174="","",IF($G174&gt;=15,"High",IF($G174&gt;=8,"Medium","Low")))</f>
        <v/>
      </c>
      <c r="I174" s="47"/>
      <c r="J174" s="47"/>
      <c r="K174" s="46"/>
      <c r="L174" s="48"/>
      <c r="M174" s="48"/>
      <c r="N174" s="3"/>
      <c r="O174" s="3"/>
      <c r="P174" s="3"/>
      <c r="Q174" s="3"/>
    </row>
    <row r="175" customFormat="false" ht="15" hidden="false" customHeight="false" outlineLevel="0" collapsed="false">
      <c r="A175" s="52"/>
      <c r="B175" s="52"/>
      <c r="C175" s="52"/>
      <c r="D175" s="53"/>
      <c r="E175" s="52"/>
      <c r="F175" s="52"/>
      <c r="G175" s="27" t="str">
        <f aca="false">IF($E175="","",$E175*$F175)</f>
        <v/>
      </c>
      <c r="H175" s="68" t="str">
        <f aca="false">IF($G175="","",IF($G175&gt;=15,"High",IF($G175&gt;=8,"Medium","Low")))</f>
        <v/>
      </c>
      <c r="I175" s="53"/>
      <c r="J175" s="53"/>
      <c r="K175" s="52"/>
      <c r="L175" s="54"/>
      <c r="M175" s="54"/>
      <c r="N175" s="3"/>
      <c r="O175" s="3"/>
      <c r="P175" s="3"/>
      <c r="Q175" s="3"/>
    </row>
    <row r="176" customFormat="false" ht="15" hidden="false" customHeight="false" outlineLevel="0" collapsed="false">
      <c r="A176" s="46"/>
      <c r="B176" s="46"/>
      <c r="C176" s="46"/>
      <c r="D176" s="47"/>
      <c r="E176" s="46"/>
      <c r="F176" s="46"/>
      <c r="G176" s="20" t="str">
        <f aca="false">IF($E176="","",$E176*$F176)</f>
        <v/>
      </c>
      <c r="H176" s="67" t="str">
        <f aca="false">IF($G176="","",IF($G176&gt;=15,"High",IF($G176&gt;=8,"Medium","Low")))</f>
        <v/>
      </c>
      <c r="I176" s="47"/>
      <c r="J176" s="47"/>
      <c r="K176" s="46"/>
      <c r="L176" s="48"/>
      <c r="M176" s="48"/>
      <c r="N176" s="3"/>
      <c r="O176" s="3"/>
      <c r="P176" s="3"/>
      <c r="Q176" s="3"/>
    </row>
    <row r="177" customFormat="false" ht="15" hidden="false" customHeight="false" outlineLevel="0" collapsed="false">
      <c r="A177" s="52"/>
      <c r="B177" s="52"/>
      <c r="C177" s="52"/>
      <c r="D177" s="53"/>
      <c r="E177" s="52"/>
      <c r="F177" s="52"/>
      <c r="G177" s="27" t="str">
        <f aca="false">IF($E177="","",$E177*$F177)</f>
        <v/>
      </c>
      <c r="H177" s="68" t="str">
        <f aca="false">IF($G177="","",IF($G177&gt;=15,"High",IF($G177&gt;=8,"Medium","Low")))</f>
        <v/>
      </c>
      <c r="I177" s="53"/>
      <c r="J177" s="53"/>
      <c r="K177" s="52"/>
      <c r="L177" s="54"/>
      <c r="M177" s="54"/>
      <c r="N177" s="3"/>
      <c r="O177" s="3"/>
      <c r="P177" s="3"/>
      <c r="Q177" s="3"/>
    </row>
    <row r="178" customFormat="false" ht="15" hidden="false" customHeight="false" outlineLevel="0" collapsed="false">
      <c r="A178" s="46"/>
      <c r="B178" s="46"/>
      <c r="C178" s="46"/>
      <c r="D178" s="47"/>
      <c r="E178" s="46"/>
      <c r="F178" s="46"/>
      <c r="G178" s="20" t="str">
        <f aca="false">IF($E178="","",$E178*$F178)</f>
        <v/>
      </c>
      <c r="H178" s="67" t="str">
        <f aca="false">IF($G178="","",IF($G178&gt;=15,"High",IF($G178&gt;=8,"Medium","Low")))</f>
        <v/>
      </c>
      <c r="I178" s="47"/>
      <c r="J178" s="47"/>
      <c r="K178" s="46"/>
      <c r="L178" s="48"/>
      <c r="M178" s="48"/>
      <c r="N178" s="3"/>
      <c r="O178" s="3"/>
      <c r="P178" s="3"/>
      <c r="Q178" s="3"/>
    </row>
    <row r="179" customFormat="false" ht="15" hidden="false" customHeight="false" outlineLevel="0" collapsed="false">
      <c r="A179" s="52"/>
      <c r="B179" s="52"/>
      <c r="C179" s="52"/>
      <c r="D179" s="53"/>
      <c r="E179" s="52"/>
      <c r="F179" s="52"/>
      <c r="G179" s="27" t="str">
        <f aca="false">IF($E179="","",$E179*$F179)</f>
        <v/>
      </c>
      <c r="H179" s="68" t="str">
        <f aca="false">IF($G179="","",IF($G179&gt;=15,"High",IF($G179&gt;=8,"Medium","Low")))</f>
        <v/>
      </c>
      <c r="I179" s="53"/>
      <c r="J179" s="53"/>
      <c r="K179" s="52"/>
      <c r="L179" s="54"/>
      <c r="M179" s="54"/>
      <c r="N179" s="3"/>
      <c r="O179" s="3"/>
      <c r="P179" s="3"/>
      <c r="Q179" s="3"/>
    </row>
    <row r="180" customFormat="false" ht="15" hidden="false" customHeight="false" outlineLevel="0" collapsed="false">
      <c r="A180" s="46"/>
      <c r="B180" s="46"/>
      <c r="C180" s="46"/>
      <c r="D180" s="47"/>
      <c r="E180" s="46"/>
      <c r="F180" s="46"/>
      <c r="G180" s="20" t="str">
        <f aca="false">IF($E180="","",$E180*$F180)</f>
        <v/>
      </c>
      <c r="H180" s="67" t="str">
        <f aca="false">IF($G180="","",IF($G180&gt;=15,"High",IF($G180&gt;=8,"Medium","Low")))</f>
        <v/>
      </c>
      <c r="I180" s="47"/>
      <c r="J180" s="47"/>
      <c r="K180" s="46"/>
      <c r="L180" s="48"/>
      <c r="M180" s="48"/>
      <c r="N180" s="3"/>
      <c r="O180" s="3"/>
      <c r="P180" s="3"/>
      <c r="Q180" s="3"/>
    </row>
    <row r="181" customFormat="false" ht="15" hidden="false" customHeight="false" outlineLevel="0" collapsed="false">
      <c r="A181" s="52"/>
      <c r="B181" s="52"/>
      <c r="C181" s="52"/>
      <c r="D181" s="53"/>
      <c r="E181" s="52"/>
      <c r="F181" s="52"/>
      <c r="G181" s="27" t="str">
        <f aca="false">IF($E181="","",$E181*$F181)</f>
        <v/>
      </c>
      <c r="H181" s="68" t="str">
        <f aca="false">IF($G181="","",IF($G181&gt;=15,"High",IF($G181&gt;=8,"Medium","Low")))</f>
        <v/>
      </c>
      <c r="I181" s="53"/>
      <c r="J181" s="53"/>
      <c r="K181" s="52"/>
      <c r="L181" s="54"/>
      <c r="M181" s="54"/>
      <c r="N181" s="3"/>
      <c r="O181" s="3"/>
      <c r="P181" s="3"/>
      <c r="Q181" s="3"/>
    </row>
    <row r="182" customFormat="false" ht="15" hidden="false" customHeight="false" outlineLevel="0" collapsed="false">
      <c r="A182" s="46"/>
      <c r="B182" s="46"/>
      <c r="C182" s="46"/>
      <c r="D182" s="47"/>
      <c r="E182" s="46"/>
      <c r="F182" s="46"/>
      <c r="G182" s="20" t="str">
        <f aca="false">IF($E182="","",$E182*$F182)</f>
        <v/>
      </c>
      <c r="H182" s="67" t="str">
        <f aca="false">IF($G182="","",IF($G182&gt;=15,"High",IF($G182&gt;=8,"Medium","Low")))</f>
        <v/>
      </c>
      <c r="I182" s="47"/>
      <c r="J182" s="47"/>
      <c r="K182" s="46"/>
      <c r="L182" s="48"/>
      <c r="M182" s="48"/>
      <c r="N182" s="3"/>
      <c r="O182" s="3"/>
      <c r="P182" s="3"/>
      <c r="Q182" s="3"/>
    </row>
    <row r="183" customFormat="false" ht="15" hidden="false" customHeight="false" outlineLevel="0" collapsed="false">
      <c r="A183" s="52"/>
      <c r="B183" s="52"/>
      <c r="C183" s="52"/>
      <c r="D183" s="53"/>
      <c r="E183" s="52"/>
      <c r="F183" s="52"/>
      <c r="G183" s="27" t="str">
        <f aca="false">IF($E183="","",$E183*$F183)</f>
        <v/>
      </c>
      <c r="H183" s="68" t="str">
        <f aca="false">IF($G183="","",IF($G183&gt;=15,"High",IF($G183&gt;=8,"Medium","Low")))</f>
        <v/>
      </c>
      <c r="I183" s="53"/>
      <c r="J183" s="53"/>
      <c r="K183" s="52"/>
      <c r="L183" s="54"/>
      <c r="M183" s="54"/>
      <c r="N183" s="3"/>
      <c r="O183" s="3"/>
      <c r="P183" s="3"/>
      <c r="Q183" s="3"/>
    </row>
    <row r="184" customFormat="false" ht="15" hidden="false" customHeight="false" outlineLevel="0" collapsed="false">
      <c r="A184" s="46"/>
      <c r="B184" s="46"/>
      <c r="C184" s="46"/>
      <c r="D184" s="47"/>
      <c r="E184" s="46"/>
      <c r="F184" s="46"/>
      <c r="G184" s="20" t="str">
        <f aca="false">IF($E184="","",$E184*$F184)</f>
        <v/>
      </c>
      <c r="H184" s="67" t="str">
        <f aca="false">IF($G184="","",IF($G184&gt;=15,"High",IF($G184&gt;=8,"Medium","Low")))</f>
        <v/>
      </c>
      <c r="I184" s="47"/>
      <c r="J184" s="47"/>
      <c r="K184" s="46"/>
      <c r="L184" s="48"/>
      <c r="M184" s="48"/>
      <c r="N184" s="3"/>
      <c r="O184" s="3"/>
      <c r="P184" s="3"/>
      <c r="Q184" s="3"/>
    </row>
    <row r="185" customFormat="false" ht="15" hidden="false" customHeight="false" outlineLevel="0" collapsed="false">
      <c r="A185" s="52"/>
      <c r="B185" s="52"/>
      <c r="C185" s="52"/>
      <c r="D185" s="53"/>
      <c r="E185" s="52"/>
      <c r="F185" s="52"/>
      <c r="G185" s="27" t="str">
        <f aca="false">IF($E185="","",$E185*$F185)</f>
        <v/>
      </c>
      <c r="H185" s="68" t="str">
        <f aca="false">IF($G185="","",IF($G185&gt;=15,"High",IF($G185&gt;=8,"Medium","Low")))</f>
        <v/>
      </c>
      <c r="I185" s="53"/>
      <c r="J185" s="53"/>
      <c r="K185" s="52"/>
      <c r="L185" s="54"/>
      <c r="M185" s="54"/>
      <c r="N185" s="3"/>
      <c r="O185" s="3"/>
      <c r="P185" s="3"/>
      <c r="Q185" s="3"/>
    </row>
    <row r="186" customFormat="false" ht="15" hidden="false" customHeight="false" outlineLevel="0" collapsed="false">
      <c r="A186" s="46"/>
      <c r="B186" s="46"/>
      <c r="C186" s="46"/>
      <c r="D186" s="47"/>
      <c r="E186" s="46"/>
      <c r="F186" s="46"/>
      <c r="G186" s="20" t="str">
        <f aca="false">IF($E186="","",$E186*$F186)</f>
        <v/>
      </c>
      <c r="H186" s="67" t="str">
        <f aca="false">IF($G186="","",IF($G186&gt;=15,"High",IF($G186&gt;=8,"Medium","Low")))</f>
        <v/>
      </c>
      <c r="I186" s="47"/>
      <c r="J186" s="47"/>
      <c r="K186" s="46"/>
      <c r="L186" s="48"/>
      <c r="M186" s="48"/>
      <c r="N186" s="3"/>
      <c r="O186" s="3"/>
      <c r="P186" s="3"/>
      <c r="Q186" s="3"/>
    </row>
    <row r="187" customFormat="false" ht="15" hidden="false" customHeight="false" outlineLevel="0" collapsed="false">
      <c r="A187" s="52"/>
      <c r="B187" s="52"/>
      <c r="C187" s="52"/>
      <c r="D187" s="53"/>
      <c r="E187" s="52"/>
      <c r="F187" s="52"/>
      <c r="G187" s="27" t="str">
        <f aca="false">IF($E187="","",$E187*$F187)</f>
        <v/>
      </c>
      <c r="H187" s="68" t="str">
        <f aca="false">IF($G187="","",IF($G187&gt;=15,"High",IF($G187&gt;=8,"Medium","Low")))</f>
        <v/>
      </c>
      <c r="I187" s="53"/>
      <c r="J187" s="53"/>
      <c r="K187" s="52"/>
      <c r="L187" s="54"/>
      <c r="M187" s="54"/>
      <c r="N187" s="3"/>
      <c r="O187" s="3"/>
      <c r="P187" s="3"/>
      <c r="Q187" s="3"/>
    </row>
    <row r="188" customFormat="false" ht="15" hidden="false" customHeight="false" outlineLevel="0" collapsed="false">
      <c r="A188" s="46"/>
      <c r="B188" s="46"/>
      <c r="C188" s="46"/>
      <c r="D188" s="47"/>
      <c r="E188" s="46"/>
      <c r="F188" s="46"/>
      <c r="G188" s="20" t="str">
        <f aca="false">IF($E188="","",$E188*$F188)</f>
        <v/>
      </c>
      <c r="H188" s="67" t="str">
        <f aca="false">IF($G188="","",IF($G188&gt;=15,"High",IF($G188&gt;=8,"Medium","Low")))</f>
        <v/>
      </c>
      <c r="I188" s="47"/>
      <c r="J188" s="47"/>
      <c r="K188" s="46"/>
      <c r="L188" s="48"/>
      <c r="M188" s="48"/>
      <c r="N188" s="3"/>
      <c r="O188" s="3"/>
      <c r="P188" s="3"/>
      <c r="Q188" s="3"/>
    </row>
    <row r="189" customFormat="false" ht="15" hidden="false" customHeight="false" outlineLevel="0" collapsed="false">
      <c r="A189" s="52"/>
      <c r="B189" s="52"/>
      <c r="C189" s="52"/>
      <c r="D189" s="53"/>
      <c r="E189" s="52"/>
      <c r="F189" s="52"/>
      <c r="G189" s="27" t="str">
        <f aca="false">IF($E189="","",$E189*$F189)</f>
        <v/>
      </c>
      <c r="H189" s="68" t="str">
        <f aca="false">IF($G189="","",IF($G189&gt;=15,"High",IF($G189&gt;=8,"Medium","Low")))</f>
        <v/>
      </c>
      <c r="I189" s="53"/>
      <c r="J189" s="53"/>
      <c r="K189" s="52"/>
      <c r="L189" s="54"/>
      <c r="M189" s="54"/>
      <c r="N189" s="3"/>
      <c r="O189" s="3"/>
      <c r="P189" s="3"/>
      <c r="Q189" s="3"/>
    </row>
    <row r="190" customFormat="false" ht="15" hidden="false" customHeight="false" outlineLevel="0" collapsed="false">
      <c r="A190" s="46"/>
      <c r="B190" s="46"/>
      <c r="C190" s="46"/>
      <c r="D190" s="47"/>
      <c r="E190" s="46"/>
      <c r="F190" s="46"/>
      <c r="G190" s="20" t="str">
        <f aca="false">IF($E190="","",$E190*$F190)</f>
        <v/>
      </c>
      <c r="H190" s="67" t="str">
        <f aca="false">IF($G190="","",IF($G190&gt;=15,"High",IF($G190&gt;=8,"Medium","Low")))</f>
        <v/>
      </c>
      <c r="I190" s="47"/>
      <c r="J190" s="47"/>
      <c r="K190" s="46"/>
      <c r="L190" s="48"/>
      <c r="M190" s="48"/>
      <c r="N190" s="3"/>
      <c r="O190" s="3"/>
      <c r="P190" s="3"/>
      <c r="Q190" s="3"/>
    </row>
    <row r="191" customFormat="false" ht="15" hidden="false" customHeight="false" outlineLevel="0" collapsed="false">
      <c r="A191" s="52"/>
      <c r="B191" s="52"/>
      <c r="C191" s="52"/>
      <c r="D191" s="53"/>
      <c r="E191" s="52"/>
      <c r="F191" s="52"/>
      <c r="G191" s="27" t="str">
        <f aca="false">IF($E191="","",$E191*$F191)</f>
        <v/>
      </c>
      <c r="H191" s="68" t="str">
        <f aca="false">IF($G191="","",IF($G191&gt;=15,"High",IF($G191&gt;=8,"Medium","Low")))</f>
        <v/>
      </c>
      <c r="I191" s="53"/>
      <c r="J191" s="53"/>
      <c r="K191" s="52"/>
      <c r="L191" s="54"/>
      <c r="M191" s="54"/>
      <c r="N191" s="3"/>
      <c r="O191" s="3"/>
      <c r="P191" s="3"/>
      <c r="Q191" s="3"/>
    </row>
    <row r="192" customFormat="false" ht="15" hidden="false" customHeight="false" outlineLevel="0" collapsed="false">
      <c r="A192" s="46"/>
      <c r="B192" s="46"/>
      <c r="C192" s="46"/>
      <c r="D192" s="47"/>
      <c r="E192" s="46"/>
      <c r="F192" s="46"/>
      <c r="G192" s="20" t="str">
        <f aca="false">IF($E192="","",$E192*$F192)</f>
        <v/>
      </c>
      <c r="H192" s="67" t="str">
        <f aca="false">IF($G192="","",IF($G192&gt;=15,"High",IF($G192&gt;=8,"Medium","Low")))</f>
        <v/>
      </c>
      <c r="I192" s="47"/>
      <c r="J192" s="47"/>
      <c r="K192" s="46"/>
      <c r="L192" s="48"/>
      <c r="M192" s="48"/>
      <c r="N192" s="3"/>
      <c r="O192" s="3"/>
      <c r="P192" s="3"/>
      <c r="Q192" s="3"/>
    </row>
    <row r="193" customFormat="false" ht="15" hidden="false" customHeight="false" outlineLevel="0" collapsed="false">
      <c r="A193" s="52"/>
      <c r="B193" s="52"/>
      <c r="C193" s="52"/>
      <c r="D193" s="53"/>
      <c r="E193" s="52"/>
      <c r="F193" s="52"/>
      <c r="G193" s="27" t="str">
        <f aca="false">IF($E193="","",$E193*$F193)</f>
        <v/>
      </c>
      <c r="H193" s="68" t="str">
        <f aca="false">IF($G193="","",IF($G193&gt;=15,"High",IF($G193&gt;=8,"Medium","Low")))</f>
        <v/>
      </c>
      <c r="I193" s="53"/>
      <c r="J193" s="53"/>
      <c r="K193" s="52"/>
      <c r="L193" s="54"/>
      <c r="M193" s="54"/>
      <c r="N193" s="3"/>
      <c r="O193" s="3"/>
      <c r="P193" s="3"/>
      <c r="Q193" s="3"/>
    </row>
    <row r="194" customFormat="false" ht="15" hidden="false" customHeight="false" outlineLevel="0" collapsed="false">
      <c r="A194" s="46"/>
      <c r="B194" s="46"/>
      <c r="C194" s="46"/>
      <c r="D194" s="47"/>
      <c r="E194" s="46"/>
      <c r="F194" s="46"/>
      <c r="G194" s="20" t="str">
        <f aca="false">IF($E194="","",$E194*$F194)</f>
        <v/>
      </c>
      <c r="H194" s="67" t="str">
        <f aca="false">IF($G194="","",IF($G194&gt;=15,"High",IF($G194&gt;=8,"Medium","Low")))</f>
        <v/>
      </c>
      <c r="I194" s="47"/>
      <c r="J194" s="47"/>
      <c r="K194" s="46"/>
      <c r="L194" s="48"/>
      <c r="M194" s="48"/>
      <c r="N194" s="3"/>
      <c r="O194" s="3"/>
      <c r="P194" s="3"/>
      <c r="Q194" s="3"/>
    </row>
    <row r="195" customFormat="false" ht="15" hidden="false" customHeight="false" outlineLevel="0" collapsed="false">
      <c r="A195" s="52"/>
      <c r="B195" s="52"/>
      <c r="C195" s="52"/>
      <c r="D195" s="53"/>
      <c r="E195" s="52"/>
      <c r="F195" s="52"/>
      <c r="G195" s="27" t="str">
        <f aca="false">IF($E195="","",$E195*$F195)</f>
        <v/>
      </c>
      <c r="H195" s="68" t="str">
        <f aca="false">IF($G195="","",IF($G195&gt;=15,"High",IF($G195&gt;=8,"Medium","Low")))</f>
        <v/>
      </c>
      <c r="I195" s="53"/>
      <c r="J195" s="53"/>
      <c r="K195" s="52"/>
      <c r="L195" s="54"/>
      <c r="M195" s="54"/>
      <c r="N195" s="3"/>
      <c r="O195" s="3"/>
      <c r="P195" s="3"/>
      <c r="Q195" s="3"/>
    </row>
    <row r="196" customFormat="false" ht="15" hidden="false" customHeight="false" outlineLevel="0" collapsed="false">
      <c r="A196" s="46"/>
      <c r="B196" s="46"/>
      <c r="C196" s="46"/>
      <c r="D196" s="47"/>
      <c r="E196" s="46"/>
      <c r="F196" s="46"/>
      <c r="G196" s="20" t="str">
        <f aca="false">IF($E196="","",$E196*$F196)</f>
        <v/>
      </c>
      <c r="H196" s="67" t="str">
        <f aca="false">IF($G196="","",IF($G196&gt;=15,"High",IF($G196&gt;=8,"Medium","Low")))</f>
        <v/>
      </c>
      <c r="I196" s="47"/>
      <c r="J196" s="47"/>
      <c r="K196" s="46"/>
      <c r="L196" s="48"/>
      <c r="M196" s="48"/>
      <c r="N196" s="3"/>
      <c r="O196" s="3"/>
      <c r="P196" s="3"/>
      <c r="Q196" s="3"/>
    </row>
    <row r="197" customFormat="false" ht="15" hidden="false" customHeight="false" outlineLevel="0" collapsed="false">
      <c r="A197" s="52"/>
      <c r="B197" s="52"/>
      <c r="C197" s="52"/>
      <c r="D197" s="53"/>
      <c r="E197" s="52"/>
      <c r="F197" s="52"/>
      <c r="G197" s="27" t="str">
        <f aca="false">IF($E197="","",$E197*$F197)</f>
        <v/>
      </c>
      <c r="H197" s="68" t="str">
        <f aca="false">IF($G197="","",IF($G197&gt;=15,"High",IF($G197&gt;=8,"Medium","Low")))</f>
        <v/>
      </c>
      <c r="I197" s="53"/>
      <c r="J197" s="53"/>
      <c r="K197" s="52"/>
      <c r="L197" s="54"/>
      <c r="M197" s="54"/>
      <c r="N197" s="3"/>
      <c r="O197" s="3"/>
      <c r="P197" s="3"/>
      <c r="Q197" s="3"/>
    </row>
    <row r="198" customFormat="false" ht="15" hidden="false" customHeight="false" outlineLevel="0" collapsed="false">
      <c r="A198" s="46"/>
      <c r="B198" s="46"/>
      <c r="C198" s="46"/>
      <c r="D198" s="47"/>
      <c r="E198" s="46"/>
      <c r="F198" s="46"/>
      <c r="G198" s="20" t="str">
        <f aca="false">IF($E198="","",$E198*$F198)</f>
        <v/>
      </c>
      <c r="H198" s="67" t="str">
        <f aca="false">IF($G198="","",IF($G198&gt;=15,"High",IF($G198&gt;=8,"Medium","Low")))</f>
        <v/>
      </c>
      <c r="I198" s="47"/>
      <c r="J198" s="47"/>
      <c r="K198" s="46"/>
      <c r="L198" s="48"/>
      <c r="M198" s="48"/>
      <c r="N198" s="3"/>
      <c r="O198" s="3"/>
      <c r="P198" s="3"/>
      <c r="Q198" s="3"/>
    </row>
    <row r="199" customFormat="false" ht="15" hidden="false" customHeight="false" outlineLevel="0" collapsed="false">
      <c r="A199" s="52"/>
      <c r="B199" s="52"/>
      <c r="C199" s="52"/>
      <c r="D199" s="53"/>
      <c r="E199" s="52"/>
      <c r="F199" s="52"/>
      <c r="G199" s="27" t="str">
        <f aca="false">IF($E199="","",$E199*$F199)</f>
        <v/>
      </c>
      <c r="H199" s="68" t="str">
        <f aca="false">IF($G199="","",IF($G199&gt;=15,"High",IF($G199&gt;=8,"Medium","Low")))</f>
        <v/>
      </c>
      <c r="I199" s="53"/>
      <c r="J199" s="53"/>
      <c r="K199" s="52"/>
      <c r="L199" s="54"/>
      <c r="M199" s="54"/>
      <c r="N199" s="3"/>
      <c r="O199" s="3"/>
      <c r="P199" s="3"/>
      <c r="Q199" s="3"/>
    </row>
    <row r="200" customFormat="false" ht="15" hidden="false" customHeight="false" outlineLevel="0" collapsed="false">
      <c r="A200" s="46"/>
      <c r="B200" s="46"/>
      <c r="C200" s="46"/>
      <c r="D200" s="47"/>
      <c r="E200" s="46"/>
      <c r="F200" s="46"/>
      <c r="G200" s="20" t="str">
        <f aca="false">IF($E200="","",$E200*$F200)</f>
        <v/>
      </c>
      <c r="H200" s="67" t="str">
        <f aca="false">IF($G200="","",IF($G200&gt;=15,"High",IF($G200&gt;=8,"Medium","Low")))</f>
        <v/>
      </c>
      <c r="I200" s="47"/>
      <c r="J200" s="47"/>
      <c r="K200" s="46"/>
      <c r="L200" s="48"/>
      <c r="M200" s="48"/>
      <c r="N200" s="3"/>
      <c r="O200" s="3"/>
      <c r="P200" s="3"/>
      <c r="Q200" s="3"/>
    </row>
    <row r="201" customFormat="false" ht="15" hidden="false" customHeight="false" outlineLevel="0" collapsed="false">
      <c r="A201" s="52"/>
      <c r="B201" s="52"/>
      <c r="C201" s="52"/>
      <c r="D201" s="53"/>
      <c r="E201" s="52"/>
      <c r="F201" s="52"/>
      <c r="G201" s="27" t="str">
        <f aca="false">IF($E201="","",$E201*$F201)</f>
        <v/>
      </c>
      <c r="H201" s="68" t="str">
        <f aca="false">IF($G201="","",IF($G201&gt;=15,"High",IF($G201&gt;=8,"Medium","Low")))</f>
        <v/>
      </c>
      <c r="I201" s="53"/>
      <c r="J201" s="53"/>
      <c r="K201" s="52"/>
      <c r="L201" s="54"/>
      <c r="M201" s="54"/>
      <c r="N201" s="3"/>
      <c r="O201" s="3"/>
      <c r="P201" s="3"/>
      <c r="Q201" s="3"/>
    </row>
    <row r="202" customFormat="false" ht="15" hidden="false" customHeight="false" outlineLevel="0" collapsed="false">
      <c r="A202" s="46"/>
      <c r="B202" s="46"/>
      <c r="C202" s="46"/>
      <c r="D202" s="47"/>
      <c r="E202" s="46"/>
      <c r="F202" s="46"/>
      <c r="G202" s="20" t="str">
        <f aca="false">IF($E202="","",$E202*$F202)</f>
        <v/>
      </c>
      <c r="H202" s="67" t="str">
        <f aca="false">IF($G202="","",IF($G202&gt;=15,"High",IF($G202&gt;=8,"Medium","Low")))</f>
        <v/>
      </c>
      <c r="I202" s="47"/>
      <c r="J202" s="47"/>
      <c r="K202" s="46"/>
      <c r="L202" s="48"/>
      <c r="M202" s="48"/>
      <c r="N202" s="3"/>
      <c r="O202" s="3"/>
      <c r="P202" s="3"/>
      <c r="Q202" s="3"/>
    </row>
    <row r="203" customFormat="false" ht="15" hidden="false" customHeight="false" outlineLevel="0" collapsed="false">
      <c r="A203" s="52"/>
      <c r="B203" s="52"/>
      <c r="C203" s="52"/>
      <c r="D203" s="53"/>
      <c r="E203" s="52"/>
      <c r="F203" s="52"/>
      <c r="G203" s="27" t="str">
        <f aca="false">IF($E203="","",$E203*$F203)</f>
        <v/>
      </c>
      <c r="H203" s="68" t="str">
        <f aca="false">IF($G203="","",IF($G203&gt;=15,"High",IF($G203&gt;=8,"Medium","Low")))</f>
        <v/>
      </c>
      <c r="I203" s="53"/>
      <c r="J203" s="53"/>
      <c r="K203" s="52"/>
      <c r="L203" s="54"/>
      <c r="M203" s="54"/>
      <c r="N203" s="3"/>
      <c r="O203" s="3"/>
      <c r="P203" s="3"/>
      <c r="Q203" s="3"/>
    </row>
  </sheetData>
  <autoFilter ref="A3:M203"/>
  <mergeCells count="2">
    <mergeCell ref="A1:M1"/>
    <mergeCell ref="A2:M2"/>
  </mergeCells>
  <conditionalFormatting sqref="H4:H203">
    <cfRule type="cellIs" priority="2" operator="equal" aboveAverage="0" equalAverage="0" bottom="0" percent="0" rank="0" text="" dxfId="0">
      <formula>"High"</formula>
    </cfRule>
    <cfRule type="cellIs" priority="3" operator="equal" aboveAverage="0" equalAverage="0" bottom="0" percent="0" rank="0" text="" dxfId="1">
      <formula>"Medium"</formula>
    </cfRule>
    <cfRule type="cellIs" priority="4" operator="equal" aboveAverage="0" equalAverage="0" bottom="0" percent="0" rank="0" text="" dxfId="2">
      <formula>"Low"</formula>
    </cfRule>
  </conditionalFormatting>
  <dataValidations count="4">
    <dataValidation allowBlank="true" errorStyle="stop" operator="between" showDropDown="false" showErrorMessage="false" showInputMessage="false" sqref="B4:B203" type="list">
      <formula1>'TOR Register'!$A$4:$A$43</formula1>
      <formula2>0</formula2>
    </dataValidation>
    <dataValidation allowBlank="true" error="Pick a value from the list on the Lists tab." errorStyle="stop" errorTitle="Not a valid entry" operator="between" showDropDown="false" showErrorMessage="true" showInputMessage="false" sqref="K4:K203" type="list">
      <formula1>Lists!$C$4:$C$6</formula1>
      <formula2>0</formula2>
    </dataValidation>
    <dataValidation allowBlank="true" error="Pick a value from the list on the Lists tab." errorStyle="stop" errorTitle="Not a valid entry" operator="between" showDropDown="false" showErrorMessage="true" showInputMessage="false" sqref="C4:C203" type="list">
      <formula1>Lists!$D$4:$D$5</formula1>
      <formula2>0</formula2>
    </dataValidation>
    <dataValidation allowBlank="true" error="Pick a value from the list on the Lists tab." errorStyle="stop" errorTitle="Not a valid entry" operator="between" showDropDown="false" showErrorMessage="true" showInputMessage="false" sqref="E4:F203" type="list">
      <formula1>Lists!$E$4:$E$8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T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15" topLeftCell="D16" activePane="bottomRight" state="frozen"/>
      <selection pane="topLeft" activeCell="A1" activeCellId="0" sqref="A1"/>
      <selection pane="topRight" activeCell="D1" activeCellId="0" sqref="D1"/>
      <selection pane="bottomLeft" activeCell="A16" activeCellId="0" sqref="A1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5"/>
    <col collapsed="false" customWidth="true" hidden="false" outlineLevel="0" max="4" min="3" style="0" width="14"/>
    <col collapsed="false" customWidth="true" hidden="false" outlineLevel="0" max="5" min="5" style="0" width="15"/>
    <col collapsed="false" customWidth="true" hidden="false" outlineLevel="0" max="6" min="6" style="0" width="12"/>
    <col collapsed="false" customWidth="true" hidden="false" outlineLevel="0" max="7" min="7" style="0" width="15"/>
    <col collapsed="false" customWidth="true" hidden="false" outlineLevel="0" max="9" min="8" style="0" width="11"/>
    <col collapsed="false" customWidth="true" hidden="false" outlineLevel="0" max="10" min="10" style="0" width="13"/>
    <col collapsed="false" customWidth="true" hidden="false" outlineLevel="0" max="12" min="11" style="0" width="11"/>
    <col collapsed="false" customWidth="true" hidden="false" outlineLevel="0" max="13" min="13" style="0" width="14"/>
    <col collapsed="false" customWidth="true" hidden="false" outlineLevel="0" max="14" min="14" style="0" width="13"/>
    <col collapsed="false" customWidth="true" hidden="false" outlineLevel="0" max="18" min="15" style="0" width="10"/>
    <col collapsed="false" customWidth="true" hidden="false" outlineLevel="0" max="19" min="19" style="0" width="13"/>
    <col collapsed="false" customWidth="true" hidden="false" outlineLevel="0" max="20" min="20" style="0" width="56"/>
  </cols>
  <sheetData>
    <row r="1" customFormat="false" ht="25.5" hidden="false" customHeight="true" outlineLevel="0" collapsed="false">
      <c r="A1" s="1" t="s">
        <v>445</v>
      </c>
      <c r="B1" s="1"/>
      <c r="C1" s="1"/>
      <c r="D1" s="1"/>
      <c r="E1" s="1"/>
      <c r="F1" s="1"/>
      <c r="G1" s="1"/>
      <c r="H1" s="1"/>
      <c r="I1" s="1"/>
      <c r="J1" s="1"/>
      <c r="K1" s="1"/>
      <c r="L1" s="1"/>
      <c r="M1" s="1"/>
      <c r="N1" s="1"/>
      <c r="O1" s="1"/>
      <c r="P1" s="1"/>
      <c r="Q1" s="1"/>
      <c r="R1" s="1"/>
      <c r="S1" s="1"/>
      <c r="T1" s="1"/>
    </row>
    <row r="2" customFormat="false" ht="15" hidden="false" customHeight="false" outlineLevel="0" collapsed="false">
      <c r="A2" s="2" t="s">
        <v>446</v>
      </c>
      <c r="B2" s="2"/>
      <c r="C2" s="2"/>
      <c r="D2" s="2"/>
      <c r="E2" s="2"/>
      <c r="F2" s="2"/>
      <c r="G2" s="2"/>
      <c r="H2" s="2"/>
      <c r="I2" s="2"/>
      <c r="J2" s="2"/>
      <c r="K2" s="2"/>
      <c r="L2" s="2"/>
      <c r="M2" s="2"/>
      <c r="N2" s="2"/>
      <c r="O2" s="2"/>
      <c r="P2" s="2"/>
      <c r="Q2" s="2"/>
      <c r="R2" s="2"/>
      <c r="S2" s="2"/>
      <c r="T2" s="2"/>
    </row>
    <row r="3" customFormat="false" ht="15" hidden="false" customHeight="false" outlineLevel="0" collapsed="false">
      <c r="A3" s="3"/>
      <c r="B3" s="69" t="s">
        <v>86</v>
      </c>
      <c r="C3" s="70" t="s">
        <v>7</v>
      </c>
      <c r="D3" s="71" t="s">
        <v>447</v>
      </c>
      <c r="E3" s="3"/>
      <c r="F3" s="3"/>
      <c r="G3" s="3"/>
      <c r="H3" s="3"/>
      <c r="I3" s="3"/>
      <c r="J3" s="3"/>
      <c r="K3" s="3"/>
      <c r="L3" s="3"/>
      <c r="M3" s="3"/>
      <c r="N3" s="3"/>
      <c r="O3" s="3"/>
      <c r="P3" s="3"/>
      <c r="Q3" s="3"/>
      <c r="R3" s="3"/>
      <c r="S3" s="3"/>
      <c r="T3" s="3"/>
    </row>
    <row r="4" customFormat="false" ht="15" hidden="false" customHeight="false" outlineLevel="0" collapsed="false">
      <c r="A4" s="3"/>
      <c r="B4" s="69" t="s">
        <v>448</v>
      </c>
      <c r="C4" s="72" t="n">
        <v>46235</v>
      </c>
      <c r="D4" s="71" t="s">
        <v>449</v>
      </c>
      <c r="E4" s="3"/>
      <c r="F4" s="3"/>
      <c r="G4" s="3"/>
      <c r="H4" s="3"/>
      <c r="I4" s="3"/>
      <c r="J4" s="3"/>
      <c r="K4" s="3"/>
      <c r="L4" s="3"/>
      <c r="M4" s="3"/>
      <c r="N4" s="3"/>
      <c r="O4" s="3"/>
      <c r="P4" s="3"/>
      <c r="Q4" s="3"/>
      <c r="R4" s="3"/>
      <c r="S4" s="3"/>
      <c r="T4" s="3"/>
    </row>
    <row r="5" customFormat="false" ht="15" hidden="false" customHeight="false" outlineLevel="0" collapsed="false">
      <c r="A5" s="3"/>
      <c r="B5" s="3"/>
      <c r="C5" s="3"/>
      <c r="D5" s="3"/>
      <c r="E5" s="3"/>
      <c r="F5" s="3"/>
      <c r="G5" s="3"/>
      <c r="H5" s="3"/>
      <c r="I5" s="3"/>
      <c r="J5" s="3"/>
      <c r="K5" s="3"/>
      <c r="L5" s="3"/>
      <c r="M5" s="3"/>
      <c r="N5" s="3"/>
      <c r="O5" s="3"/>
      <c r="P5" s="3"/>
      <c r="Q5" s="3"/>
      <c r="R5" s="3"/>
      <c r="S5" s="3"/>
      <c r="T5" s="3"/>
    </row>
    <row r="6" customFormat="false" ht="15" hidden="false" customHeight="false" outlineLevel="0" collapsed="false">
      <c r="A6" s="3"/>
      <c r="B6" s="69" t="s">
        <v>450</v>
      </c>
      <c r="C6" s="3"/>
      <c r="D6" s="3"/>
      <c r="E6" s="3"/>
      <c r="F6" s="3"/>
      <c r="G6" s="69" t="s">
        <v>451</v>
      </c>
      <c r="H6" s="3"/>
      <c r="I6" s="3"/>
      <c r="J6" s="3"/>
      <c r="K6" s="3"/>
      <c r="L6" s="3"/>
      <c r="M6" s="3"/>
      <c r="N6" s="3"/>
      <c r="O6" s="3"/>
      <c r="P6" s="3"/>
      <c r="Q6" s="3"/>
      <c r="R6" s="3"/>
      <c r="S6" s="3"/>
      <c r="T6" s="3"/>
    </row>
    <row r="7" customFormat="false" ht="24" hidden="false" customHeight="true" outlineLevel="0" collapsed="false">
      <c r="A7" s="3"/>
      <c r="B7" s="73" t="s">
        <v>452</v>
      </c>
      <c r="C7" s="74" t="n">
        <v>0.9</v>
      </c>
      <c r="D7" s="17" t="s">
        <v>453</v>
      </c>
      <c r="E7" s="3"/>
      <c r="F7" s="3"/>
      <c r="G7" s="15" t="s">
        <v>454</v>
      </c>
      <c r="H7" s="15"/>
      <c r="I7" s="15" t="s">
        <v>455</v>
      </c>
      <c r="J7" s="15"/>
      <c r="K7" s="15" t="s">
        <v>456</v>
      </c>
      <c r="L7" s="15"/>
      <c r="M7" s="15" t="s">
        <v>53</v>
      </c>
      <c r="N7" s="15"/>
      <c r="O7" s="15" t="s">
        <v>51</v>
      </c>
      <c r="P7" s="15"/>
      <c r="Q7" s="15" t="s">
        <v>49</v>
      </c>
      <c r="R7" s="15"/>
      <c r="S7" s="3"/>
      <c r="T7" s="3"/>
    </row>
    <row r="8" customFormat="false" ht="21.75" hidden="false" customHeight="true" outlineLevel="0" collapsed="false">
      <c r="A8" s="3"/>
      <c r="B8" s="73" t="s">
        <v>457</v>
      </c>
      <c r="C8" s="74" t="n">
        <v>0.75</v>
      </c>
      <c r="D8" s="17" t="s">
        <v>458</v>
      </c>
      <c r="E8" s="3"/>
      <c r="F8" s="3"/>
      <c r="G8" s="75" t="n">
        <f aca="false">IF($C$3="Daily",COUNTIFS('Daily Log'!$A$4:$A$1503,$C$4),COUNTIFS('Monthly Log'!$A$4:$A$303,$C$4))</f>
        <v>5</v>
      </c>
      <c r="H8" s="75"/>
      <c r="I8" s="76" t="n">
        <f aca="false">SUMIF($A$16:$A$55,"&lt;&gt;",$D$16:$D$55)</f>
        <v>2545000</v>
      </c>
      <c r="J8" s="76"/>
      <c r="K8" s="76" t="n">
        <f aca="false">SUM($E$16:$E$55)</f>
        <v>2092000</v>
      </c>
      <c r="L8" s="76"/>
      <c r="M8" s="77" t="n">
        <f aca="false">IF(SUM($D$16:$D$55)=0,"",SUM($E$16:$E$55)/SUM($D$16:$D$55))</f>
        <v>0.822003929273085</v>
      </c>
      <c r="N8" s="77"/>
      <c r="O8" s="77" t="n">
        <f aca="false">IF(SUM($H$16:$H$55)=0,"",SUM($I$16:$I$55)/SUM($H$16:$H$55))</f>
        <v>0.833333333333333</v>
      </c>
      <c r="P8" s="77"/>
      <c r="Q8" s="77" t="n">
        <f aca="false">IF(SUM($K$16:$K$55)=0,"",SUM($L$16:$L$55)/SUM($K$16:$K$55))</f>
        <v>0.8125</v>
      </c>
      <c r="R8" s="77"/>
      <c r="S8" s="3"/>
      <c r="T8" s="3"/>
    </row>
    <row r="9" customFormat="false" ht="15" hidden="false" customHeight="false" outlineLevel="0" collapsed="false">
      <c r="A9" s="3"/>
      <c r="B9" s="73" t="s">
        <v>459</v>
      </c>
      <c r="C9" s="74" t="n">
        <v>0.95</v>
      </c>
      <c r="D9" s="17" t="s">
        <v>460</v>
      </c>
      <c r="E9" s="3"/>
      <c r="F9" s="3"/>
      <c r="G9" s="3"/>
      <c r="H9" s="3"/>
      <c r="I9" s="3"/>
      <c r="J9" s="3"/>
      <c r="K9" s="3"/>
      <c r="L9" s="3"/>
      <c r="M9" s="3"/>
      <c r="N9" s="3"/>
      <c r="O9" s="3"/>
      <c r="P9" s="3"/>
      <c r="Q9" s="3"/>
      <c r="R9" s="3"/>
      <c r="S9" s="3"/>
      <c r="T9" s="3"/>
    </row>
    <row r="10" customFormat="false" ht="24" hidden="false" customHeight="true" outlineLevel="0" collapsed="false">
      <c r="A10" s="3"/>
      <c r="B10" s="73" t="s">
        <v>461</v>
      </c>
      <c r="C10" s="74" t="n">
        <v>1</v>
      </c>
      <c r="D10" s="17" t="s">
        <v>462</v>
      </c>
      <c r="E10" s="3"/>
      <c r="F10" s="3"/>
      <c r="G10" s="15" t="s">
        <v>463</v>
      </c>
      <c r="H10" s="15"/>
      <c r="I10" s="15" t="s">
        <v>464</v>
      </c>
      <c r="J10" s="15"/>
      <c r="K10" s="15" t="s">
        <v>59</v>
      </c>
      <c r="L10" s="15"/>
      <c r="M10" s="15" t="s">
        <v>465</v>
      </c>
      <c r="N10" s="15"/>
      <c r="O10" s="15" t="s">
        <v>466</v>
      </c>
      <c r="P10" s="15"/>
      <c r="Q10" s="15" t="s">
        <v>467</v>
      </c>
      <c r="R10" s="15"/>
      <c r="S10" s="3"/>
      <c r="T10" s="3"/>
    </row>
    <row r="11" customFormat="false" ht="21.75" hidden="false" customHeight="true" outlineLevel="0" collapsed="false">
      <c r="A11" s="3"/>
      <c r="B11" s="73" t="s">
        <v>468</v>
      </c>
      <c r="C11" s="78" t="n">
        <v>2</v>
      </c>
      <c r="D11" s="17" t="s">
        <v>469</v>
      </c>
      <c r="E11" s="3"/>
      <c r="F11" s="3"/>
      <c r="G11" s="75" t="n">
        <f aca="false">SUM($O$16:$O$55)</f>
        <v>22</v>
      </c>
      <c r="H11" s="75"/>
      <c r="I11" s="75" t="n">
        <f aca="false">SUM($P$16:$P$55)</f>
        <v>4</v>
      </c>
      <c r="J11" s="75"/>
      <c r="K11" s="75" t="n">
        <f aca="false">SUM($Q$16:$Q$55)</f>
        <v>7</v>
      </c>
      <c r="L11" s="75"/>
      <c r="M11" s="75" t="n">
        <f aca="false">COUNTIF($S$16:$S$55,"Red")</f>
        <v>1</v>
      </c>
      <c r="N11" s="75"/>
      <c r="O11" s="75" t="n">
        <f aca="false">COUNTIF($S$16:$S$55,"Amber")</f>
        <v>2</v>
      </c>
      <c r="P11" s="75"/>
      <c r="Q11" s="75" t="n">
        <f aca="false">COUNTIF($S$16:$S$55,"Green")</f>
        <v>2</v>
      </c>
      <c r="R11" s="75"/>
      <c r="S11" s="3"/>
      <c r="T11" s="3"/>
    </row>
    <row r="12" customFormat="false" ht="15" hidden="false" customHeight="false" outlineLevel="0" collapsed="false">
      <c r="A12" s="3"/>
      <c r="B12" s="3"/>
      <c r="C12" s="3"/>
      <c r="D12" s="3"/>
      <c r="E12" s="3"/>
      <c r="F12" s="3"/>
      <c r="G12" s="3"/>
      <c r="H12" s="3"/>
      <c r="I12" s="3"/>
      <c r="J12" s="3"/>
      <c r="K12" s="3"/>
      <c r="L12" s="3"/>
      <c r="M12" s="3"/>
      <c r="N12" s="3"/>
      <c r="O12" s="3"/>
      <c r="P12" s="3"/>
      <c r="Q12" s="3"/>
      <c r="R12" s="3"/>
      <c r="S12" s="3"/>
      <c r="T12" s="3"/>
    </row>
    <row r="13" customFormat="false" ht="15" hidden="false" customHeight="false" outlineLevel="0" collapsed="false">
      <c r="A13" s="3"/>
      <c r="B13" s="3"/>
      <c r="C13" s="3"/>
      <c r="D13" s="3"/>
      <c r="E13" s="3"/>
      <c r="F13" s="3"/>
      <c r="G13" s="3"/>
      <c r="H13" s="3"/>
      <c r="I13" s="3"/>
      <c r="J13" s="3"/>
      <c r="K13" s="3"/>
      <c r="L13" s="3"/>
      <c r="M13" s="3"/>
      <c r="N13" s="3"/>
      <c r="O13" s="3"/>
      <c r="P13" s="3"/>
      <c r="Q13" s="3"/>
      <c r="R13" s="3"/>
      <c r="S13" s="3"/>
      <c r="T13" s="3"/>
    </row>
    <row r="14" customFormat="false" ht="15" hidden="false" customHeight="false" outlineLevel="0" collapsed="false">
      <c r="A14" s="79" t="s">
        <v>470</v>
      </c>
      <c r="B14" s="3"/>
      <c r="C14" s="3"/>
      <c r="D14" s="3"/>
      <c r="E14" s="3"/>
      <c r="F14" s="3"/>
      <c r="G14" s="3"/>
      <c r="H14" s="3"/>
      <c r="I14" s="3"/>
      <c r="J14" s="3"/>
      <c r="K14" s="3"/>
      <c r="L14" s="3"/>
      <c r="M14" s="3"/>
      <c r="N14" s="3"/>
      <c r="O14" s="3"/>
      <c r="P14" s="3"/>
      <c r="Q14" s="3"/>
      <c r="R14" s="3"/>
      <c r="S14" s="3"/>
      <c r="T14" s="3"/>
    </row>
    <row r="15" customFormat="false" ht="31.5" hidden="false" customHeight="true" outlineLevel="0" collapsed="false">
      <c r="A15" s="45" t="s">
        <v>129</v>
      </c>
      <c r="B15" s="45" t="s">
        <v>130</v>
      </c>
      <c r="C15" s="45" t="s">
        <v>471</v>
      </c>
      <c r="D15" s="45" t="s">
        <v>472</v>
      </c>
      <c r="E15" s="45" t="s">
        <v>473</v>
      </c>
      <c r="F15" s="45" t="s">
        <v>474</v>
      </c>
      <c r="G15" s="45" t="s">
        <v>475</v>
      </c>
      <c r="H15" s="45" t="s">
        <v>476</v>
      </c>
      <c r="I15" s="45" t="s">
        <v>477</v>
      </c>
      <c r="J15" s="45" t="s">
        <v>478</v>
      </c>
      <c r="K15" s="45" t="s">
        <v>479</v>
      </c>
      <c r="L15" s="45" t="s">
        <v>480</v>
      </c>
      <c r="M15" s="45" t="s">
        <v>481</v>
      </c>
      <c r="N15" s="45" t="s">
        <v>482</v>
      </c>
      <c r="O15" s="45" t="s">
        <v>208</v>
      </c>
      <c r="P15" s="45" t="s">
        <v>209</v>
      </c>
      <c r="Q15" s="45" t="s">
        <v>210</v>
      </c>
      <c r="R15" s="45" t="s">
        <v>195</v>
      </c>
      <c r="S15" s="45" t="s">
        <v>61</v>
      </c>
      <c r="T15" s="45" t="s">
        <v>483</v>
      </c>
    </row>
    <row r="16" customFormat="false" ht="25.5" hidden="false" customHeight="true" outlineLevel="0" collapsed="false">
      <c r="A16" s="80" t="str">
        <f aca="false">IF('TOR Register'!$A4="","",'TOR Register'!$A4)</f>
        <v>P-001</v>
      </c>
      <c r="B16" s="18" t="str">
        <f aca="false">IFERROR(INDEX('TOR Register'!$B$4:$B$43,MATCH($A16,'TOR Register'!$A$4:$A$43,0)),"")</f>
        <v>Client Portal Rebuild</v>
      </c>
      <c r="C16" s="18" t="str">
        <f aca="false">IFERROR(INDEX('TOR Register'!$E$4:$E$43,MATCH($A16,'TOR Register'!$A$4:$A$43,0)),"")</f>
        <v>R. Patel</v>
      </c>
      <c r="D16" s="81" t="n">
        <f aca="false">IFERROR(INDEX('TOR Register'!$I$4:$I$43,MATCH($A16,'TOR Register'!$A$4:$A$43,0)),"")</f>
        <v>500000</v>
      </c>
      <c r="E16" s="81" t="n">
        <f aca="false">IF($C$3="Daily",SUMIFS('Daily Log'!$G$4:$G$1503,'Daily Log'!$A$4:$A$1503,$C$4,'Daily Log'!$B$4:$B$1503,$A16),SUMIFS('Monthly Log'!$G$4:$G$303,'Monthly Log'!$A$4:$A$303,$C$4,'Monthly Log'!$B$4:$B$303,$A16))</f>
        <v>412000</v>
      </c>
      <c r="F16" s="22" t="n">
        <f aca="false">IF(N($D16)=0,"",$E16/$D16)</f>
        <v>0.824</v>
      </c>
      <c r="G16" s="21" t="n">
        <f aca="false">IF($A16="","",$D16-$E16)</f>
        <v>88000</v>
      </c>
      <c r="H16" s="82" t="n">
        <f aca="false">IF($C$3="Daily",SUMIFS('Daily Log'!$C$4:$C$1503,'Daily Log'!$A$4:$A$1503,$C$4,'Daily Log'!$B$4:$B$1503,$A16),SUMIFS('Monthly Log'!$C$4:$C$303,'Monthly Log'!$A$4:$A$303,$C$4,'Monthly Log'!$B$4:$B$303,$A16))</f>
        <v>9</v>
      </c>
      <c r="I16" s="82" t="n">
        <f aca="false">IF($C$3="Daily",SUMIFS('Daily Log'!$D$4:$D$1503,'Daily Log'!$A$4:$A$1503,$C$4,'Daily Log'!$B$4:$B$1503,$A16),SUMIFS('Monthly Log'!$D$4:$D$303,'Monthly Log'!$A$4:$A$303,$C$4,'Monthly Log'!$B$4:$B$303,$A16))</f>
        <v>7</v>
      </c>
      <c r="J16" s="83" t="n">
        <f aca="false">IF($H16=0,"",$I16/$H16)</f>
        <v>0.777777777777778</v>
      </c>
      <c r="K16" s="82" t="n">
        <f aca="false">IF($C$3="Daily",SUMIFS('Daily Log'!$E$4:$E$1503,'Daily Log'!$A$4:$A$1503,$C$4,'Daily Log'!$B$4:$B$1503,$A16),SUMIFS('Monthly Log'!$E$4:$E$303,'Monthly Log'!$A$4:$A$303,$C$4,'Monthly Log'!$B$4:$B$303,$A16))</f>
        <v>11</v>
      </c>
      <c r="L16" s="82" t="n">
        <f aca="false">IF($C$3="Daily",SUMIFS('Daily Log'!$F$4:$F$1503,'Daily Log'!$A$4:$A$1503,$C$4,'Daily Log'!$B$4:$B$1503,$A16),SUMIFS('Monthly Log'!$F$4:$F$303,'Monthly Log'!$A$4:$A$303,$C$4,'Monthly Log'!$B$4:$B$303,$A16))</f>
        <v>9</v>
      </c>
      <c r="M16" s="83" t="n">
        <f aca="false">IF($K16=0,"",$L16/$K16)</f>
        <v>0.818181818181818</v>
      </c>
      <c r="N16" s="82" t="n">
        <f aca="false">IF($C$3="Daily",SUMIFS('Daily Log'!$I$4:$I$1503,'Daily Log'!$A$4:$A$1503,$C$4,'Daily Log'!$B$4:$B$1503,$A16),SUMIFS('Monthly Log'!$I$4:$I$303,'Monthly Log'!$A$4:$A$303,$C$4,'Monthly Log'!$B$4:$B$303,$A16))</f>
        <v>2</v>
      </c>
      <c r="O16" s="82" t="n">
        <f aca="false">IF($C$3="Daily",SUMIFS('Daily Log'!$J$4:$J$1503,'Daily Log'!$A$4:$A$1503,$C$4,'Daily Log'!$B$4:$B$1503,$A16),SUMIFS('Monthly Log'!$J$4:$J$303,'Monthly Log'!$A$4:$A$303,$C$4,'Monthly Log'!$B$4:$B$303,$A16))</f>
        <v>3</v>
      </c>
      <c r="P16" s="82" t="n">
        <f aca="false">IF($C$3="Daily",SUMIFS('Daily Log'!$K$4:$K$1503,'Daily Log'!$A$4:$A$1503,$C$4,'Daily Log'!$B$4:$B$1503,$A16),SUMIFS('Monthly Log'!$K$4:$K$303,'Monthly Log'!$A$4:$A$303,$C$4,'Monthly Log'!$B$4:$B$303,$A16))</f>
        <v>1</v>
      </c>
      <c r="Q16" s="82" t="n">
        <f aca="false">IF($C$3="Daily",SUMIFS('Daily Log'!$L$4:$L$1503,'Daily Log'!$A$4:$A$1503,$C$4,'Daily Log'!$B$4:$B$1503,$A16),SUMIFS('Monthly Log'!$L$4:$L$303,'Monthly Log'!$A$4:$A$303,$C$4,'Monthly Log'!$B$4:$B$303,$A16))</f>
        <v>2</v>
      </c>
      <c r="R16" s="80" t="str">
        <f aca="false">IFERROR(IF($C$3="Daily",INDEX('Daily Log'!$M$4:$M$1503,MATCH(TEXT($C$4,"YYYY-MM-DD")&amp;"|"&amp;$A16,'Daily Log'!$O$4:$O$1503,0)),INDEX('Monthly Log'!$M$4:$M$303,MATCH(TEXT($C$4,"YYYY-MM")&amp;"|"&amp;$A16,'Monthly Log'!$O$4:$O$303,0))),"")</f>
        <v>Amber</v>
      </c>
      <c r="S16" s="67" t="str">
        <f aca="false">IF($A16="","",IF(AND($H16=0,$K16=0,$E16=0),"Not started",IF(OR(AND($D16&gt;0,$E16/$D16&gt;$C$10),AND($H16&gt;0,$I16/$H16&lt;$C$8),$P16&gt;=$C$11),"Red",IF(OR(AND($D16&gt;0,$E16/$D16&gt;$C$9),AND($H16&gt;0,$I16/$H16&lt;$C$7),AND($K16&gt;0,$L16/$K16&lt;$C$7),$P16&gt;0,$Q16&gt;0),"Amber","Green"))))</f>
        <v>Amber</v>
      </c>
      <c r="T16" s="84" t="str">
        <f aca="false">IFERROR(IF($C$3="Daily",INDEX('Daily Log'!$N$4:$N$1503,MATCH(TEXT($C$4,"YYYY-MM-DD")&amp;"|"&amp;$A16,'Daily Log'!$O$4:$O$1503,0)),INDEX('Monthly Log'!$N$4:$N$303,MATCH(TEXT($C$4,"YYYY-MM")&amp;"|"&amp;$A16,'Monthly Log'!$O$4:$O$303,0))),"")</f>
        <v>Recovery plan agreed; hit rate improving but still behind TOR.</v>
      </c>
    </row>
    <row r="17" customFormat="false" ht="25.5" hidden="false" customHeight="true" outlineLevel="0" collapsed="false">
      <c r="A17" s="80" t="str">
        <f aca="false">IF('TOR Register'!$A5="","",'TOR Register'!$A5)</f>
        <v>P-002</v>
      </c>
      <c r="B17" s="18" t="str">
        <f aca="false">IFERROR(INDEX('TOR Register'!$B$4:$B$43,MATCH($A17,'TOR Register'!$A$4:$A$43,0)),"")</f>
        <v>Data Platform Migration</v>
      </c>
      <c r="C17" s="18" t="str">
        <f aca="false">IFERROR(INDEX('TOR Register'!$E$4:$E$43,MATCH($A17,'TOR Register'!$A$4:$A$43,0)),"")</f>
        <v>S. Kowalski</v>
      </c>
      <c r="D17" s="81" t="n">
        <f aca="false">IFERROR(INDEX('TOR Register'!$I$4:$I$43,MATCH($A17,'TOR Register'!$A$4:$A$43,0)),"")</f>
        <v>820000</v>
      </c>
      <c r="E17" s="81" t="n">
        <f aca="false">IF($C$3="Daily",SUMIFS('Daily Log'!$G$4:$G$1503,'Daily Log'!$A$4:$A$1503,$C$4,'Daily Log'!$B$4:$B$1503,$A17),SUMIFS('Monthly Log'!$G$4:$G$303,'Monthly Log'!$A$4:$A$303,$C$4,'Monthly Log'!$B$4:$B$303,$A17))</f>
        <v>690000</v>
      </c>
      <c r="F17" s="22" t="n">
        <f aca="false">IF(N($D17)=0,"",$E17/$D17)</f>
        <v>0.841463414634146</v>
      </c>
      <c r="G17" s="21" t="n">
        <f aca="false">IF($A17="","",$D17-$E17)</f>
        <v>130000</v>
      </c>
      <c r="H17" s="82" t="n">
        <f aca="false">IF($C$3="Daily",SUMIFS('Daily Log'!$C$4:$C$1503,'Daily Log'!$A$4:$A$1503,$C$4,'Daily Log'!$B$4:$B$1503,$A17),SUMIFS('Monthly Log'!$C$4:$C$303,'Monthly Log'!$A$4:$A$303,$C$4,'Monthly Log'!$B$4:$B$303,$A17))</f>
        <v>10</v>
      </c>
      <c r="I17" s="82" t="n">
        <f aca="false">IF($C$3="Daily",SUMIFS('Daily Log'!$D$4:$D$1503,'Daily Log'!$A$4:$A$1503,$C$4,'Daily Log'!$B$4:$B$1503,$A17),SUMIFS('Monthly Log'!$D$4:$D$303,'Monthly Log'!$A$4:$A$303,$C$4,'Monthly Log'!$B$4:$B$303,$A17))</f>
        <v>9</v>
      </c>
      <c r="J17" s="83" t="n">
        <f aca="false">IF($H17=0,"",$I17/$H17)</f>
        <v>0.9</v>
      </c>
      <c r="K17" s="82" t="n">
        <f aca="false">IF($C$3="Daily",SUMIFS('Daily Log'!$E$4:$E$1503,'Daily Log'!$A$4:$A$1503,$C$4,'Daily Log'!$B$4:$B$1503,$A17),SUMIFS('Monthly Log'!$E$4:$E$303,'Monthly Log'!$A$4:$A$303,$C$4,'Monthly Log'!$B$4:$B$303,$A17))</f>
        <v>10</v>
      </c>
      <c r="L17" s="82" t="n">
        <f aca="false">IF($C$3="Daily",SUMIFS('Daily Log'!$F$4:$F$1503,'Daily Log'!$A$4:$A$1503,$C$4,'Daily Log'!$B$4:$B$1503,$A17),SUMIFS('Monthly Log'!$F$4:$F$303,'Monthly Log'!$A$4:$A$303,$C$4,'Monthly Log'!$B$4:$B$303,$A17))</f>
        <v>9</v>
      </c>
      <c r="M17" s="83" t="n">
        <f aca="false">IF($K17=0,"",$L17/$K17)</f>
        <v>0.9</v>
      </c>
      <c r="N17" s="82" t="n">
        <f aca="false">IF($C$3="Daily",SUMIFS('Daily Log'!$I$4:$I$1503,'Daily Log'!$A$4:$A$1503,$C$4,'Daily Log'!$B$4:$B$1503,$A17),SUMIFS('Monthly Log'!$I$4:$I$303,'Monthly Log'!$A$4:$A$303,$C$4,'Monthly Log'!$B$4:$B$303,$A17))</f>
        <v>2</v>
      </c>
      <c r="O17" s="82" t="n">
        <f aca="false">IF($C$3="Daily",SUMIFS('Daily Log'!$J$4:$J$1503,'Daily Log'!$A$4:$A$1503,$C$4,'Daily Log'!$B$4:$B$1503,$A17),SUMIFS('Monthly Log'!$J$4:$J$303,'Monthly Log'!$A$4:$A$303,$C$4,'Monthly Log'!$B$4:$B$303,$A17))</f>
        <v>5</v>
      </c>
      <c r="P17" s="82" t="n">
        <f aca="false">IF($C$3="Daily",SUMIFS('Daily Log'!$K$4:$K$1503,'Daily Log'!$A$4:$A$1503,$C$4,'Daily Log'!$B$4:$B$1503,$A17),SUMIFS('Monthly Log'!$K$4:$K$303,'Monthly Log'!$A$4:$A$303,$C$4,'Monthly Log'!$B$4:$B$303,$A17))</f>
        <v>0</v>
      </c>
      <c r="Q17" s="82" t="n">
        <f aca="false">IF($C$3="Daily",SUMIFS('Daily Log'!$L$4:$L$1503,'Daily Log'!$A$4:$A$1503,$C$4,'Daily Log'!$B$4:$B$1503,$A17),SUMIFS('Monthly Log'!$L$4:$L$303,'Monthly Log'!$A$4:$A$303,$C$4,'Monthly Log'!$B$4:$B$303,$A17))</f>
        <v>0</v>
      </c>
      <c r="R17" s="80" t="str">
        <f aca="false">IFERROR(IF($C$3="Daily",INDEX('Daily Log'!$M$4:$M$1503,MATCH(TEXT($C$4,"YYYY-MM-DD")&amp;"|"&amp;$A17,'Daily Log'!$O$4:$O$1503,0)),INDEX('Monthly Log'!$M$4:$M$303,MATCH(TEXT($C$4,"YYYY-MM")&amp;"|"&amp;$A17,'Monthly Log'!$O$4:$O$303,0))),"")</f>
        <v>Green</v>
      </c>
      <c r="S17" s="67" t="str">
        <f aca="false">IF($A17="","",IF(AND($H17=0,$K17=0,$E17=0),"Not started",IF(OR(AND($D17&gt;0,$E17/$D17&gt;$C$10),AND($H17&gt;0,$I17/$H17&lt;$C$8),$P17&gt;=$C$11),"Red",IF(OR(AND($D17&gt;0,$E17/$D17&gt;$C$9),AND($H17&gt;0,$I17/$H17&lt;$C$7),AND($K17&gt;0,$L17/$K17&lt;$C$7),$P17&gt;0,$Q17&gt;0),"Amber","Green"))))</f>
        <v>Green</v>
      </c>
      <c r="T17" s="84" t="str">
        <f aca="false">IFERROR(IF($C$3="Daily",INDEX('Daily Log'!$N$4:$N$1503,MATCH(TEXT($C$4,"YYYY-MM-DD")&amp;"|"&amp;$A17,'Daily Log'!$O$4:$O$1503,0)),INDEX('Monthly Log'!$N$4:$N$303,MATCH(TEXT($C$4,"YYYY-MM")&amp;"|"&amp;$A17,'Monthly Log'!$O$4:$O$303,0))),"")</f>
        <v>Tracking to TOR; decommission CR approved.</v>
      </c>
    </row>
    <row r="18" customFormat="false" ht="25.5" hidden="false" customHeight="true" outlineLevel="0" collapsed="false">
      <c r="A18" s="80" t="str">
        <f aca="false">IF('TOR Register'!$A6="","",'TOR Register'!$A6)</f>
        <v>P-003</v>
      </c>
      <c r="B18" s="18" t="str">
        <f aca="false">IFERROR(INDEX('TOR Register'!$B$4:$B$43,MATCH($A18,'TOR Register'!$A$4:$A$43,0)),"")</f>
        <v>Regulatory Reporting Uplift</v>
      </c>
      <c r="C18" s="18" t="str">
        <f aca="false">IFERROR(INDEX('TOR Register'!$E$4:$E$43,MATCH($A18,'TOR Register'!$A$4:$A$43,0)),"")</f>
        <v>M. Haddad</v>
      </c>
      <c r="D18" s="81" t="n">
        <f aca="false">IFERROR(INDEX('TOR Register'!$I$4:$I$43,MATCH($A18,'TOR Register'!$A$4:$A$43,0)),"")</f>
        <v>340000</v>
      </c>
      <c r="E18" s="81" t="n">
        <f aca="false">IF($C$3="Daily",SUMIFS('Daily Log'!$G$4:$G$1503,'Daily Log'!$A$4:$A$1503,$C$4,'Daily Log'!$B$4:$B$1503,$A18),SUMIFS('Monthly Log'!$G$4:$G$303,'Monthly Log'!$A$4:$A$303,$C$4,'Monthly Log'!$B$4:$B$303,$A18))</f>
        <v>351000</v>
      </c>
      <c r="F18" s="22" t="n">
        <f aca="false">IF(N($D18)=0,"",$E18/$D18)</f>
        <v>1.03235294117647</v>
      </c>
      <c r="G18" s="21" t="n">
        <f aca="false">IF($A18="","",$D18-$E18)</f>
        <v>-11000</v>
      </c>
      <c r="H18" s="82" t="n">
        <f aca="false">IF($C$3="Daily",SUMIFS('Daily Log'!$C$4:$C$1503,'Daily Log'!$A$4:$A$1503,$C$4,'Daily Log'!$B$4:$B$1503,$A18),SUMIFS('Monthly Log'!$C$4:$C$303,'Monthly Log'!$A$4:$A$303,$C$4,'Monthly Log'!$B$4:$B$303,$A18))</f>
        <v>8</v>
      </c>
      <c r="I18" s="82" t="n">
        <f aca="false">IF($C$3="Daily",SUMIFS('Daily Log'!$D$4:$D$1503,'Daily Log'!$A$4:$A$1503,$C$4,'Daily Log'!$B$4:$B$1503,$A18),SUMIFS('Monthly Log'!$D$4:$D$303,'Monthly Log'!$A$4:$A$303,$C$4,'Monthly Log'!$B$4:$B$303,$A18))</f>
        <v>5</v>
      </c>
      <c r="J18" s="83" t="n">
        <f aca="false">IF($H18=0,"",$I18/$H18)</f>
        <v>0.625</v>
      </c>
      <c r="K18" s="82" t="n">
        <f aca="false">IF($C$3="Daily",SUMIFS('Daily Log'!$E$4:$E$1503,'Daily Log'!$A$4:$A$1503,$C$4,'Daily Log'!$B$4:$B$1503,$A18),SUMIFS('Monthly Log'!$E$4:$E$303,'Monthly Log'!$A$4:$A$303,$C$4,'Monthly Log'!$B$4:$B$303,$A18))</f>
        <v>10</v>
      </c>
      <c r="L18" s="82" t="n">
        <f aca="false">IF($C$3="Daily",SUMIFS('Daily Log'!$F$4:$F$1503,'Daily Log'!$A$4:$A$1503,$C$4,'Daily Log'!$B$4:$B$1503,$A18),SUMIFS('Monthly Log'!$F$4:$F$303,'Monthly Log'!$A$4:$A$303,$C$4,'Monthly Log'!$B$4:$B$303,$A18))</f>
        <v>6</v>
      </c>
      <c r="M18" s="83" t="n">
        <f aca="false">IF($K18=0,"",$L18/$K18)</f>
        <v>0.6</v>
      </c>
      <c r="N18" s="82" t="n">
        <f aca="false">IF($C$3="Daily",SUMIFS('Daily Log'!$I$4:$I$1503,'Daily Log'!$A$4:$A$1503,$C$4,'Daily Log'!$B$4:$B$1503,$A18),SUMIFS('Monthly Log'!$I$4:$I$303,'Monthly Log'!$A$4:$A$303,$C$4,'Monthly Log'!$B$4:$B$303,$A18))</f>
        <v>4</v>
      </c>
      <c r="O18" s="82" t="n">
        <f aca="false">IF($C$3="Daily",SUMIFS('Daily Log'!$J$4:$J$1503,'Daily Log'!$A$4:$A$1503,$C$4,'Daily Log'!$B$4:$B$1503,$A18),SUMIFS('Monthly Log'!$J$4:$J$303,'Monthly Log'!$A$4:$A$303,$C$4,'Monthly Log'!$B$4:$B$303,$A18))</f>
        <v>9</v>
      </c>
      <c r="P18" s="82" t="n">
        <f aca="false">IF($C$3="Daily",SUMIFS('Daily Log'!$K$4:$K$1503,'Daily Log'!$A$4:$A$1503,$C$4,'Daily Log'!$B$4:$B$1503,$A18),SUMIFS('Monthly Log'!$K$4:$K$303,'Monthly Log'!$A$4:$A$303,$C$4,'Monthly Log'!$B$4:$B$303,$A18))</f>
        <v>3</v>
      </c>
      <c r="Q18" s="82" t="n">
        <f aca="false">IF($C$3="Daily",SUMIFS('Daily Log'!$L$4:$L$1503,'Daily Log'!$A$4:$A$1503,$C$4,'Daily Log'!$B$4:$B$1503,$A18),SUMIFS('Monthly Log'!$L$4:$L$303,'Monthly Log'!$A$4:$A$303,$C$4,'Monthly Log'!$B$4:$B$303,$A18))</f>
        <v>4</v>
      </c>
      <c r="R18" s="80" t="str">
        <f aca="false">IFERROR(IF($C$3="Daily",INDEX('Daily Log'!$M$4:$M$1503,MATCH(TEXT($C$4,"YYYY-MM-DD")&amp;"|"&amp;$A18,'Daily Log'!$O$4:$O$1503,0)),INDEX('Monthly Log'!$M$4:$M$303,MATCH(TEXT($C$4,"YYYY-MM")&amp;"|"&amp;$A18,'Monthly Log'!$O$4:$O$303,0))),"")</f>
        <v>Red</v>
      </c>
      <c r="S18" s="67" t="str">
        <f aca="false">IF($A18="","",IF(AND($H18=0,$K18=0,$E18=0),"Not started",IF(OR(AND($D18&gt;0,$E18/$D18&gt;$C$10),AND($H18&gt;0,$I18/$H18&lt;$C$8),$P18&gt;=$C$11),"Red",IF(OR(AND($D18&gt;0,$E18/$D18&gt;$C$9),AND($H18&gt;0,$I18/$H18&lt;$C$7),AND($K18&gt;0,$L18/$K18&lt;$C$7),$P18&gt;0,$Q18&gt;0),"Amber","Green"))))</f>
        <v>Red</v>
      </c>
      <c r="T18" s="84" t="str">
        <f aca="false">IFERROR(IF($C$3="Daily",INDEX('Daily Log'!$N$4:$N$1503,MATCH(TEXT($C$4,"YYYY-MM-DD")&amp;"|"&amp;$A18,'Daily Log'!$O$4:$O$1503,0)),INDEX('Monthly Log'!$N$4:$N$303,MATCH(TEXT($C$4,"YYYY-MM")&amp;"|"&amp;$A18,'Monthly Log'!$O$4:$O$303,0))),"")</f>
        <v>Overspent vs TOR budget. Re-baseline decision needed at SteerCo.</v>
      </c>
    </row>
    <row r="19" customFormat="false" ht="25.5" hidden="false" customHeight="true" outlineLevel="0" collapsed="false">
      <c r="A19" s="80" t="str">
        <f aca="false">IF('TOR Register'!$A7="","",'TOR Register'!$A7)</f>
        <v>P-004</v>
      </c>
      <c r="B19" s="18" t="str">
        <f aca="false">IFERROR(INDEX('TOR Register'!$B$4:$B$43,MATCH($A19,'TOR Register'!$A$4:$A$43,0)),"")</f>
        <v>Market Expansion - APAC</v>
      </c>
      <c r="C19" s="18" t="str">
        <f aca="false">IFERROR(INDEX('TOR Register'!$E$4:$E$43,MATCH($A19,'TOR Register'!$A$4:$A$43,0)),"")</f>
        <v>T. Yamamoto</v>
      </c>
      <c r="D19" s="81" t="n">
        <f aca="false">IFERROR(INDEX('TOR Register'!$I$4:$I$43,MATCH($A19,'TOR Register'!$A$4:$A$43,0)),"")</f>
        <v>610000</v>
      </c>
      <c r="E19" s="81" t="n">
        <f aca="false">IF($C$3="Daily",SUMIFS('Daily Log'!$G$4:$G$1503,'Daily Log'!$A$4:$A$1503,$C$4,'Daily Log'!$B$4:$B$1503,$A19),SUMIFS('Monthly Log'!$G$4:$G$303,'Monthly Log'!$A$4:$A$303,$C$4,'Monthly Log'!$B$4:$B$303,$A19))</f>
        <v>415000</v>
      </c>
      <c r="F19" s="22" t="n">
        <f aca="false">IF(N($D19)=0,"",$E19/$D19)</f>
        <v>0.680327868852459</v>
      </c>
      <c r="G19" s="21" t="n">
        <f aca="false">IF($A19="","",$D19-$E19)</f>
        <v>195000</v>
      </c>
      <c r="H19" s="82" t="n">
        <f aca="false">IF($C$3="Daily",SUMIFS('Daily Log'!$C$4:$C$1503,'Daily Log'!$A$4:$A$1503,$C$4,'Daily Log'!$B$4:$B$1503,$A19),SUMIFS('Monthly Log'!$C$4:$C$303,'Monthly Log'!$A$4:$A$303,$C$4,'Monthly Log'!$B$4:$B$303,$A19))</f>
        <v>8</v>
      </c>
      <c r="I19" s="82" t="n">
        <f aca="false">IF($C$3="Daily",SUMIFS('Daily Log'!$D$4:$D$1503,'Daily Log'!$A$4:$A$1503,$C$4,'Daily Log'!$B$4:$B$1503,$A19),SUMIFS('Monthly Log'!$D$4:$D$303,'Monthly Log'!$A$4:$A$303,$C$4,'Monthly Log'!$B$4:$B$303,$A19))</f>
        <v>8</v>
      </c>
      <c r="J19" s="83" t="n">
        <f aca="false">IF($H19=0,"",$I19/$H19)</f>
        <v>1</v>
      </c>
      <c r="K19" s="82" t="n">
        <f aca="false">IF($C$3="Daily",SUMIFS('Daily Log'!$E$4:$E$1503,'Daily Log'!$A$4:$A$1503,$C$4,'Daily Log'!$B$4:$B$1503,$A19),SUMIFS('Monthly Log'!$E$4:$E$303,'Monthly Log'!$A$4:$A$303,$C$4,'Monthly Log'!$B$4:$B$303,$A19))</f>
        <v>8</v>
      </c>
      <c r="L19" s="82" t="n">
        <f aca="false">IF($C$3="Daily",SUMIFS('Daily Log'!$F$4:$F$1503,'Daily Log'!$A$4:$A$1503,$C$4,'Daily Log'!$B$4:$B$1503,$A19),SUMIFS('Monthly Log'!$F$4:$F$303,'Monthly Log'!$A$4:$A$303,$C$4,'Monthly Log'!$B$4:$B$303,$A19))</f>
        <v>8</v>
      </c>
      <c r="M19" s="83" t="n">
        <f aca="false">IF($K19=0,"",$L19/$K19)</f>
        <v>1</v>
      </c>
      <c r="N19" s="82" t="n">
        <f aca="false">IF($C$3="Daily",SUMIFS('Daily Log'!$I$4:$I$1503,'Daily Log'!$A$4:$A$1503,$C$4,'Daily Log'!$B$4:$B$1503,$A19),SUMIFS('Monthly Log'!$I$4:$I$303,'Monthly Log'!$A$4:$A$303,$C$4,'Monthly Log'!$B$4:$B$303,$A19))</f>
        <v>1</v>
      </c>
      <c r="O19" s="82" t="n">
        <f aca="false">IF($C$3="Daily",SUMIFS('Daily Log'!$J$4:$J$1503,'Daily Log'!$A$4:$A$1503,$C$4,'Daily Log'!$B$4:$B$1503,$A19),SUMIFS('Monthly Log'!$J$4:$J$303,'Monthly Log'!$A$4:$A$303,$C$4,'Monthly Log'!$B$4:$B$303,$A19))</f>
        <v>2</v>
      </c>
      <c r="P19" s="82" t="n">
        <f aca="false">IF($C$3="Daily",SUMIFS('Daily Log'!$K$4:$K$1503,'Daily Log'!$A$4:$A$1503,$C$4,'Daily Log'!$B$4:$B$1503,$A19),SUMIFS('Monthly Log'!$K$4:$K$303,'Monthly Log'!$A$4:$A$303,$C$4,'Monthly Log'!$B$4:$B$303,$A19))</f>
        <v>0</v>
      </c>
      <c r="Q19" s="82" t="n">
        <f aca="false">IF($C$3="Daily",SUMIFS('Daily Log'!$L$4:$L$1503,'Daily Log'!$A$4:$A$1503,$C$4,'Daily Log'!$B$4:$B$1503,$A19),SUMIFS('Monthly Log'!$L$4:$L$303,'Monthly Log'!$A$4:$A$303,$C$4,'Monthly Log'!$B$4:$B$303,$A19))</f>
        <v>0</v>
      </c>
      <c r="R19" s="80" t="str">
        <f aca="false">IFERROR(IF($C$3="Daily",INDEX('Daily Log'!$M$4:$M$1503,MATCH(TEXT($C$4,"YYYY-MM-DD")&amp;"|"&amp;$A19,'Daily Log'!$O$4:$O$1503,0)),INDEX('Monthly Log'!$M$4:$M$303,MATCH(TEXT($C$4,"YYYY-MM")&amp;"|"&amp;$A19,'Monthly Log'!$O$4:$O$303,0))),"")</f>
        <v>Green</v>
      </c>
      <c r="S19" s="67" t="str">
        <f aca="false">IF($A19="","",IF(AND($H19=0,$K19=0,$E19=0),"Not started",IF(OR(AND($D19&gt;0,$E19/$D19&gt;$C$10),AND($H19&gt;0,$I19/$H19&lt;$C$8),$P19&gt;=$C$11),"Red",IF(OR(AND($D19&gt;0,$E19/$D19&gt;$C$9),AND($H19&gt;0,$I19/$H19&lt;$C$7),AND($K19&gt;0,$L19/$K19&lt;$C$7),$P19&gt;0,$Q19&gt;0),"Amber","Green"))))</f>
        <v>Green</v>
      </c>
      <c r="T19" s="84" t="str">
        <f aca="false">IFERROR(IF($C$3="Daily",INDEX('Daily Log'!$N$4:$N$1503,MATCH(TEXT($C$4,"YYYY-MM-DD")&amp;"|"&amp;$A19,'Daily Log'!$O$4:$O$1503,0)),INDEX('Monthly Log'!$N$4:$N$303,MATCH(TEXT($C$4,"YYYY-MM")&amp;"|"&amp;$A19,'Monthly Log'!$O$4:$O$303,0))),"")</f>
        <v>Both markets on track to TOR end date.</v>
      </c>
    </row>
    <row r="20" customFormat="false" ht="25.5" hidden="false" customHeight="true" outlineLevel="0" collapsed="false">
      <c r="A20" s="80" t="str">
        <f aca="false">IF('TOR Register'!$A8="","",'TOR Register'!$A8)</f>
        <v>P-005</v>
      </c>
      <c r="B20" s="18" t="str">
        <f aca="false">IFERROR(INDEX('TOR Register'!$B$4:$B$43,MATCH($A20,'TOR Register'!$A$4:$A$43,0)),"")</f>
        <v>Cost-to-Serve Optimisation</v>
      </c>
      <c r="C20" s="18" t="str">
        <f aca="false">IFERROR(INDEX('TOR Register'!$E$4:$E$43,MATCH($A20,'TOR Register'!$A$4:$A$43,0)),"")</f>
        <v>C. Duarte</v>
      </c>
      <c r="D20" s="81" t="n">
        <f aca="false">IFERROR(INDEX('TOR Register'!$I$4:$I$43,MATCH($A20,'TOR Register'!$A$4:$A$43,0)),"")</f>
        <v>275000</v>
      </c>
      <c r="E20" s="81" t="n">
        <f aca="false">IF($C$3="Daily",SUMIFS('Daily Log'!$G$4:$G$1503,'Daily Log'!$A$4:$A$1503,$C$4,'Daily Log'!$B$4:$B$1503,$A20),SUMIFS('Monthly Log'!$G$4:$G$303,'Monthly Log'!$A$4:$A$303,$C$4,'Monthly Log'!$B$4:$B$303,$A20))</f>
        <v>224000</v>
      </c>
      <c r="F20" s="22" t="n">
        <f aca="false">IF(N($D20)=0,"",$E20/$D20)</f>
        <v>0.814545454545455</v>
      </c>
      <c r="G20" s="21" t="n">
        <f aca="false">IF($A20="","",$D20-$E20)</f>
        <v>51000</v>
      </c>
      <c r="H20" s="82" t="n">
        <f aca="false">IF($C$3="Daily",SUMIFS('Daily Log'!$C$4:$C$1503,'Daily Log'!$A$4:$A$1503,$C$4,'Daily Log'!$B$4:$B$1503,$A20),SUMIFS('Monthly Log'!$C$4:$C$303,'Monthly Log'!$A$4:$A$303,$C$4,'Monthly Log'!$B$4:$B$303,$A20))</f>
        <v>7</v>
      </c>
      <c r="I20" s="82" t="n">
        <f aca="false">IF($C$3="Daily",SUMIFS('Daily Log'!$D$4:$D$1503,'Daily Log'!$A$4:$A$1503,$C$4,'Daily Log'!$B$4:$B$1503,$A20),SUMIFS('Monthly Log'!$D$4:$D$303,'Monthly Log'!$A$4:$A$303,$C$4,'Monthly Log'!$B$4:$B$303,$A20))</f>
        <v>6</v>
      </c>
      <c r="J20" s="83" t="n">
        <f aca="false">IF($H20=0,"",$I20/$H20)</f>
        <v>0.857142857142857</v>
      </c>
      <c r="K20" s="82" t="n">
        <f aca="false">IF($C$3="Daily",SUMIFS('Daily Log'!$E$4:$E$1503,'Daily Log'!$A$4:$A$1503,$C$4,'Daily Log'!$B$4:$B$1503,$A20),SUMIFS('Monthly Log'!$E$4:$E$303,'Monthly Log'!$A$4:$A$303,$C$4,'Monthly Log'!$B$4:$B$303,$A20))</f>
        <v>9</v>
      </c>
      <c r="L20" s="82" t="n">
        <f aca="false">IF($C$3="Daily",SUMIFS('Daily Log'!$F$4:$F$1503,'Daily Log'!$A$4:$A$1503,$C$4,'Daily Log'!$B$4:$B$1503,$A20),SUMIFS('Monthly Log'!$F$4:$F$303,'Monthly Log'!$A$4:$A$303,$C$4,'Monthly Log'!$B$4:$B$303,$A20))</f>
        <v>7</v>
      </c>
      <c r="M20" s="83" t="n">
        <f aca="false">IF($K20=0,"",$L20/$K20)</f>
        <v>0.777777777777778</v>
      </c>
      <c r="N20" s="82" t="n">
        <f aca="false">IF($C$3="Daily",SUMIFS('Daily Log'!$I$4:$I$1503,'Daily Log'!$A$4:$A$1503,$C$4,'Daily Log'!$B$4:$B$1503,$A20),SUMIFS('Monthly Log'!$I$4:$I$303,'Monthly Log'!$A$4:$A$303,$C$4,'Monthly Log'!$B$4:$B$303,$A20))</f>
        <v>1</v>
      </c>
      <c r="O20" s="82" t="n">
        <f aca="false">IF($C$3="Daily",SUMIFS('Daily Log'!$J$4:$J$1503,'Daily Log'!$A$4:$A$1503,$C$4,'Daily Log'!$B$4:$B$1503,$A20),SUMIFS('Monthly Log'!$J$4:$J$303,'Monthly Log'!$A$4:$A$303,$C$4,'Monthly Log'!$B$4:$B$303,$A20))</f>
        <v>3</v>
      </c>
      <c r="P20" s="82" t="n">
        <f aca="false">IF($C$3="Daily",SUMIFS('Daily Log'!$K$4:$K$1503,'Daily Log'!$A$4:$A$1503,$C$4,'Daily Log'!$B$4:$B$1503,$A20),SUMIFS('Monthly Log'!$K$4:$K$303,'Monthly Log'!$A$4:$A$303,$C$4,'Monthly Log'!$B$4:$B$303,$A20))</f>
        <v>0</v>
      </c>
      <c r="Q20" s="82" t="n">
        <f aca="false">IF($C$3="Daily",SUMIFS('Daily Log'!$L$4:$L$1503,'Daily Log'!$A$4:$A$1503,$C$4,'Daily Log'!$B$4:$B$1503,$A20),SUMIFS('Monthly Log'!$L$4:$L$303,'Monthly Log'!$A$4:$A$303,$C$4,'Monthly Log'!$B$4:$B$303,$A20))</f>
        <v>1</v>
      </c>
      <c r="R20" s="80" t="str">
        <f aca="false">IFERROR(IF($C$3="Daily",INDEX('Daily Log'!$M$4:$M$1503,MATCH(TEXT($C$4,"YYYY-MM-DD")&amp;"|"&amp;$A20,'Daily Log'!$O$4:$O$1503,0)),INDEX('Monthly Log'!$M$4:$M$303,MATCH(TEXT($C$4,"YYYY-MM")&amp;"|"&amp;$A20,'Monthly Log'!$O$4:$O$303,0))),"")</f>
        <v>Green</v>
      </c>
      <c r="S20" s="67" t="str">
        <f aca="false">IF($A20="","",IF(AND($H20=0,$K20=0,$E20=0),"Not started",IF(OR(AND($D20&gt;0,$E20/$D20&gt;$C$10),AND($H20&gt;0,$I20/$H20&lt;$C$8),$P20&gt;=$C$11),"Red",IF(OR(AND($D20&gt;0,$E20/$D20&gt;$C$9),AND($H20&gt;0,$I20/$H20&lt;$C$7),AND($K20&gt;0,$L20/$K20&lt;$C$7),$P20&gt;0,$Q20&gt;0),"Amber","Green"))))</f>
        <v>Amber</v>
      </c>
      <c r="T20" s="84" t="str">
        <f aca="false">IFERROR(IF($C$3="Daily",INDEX('Daily Log'!$N$4:$N$1503,MATCH(TEXT($C$4,"YYYY-MM-DD")&amp;"|"&amp;$A20,'Daily Log'!$O$4:$O$1503,0)),INDEX('Monthly Log'!$N$4:$N$303,MATCH(TEXT($C$4,"YYYY-MM")&amp;"|"&amp;$A20,'Monthly Log'!$O$4:$O$303,0))),"")</f>
        <v>Two deliverables pending acceptance, otherwise on plan.</v>
      </c>
    </row>
    <row r="21" customFormat="false" ht="15" hidden="false" customHeight="true" outlineLevel="0" collapsed="false">
      <c r="A21" s="80" t="str">
        <f aca="false">IF('TOR Register'!$A9="","",'TOR Register'!$A9)</f>
        <v/>
      </c>
      <c r="B21" s="18" t="str">
        <f aca="false">IFERROR(INDEX('TOR Register'!$B$4:$B$43,MATCH($A21,'TOR Register'!$A$4:$A$43,0)),"")</f>
        <v/>
      </c>
      <c r="C21" s="18" t="str">
        <f aca="false">IFERROR(INDEX('TOR Register'!$E$4:$E$43,MATCH($A21,'TOR Register'!$A$4:$A$43,0)),"")</f>
        <v/>
      </c>
      <c r="D21" s="81" t="str">
        <f aca="false">IFERROR(INDEX('TOR Register'!$I$4:$I$43,MATCH($A21,'TOR Register'!$A$4:$A$43,0)),"")</f>
        <v/>
      </c>
      <c r="E21" s="81" t="n">
        <f aca="false">IF($C$3="Daily",SUMIFS('Daily Log'!$G$4:$G$1503,'Daily Log'!$A$4:$A$1503,$C$4,'Daily Log'!$B$4:$B$1503,$A21),SUMIFS('Monthly Log'!$G$4:$G$303,'Monthly Log'!$A$4:$A$303,$C$4,'Monthly Log'!$B$4:$B$303,$A21))</f>
        <v>0</v>
      </c>
      <c r="F21" s="22" t="str">
        <f aca="false">IF(N($D21)=0,"",$E21/$D21)</f>
        <v/>
      </c>
      <c r="G21" s="21" t="str">
        <f aca="false">IF($A21="","",$D21-$E21)</f>
        <v/>
      </c>
      <c r="H21" s="82" t="n">
        <f aca="false">IF($C$3="Daily",SUMIFS('Daily Log'!$C$4:$C$1503,'Daily Log'!$A$4:$A$1503,$C$4,'Daily Log'!$B$4:$B$1503,$A21),SUMIFS('Monthly Log'!$C$4:$C$303,'Monthly Log'!$A$4:$A$303,$C$4,'Monthly Log'!$B$4:$B$303,$A21))</f>
        <v>0</v>
      </c>
      <c r="I21" s="82" t="n">
        <f aca="false">IF($C$3="Daily",SUMIFS('Daily Log'!$D$4:$D$1503,'Daily Log'!$A$4:$A$1503,$C$4,'Daily Log'!$B$4:$B$1503,$A21),SUMIFS('Monthly Log'!$D$4:$D$303,'Monthly Log'!$A$4:$A$303,$C$4,'Monthly Log'!$B$4:$B$303,$A21))</f>
        <v>0</v>
      </c>
      <c r="J21" s="83" t="str">
        <f aca="false">IF($H21=0,"",$I21/$H21)</f>
        <v/>
      </c>
      <c r="K21" s="82" t="n">
        <f aca="false">IF($C$3="Daily",SUMIFS('Daily Log'!$E$4:$E$1503,'Daily Log'!$A$4:$A$1503,$C$4,'Daily Log'!$B$4:$B$1503,$A21),SUMIFS('Monthly Log'!$E$4:$E$303,'Monthly Log'!$A$4:$A$303,$C$4,'Monthly Log'!$B$4:$B$303,$A21))</f>
        <v>0</v>
      </c>
      <c r="L21" s="82" t="n">
        <f aca="false">IF($C$3="Daily",SUMIFS('Daily Log'!$F$4:$F$1503,'Daily Log'!$A$4:$A$1503,$C$4,'Daily Log'!$B$4:$B$1503,$A21),SUMIFS('Monthly Log'!$F$4:$F$303,'Monthly Log'!$A$4:$A$303,$C$4,'Monthly Log'!$B$4:$B$303,$A21))</f>
        <v>0</v>
      </c>
      <c r="M21" s="83" t="str">
        <f aca="false">IF($K21=0,"",$L21/$K21)</f>
        <v/>
      </c>
      <c r="N21" s="82" t="n">
        <f aca="false">IF($C$3="Daily",SUMIFS('Daily Log'!$I$4:$I$1503,'Daily Log'!$A$4:$A$1503,$C$4,'Daily Log'!$B$4:$B$1503,$A21),SUMIFS('Monthly Log'!$I$4:$I$303,'Monthly Log'!$A$4:$A$303,$C$4,'Monthly Log'!$B$4:$B$303,$A21))</f>
        <v>0</v>
      </c>
      <c r="O21" s="82" t="n">
        <f aca="false">IF($C$3="Daily",SUMIFS('Daily Log'!$J$4:$J$1503,'Daily Log'!$A$4:$A$1503,$C$4,'Daily Log'!$B$4:$B$1503,$A21),SUMIFS('Monthly Log'!$J$4:$J$303,'Monthly Log'!$A$4:$A$303,$C$4,'Monthly Log'!$B$4:$B$303,$A21))</f>
        <v>0</v>
      </c>
      <c r="P21" s="82" t="n">
        <f aca="false">IF($C$3="Daily",SUMIFS('Daily Log'!$K$4:$K$1503,'Daily Log'!$A$4:$A$1503,$C$4,'Daily Log'!$B$4:$B$1503,$A21),SUMIFS('Monthly Log'!$K$4:$K$303,'Monthly Log'!$A$4:$A$303,$C$4,'Monthly Log'!$B$4:$B$303,$A21))</f>
        <v>0</v>
      </c>
      <c r="Q21" s="82" t="n">
        <f aca="false">IF($C$3="Daily",SUMIFS('Daily Log'!$L$4:$L$1503,'Daily Log'!$A$4:$A$1503,$C$4,'Daily Log'!$B$4:$B$1503,$A21),SUMIFS('Monthly Log'!$L$4:$L$303,'Monthly Log'!$A$4:$A$303,$C$4,'Monthly Log'!$B$4:$B$303,$A21))</f>
        <v>0</v>
      </c>
      <c r="R21" s="80" t="str">
        <f aca="false">IFERROR(IF($C$3="Daily",INDEX('Daily Log'!$M$4:$M$1503,MATCH(TEXT($C$4,"YYYY-MM-DD")&amp;"|"&amp;$A21,'Daily Log'!$O$4:$O$1503,0)),INDEX('Monthly Log'!$M$4:$M$303,MATCH(TEXT($C$4,"YYYY-MM")&amp;"|"&amp;$A21,'Monthly Log'!$O$4:$O$303,0))),"")</f>
        <v/>
      </c>
      <c r="S21" s="67" t="str">
        <f aca="false">IF($A21="","",IF(AND($H21=0,$K21=0,$E21=0),"Not started",IF(OR(AND($D21&gt;0,$E21/$D21&gt;$C$10),AND($H21&gt;0,$I21/$H21&lt;$C$8),$P21&gt;=$C$11),"Red",IF(OR(AND($D21&gt;0,$E21/$D21&gt;$C$9),AND($H21&gt;0,$I21/$H21&lt;$C$7),AND($K21&gt;0,$L21/$K21&lt;$C$7),$P21&gt;0,$Q21&gt;0),"Amber","Green"))))</f>
        <v/>
      </c>
      <c r="T21" s="84" t="str">
        <f aca="false">IFERROR(IF($C$3="Daily",INDEX('Daily Log'!$N$4:$N$1503,MATCH(TEXT($C$4,"YYYY-MM-DD")&amp;"|"&amp;$A21,'Daily Log'!$O$4:$O$1503,0)),INDEX('Monthly Log'!$N$4:$N$303,MATCH(TEXT($C$4,"YYYY-MM")&amp;"|"&amp;$A21,'Monthly Log'!$O$4:$O$303,0))),"")</f>
        <v/>
      </c>
    </row>
    <row r="22" customFormat="false" ht="15" hidden="false" customHeight="true" outlineLevel="0" collapsed="false">
      <c r="A22" s="80" t="str">
        <f aca="false">IF('TOR Register'!$A10="","",'TOR Register'!$A10)</f>
        <v/>
      </c>
      <c r="B22" s="18" t="str">
        <f aca="false">IFERROR(INDEX('TOR Register'!$B$4:$B$43,MATCH($A22,'TOR Register'!$A$4:$A$43,0)),"")</f>
        <v/>
      </c>
      <c r="C22" s="18" t="str">
        <f aca="false">IFERROR(INDEX('TOR Register'!$E$4:$E$43,MATCH($A22,'TOR Register'!$A$4:$A$43,0)),"")</f>
        <v/>
      </c>
      <c r="D22" s="81" t="str">
        <f aca="false">IFERROR(INDEX('TOR Register'!$I$4:$I$43,MATCH($A22,'TOR Register'!$A$4:$A$43,0)),"")</f>
        <v/>
      </c>
      <c r="E22" s="81" t="n">
        <f aca="false">IF($C$3="Daily",SUMIFS('Daily Log'!$G$4:$G$1503,'Daily Log'!$A$4:$A$1503,$C$4,'Daily Log'!$B$4:$B$1503,$A22),SUMIFS('Monthly Log'!$G$4:$G$303,'Monthly Log'!$A$4:$A$303,$C$4,'Monthly Log'!$B$4:$B$303,$A22))</f>
        <v>0</v>
      </c>
      <c r="F22" s="22" t="str">
        <f aca="false">IF(N($D22)=0,"",$E22/$D22)</f>
        <v/>
      </c>
      <c r="G22" s="21" t="str">
        <f aca="false">IF($A22="","",$D22-$E22)</f>
        <v/>
      </c>
      <c r="H22" s="82" t="n">
        <f aca="false">IF($C$3="Daily",SUMIFS('Daily Log'!$C$4:$C$1503,'Daily Log'!$A$4:$A$1503,$C$4,'Daily Log'!$B$4:$B$1503,$A22),SUMIFS('Monthly Log'!$C$4:$C$303,'Monthly Log'!$A$4:$A$303,$C$4,'Monthly Log'!$B$4:$B$303,$A22))</f>
        <v>0</v>
      </c>
      <c r="I22" s="82" t="n">
        <f aca="false">IF($C$3="Daily",SUMIFS('Daily Log'!$D$4:$D$1503,'Daily Log'!$A$4:$A$1503,$C$4,'Daily Log'!$B$4:$B$1503,$A22),SUMIFS('Monthly Log'!$D$4:$D$303,'Monthly Log'!$A$4:$A$303,$C$4,'Monthly Log'!$B$4:$B$303,$A22))</f>
        <v>0</v>
      </c>
      <c r="J22" s="83" t="str">
        <f aca="false">IF($H22=0,"",$I22/$H22)</f>
        <v/>
      </c>
      <c r="K22" s="82" t="n">
        <f aca="false">IF($C$3="Daily",SUMIFS('Daily Log'!$E$4:$E$1503,'Daily Log'!$A$4:$A$1503,$C$4,'Daily Log'!$B$4:$B$1503,$A22),SUMIFS('Monthly Log'!$E$4:$E$303,'Monthly Log'!$A$4:$A$303,$C$4,'Monthly Log'!$B$4:$B$303,$A22))</f>
        <v>0</v>
      </c>
      <c r="L22" s="82" t="n">
        <f aca="false">IF($C$3="Daily",SUMIFS('Daily Log'!$F$4:$F$1503,'Daily Log'!$A$4:$A$1503,$C$4,'Daily Log'!$B$4:$B$1503,$A22),SUMIFS('Monthly Log'!$F$4:$F$303,'Monthly Log'!$A$4:$A$303,$C$4,'Monthly Log'!$B$4:$B$303,$A22))</f>
        <v>0</v>
      </c>
      <c r="M22" s="83" t="str">
        <f aca="false">IF($K22=0,"",$L22/$K22)</f>
        <v/>
      </c>
      <c r="N22" s="82" t="n">
        <f aca="false">IF($C$3="Daily",SUMIFS('Daily Log'!$I$4:$I$1503,'Daily Log'!$A$4:$A$1503,$C$4,'Daily Log'!$B$4:$B$1503,$A22),SUMIFS('Monthly Log'!$I$4:$I$303,'Monthly Log'!$A$4:$A$303,$C$4,'Monthly Log'!$B$4:$B$303,$A22))</f>
        <v>0</v>
      </c>
      <c r="O22" s="82" t="n">
        <f aca="false">IF($C$3="Daily",SUMIFS('Daily Log'!$J$4:$J$1503,'Daily Log'!$A$4:$A$1503,$C$4,'Daily Log'!$B$4:$B$1503,$A22),SUMIFS('Monthly Log'!$J$4:$J$303,'Monthly Log'!$A$4:$A$303,$C$4,'Monthly Log'!$B$4:$B$303,$A22))</f>
        <v>0</v>
      </c>
      <c r="P22" s="82" t="n">
        <f aca="false">IF($C$3="Daily",SUMIFS('Daily Log'!$K$4:$K$1503,'Daily Log'!$A$4:$A$1503,$C$4,'Daily Log'!$B$4:$B$1503,$A22),SUMIFS('Monthly Log'!$K$4:$K$303,'Monthly Log'!$A$4:$A$303,$C$4,'Monthly Log'!$B$4:$B$303,$A22))</f>
        <v>0</v>
      </c>
      <c r="Q22" s="82" t="n">
        <f aca="false">IF($C$3="Daily",SUMIFS('Daily Log'!$L$4:$L$1503,'Daily Log'!$A$4:$A$1503,$C$4,'Daily Log'!$B$4:$B$1503,$A22),SUMIFS('Monthly Log'!$L$4:$L$303,'Monthly Log'!$A$4:$A$303,$C$4,'Monthly Log'!$B$4:$B$303,$A22))</f>
        <v>0</v>
      </c>
      <c r="R22" s="80" t="str">
        <f aca="false">IFERROR(IF($C$3="Daily",INDEX('Daily Log'!$M$4:$M$1503,MATCH(TEXT($C$4,"YYYY-MM-DD")&amp;"|"&amp;$A22,'Daily Log'!$O$4:$O$1503,0)),INDEX('Monthly Log'!$M$4:$M$303,MATCH(TEXT($C$4,"YYYY-MM")&amp;"|"&amp;$A22,'Monthly Log'!$O$4:$O$303,0))),"")</f>
        <v/>
      </c>
      <c r="S22" s="67" t="str">
        <f aca="false">IF($A22="","",IF(AND($H22=0,$K22=0,$E22=0),"Not started",IF(OR(AND($D22&gt;0,$E22/$D22&gt;$C$10),AND($H22&gt;0,$I22/$H22&lt;$C$8),$P22&gt;=$C$11),"Red",IF(OR(AND($D22&gt;0,$E22/$D22&gt;$C$9),AND($H22&gt;0,$I22/$H22&lt;$C$7),AND($K22&gt;0,$L22/$K22&lt;$C$7),$P22&gt;0,$Q22&gt;0),"Amber","Green"))))</f>
        <v/>
      </c>
      <c r="T22" s="84" t="str">
        <f aca="false">IFERROR(IF($C$3="Daily",INDEX('Daily Log'!$N$4:$N$1503,MATCH(TEXT($C$4,"YYYY-MM-DD")&amp;"|"&amp;$A22,'Daily Log'!$O$4:$O$1503,0)),INDEX('Monthly Log'!$N$4:$N$303,MATCH(TEXT($C$4,"YYYY-MM")&amp;"|"&amp;$A22,'Monthly Log'!$O$4:$O$303,0))),"")</f>
        <v/>
      </c>
    </row>
    <row r="23" customFormat="false" ht="15" hidden="false" customHeight="true" outlineLevel="0" collapsed="false">
      <c r="A23" s="80" t="str">
        <f aca="false">IF('TOR Register'!$A11="","",'TOR Register'!$A11)</f>
        <v/>
      </c>
      <c r="B23" s="18" t="str">
        <f aca="false">IFERROR(INDEX('TOR Register'!$B$4:$B$43,MATCH($A23,'TOR Register'!$A$4:$A$43,0)),"")</f>
        <v/>
      </c>
      <c r="C23" s="18" t="str">
        <f aca="false">IFERROR(INDEX('TOR Register'!$E$4:$E$43,MATCH($A23,'TOR Register'!$A$4:$A$43,0)),"")</f>
        <v/>
      </c>
      <c r="D23" s="81" t="str">
        <f aca="false">IFERROR(INDEX('TOR Register'!$I$4:$I$43,MATCH($A23,'TOR Register'!$A$4:$A$43,0)),"")</f>
        <v/>
      </c>
      <c r="E23" s="81" t="n">
        <f aca="false">IF($C$3="Daily",SUMIFS('Daily Log'!$G$4:$G$1503,'Daily Log'!$A$4:$A$1503,$C$4,'Daily Log'!$B$4:$B$1503,$A23),SUMIFS('Monthly Log'!$G$4:$G$303,'Monthly Log'!$A$4:$A$303,$C$4,'Monthly Log'!$B$4:$B$303,$A23))</f>
        <v>0</v>
      </c>
      <c r="F23" s="22" t="str">
        <f aca="false">IF(N($D23)=0,"",$E23/$D23)</f>
        <v/>
      </c>
      <c r="G23" s="21" t="str">
        <f aca="false">IF($A23="","",$D23-$E23)</f>
        <v/>
      </c>
      <c r="H23" s="82" t="n">
        <f aca="false">IF($C$3="Daily",SUMIFS('Daily Log'!$C$4:$C$1503,'Daily Log'!$A$4:$A$1503,$C$4,'Daily Log'!$B$4:$B$1503,$A23),SUMIFS('Monthly Log'!$C$4:$C$303,'Monthly Log'!$A$4:$A$303,$C$4,'Monthly Log'!$B$4:$B$303,$A23))</f>
        <v>0</v>
      </c>
      <c r="I23" s="82" t="n">
        <f aca="false">IF($C$3="Daily",SUMIFS('Daily Log'!$D$4:$D$1503,'Daily Log'!$A$4:$A$1503,$C$4,'Daily Log'!$B$4:$B$1503,$A23),SUMIFS('Monthly Log'!$D$4:$D$303,'Monthly Log'!$A$4:$A$303,$C$4,'Monthly Log'!$B$4:$B$303,$A23))</f>
        <v>0</v>
      </c>
      <c r="J23" s="83" t="str">
        <f aca="false">IF($H23=0,"",$I23/$H23)</f>
        <v/>
      </c>
      <c r="K23" s="82" t="n">
        <f aca="false">IF($C$3="Daily",SUMIFS('Daily Log'!$E$4:$E$1503,'Daily Log'!$A$4:$A$1503,$C$4,'Daily Log'!$B$4:$B$1503,$A23),SUMIFS('Monthly Log'!$E$4:$E$303,'Monthly Log'!$A$4:$A$303,$C$4,'Monthly Log'!$B$4:$B$303,$A23))</f>
        <v>0</v>
      </c>
      <c r="L23" s="82" t="n">
        <f aca="false">IF($C$3="Daily",SUMIFS('Daily Log'!$F$4:$F$1503,'Daily Log'!$A$4:$A$1503,$C$4,'Daily Log'!$B$4:$B$1503,$A23),SUMIFS('Monthly Log'!$F$4:$F$303,'Monthly Log'!$A$4:$A$303,$C$4,'Monthly Log'!$B$4:$B$303,$A23))</f>
        <v>0</v>
      </c>
      <c r="M23" s="83" t="str">
        <f aca="false">IF($K23=0,"",$L23/$K23)</f>
        <v/>
      </c>
      <c r="N23" s="82" t="n">
        <f aca="false">IF($C$3="Daily",SUMIFS('Daily Log'!$I$4:$I$1503,'Daily Log'!$A$4:$A$1503,$C$4,'Daily Log'!$B$4:$B$1503,$A23),SUMIFS('Monthly Log'!$I$4:$I$303,'Monthly Log'!$A$4:$A$303,$C$4,'Monthly Log'!$B$4:$B$303,$A23))</f>
        <v>0</v>
      </c>
      <c r="O23" s="82" t="n">
        <f aca="false">IF($C$3="Daily",SUMIFS('Daily Log'!$J$4:$J$1503,'Daily Log'!$A$4:$A$1503,$C$4,'Daily Log'!$B$4:$B$1503,$A23),SUMIFS('Monthly Log'!$J$4:$J$303,'Monthly Log'!$A$4:$A$303,$C$4,'Monthly Log'!$B$4:$B$303,$A23))</f>
        <v>0</v>
      </c>
      <c r="P23" s="82" t="n">
        <f aca="false">IF($C$3="Daily",SUMIFS('Daily Log'!$K$4:$K$1503,'Daily Log'!$A$4:$A$1503,$C$4,'Daily Log'!$B$4:$B$1503,$A23),SUMIFS('Monthly Log'!$K$4:$K$303,'Monthly Log'!$A$4:$A$303,$C$4,'Monthly Log'!$B$4:$B$303,$A23))</f>
        <v>0</v>
      </c>
      <c r="Q23" s="82" t="n">
        <f aca="false">IF($C$3="Daily",SUMIFS('Daily Log'!$L$4:$L$1503,'Daily Log'!$A$4:$A$1503,$C$4,'Daily Log'!$B$4:$B$1503,$A23),SUMIFS('Monthly Log'!$L$4:$L$303,'Monthly Log'!$A$4:$A$303,$C$4,'Monthly Log'!$B$4:$B$303,$A23))</f>
        <v>0</v>
      </c>
      <c r="R23" s="80" t="str">
        <f aca="false">IFERROR(IF($C$3="Daily",INDEX('Daily Log'!$M$4:$M$1503,MATCH(TEXT($C$4,"YYYY-MM-DD")&amp;"|"&amp;$A23,'Daily Log'!$O$4:$O$1503,0)),INDEX('Monthly Log'!$M$4:$M$303,MATCH(TEXT($C$4,"YYYY-MM")&amp;"|"&amp;$A23,'Monthly Log'!$O$4:$O$303,0))),"")</f>
        <v/>
      </c>
      <c r="S23" s="67" t="str">
        <f aca="false">IF($A23="","",IF(AND($H23=0,$K23=0,$E23=0),"Not started",IF(OR(AND($D23&gt;0,$E23/$D23&gt;$C$10),AND($H23&gt;0,$I23/$H23&lt;$C$8),$P23&gt;=$C$11),"Red",IF(OR(AND($D23&gt;0,$E23/$D23&gt;$C$9),AND($H23&gt;0,$I23/$H23&lt;$C$7),AND($K23&gt;0,$L23/$K23&lt;$C$7),$P23&gt;0,$Q23&gt;0),"Amber","Green"))))</f>
        <v/>
      </c>
      <c r="T23" s="84" t="str">
        <f aca="false">IFERROR(IF($C$3="Daily",INDEX('Daily Log'!$N$4:$N$1503,MATCH(TEXT($C$4,"YYYY-MM-DD")&amp;"|"&amp;$A23,'Daily Log'!$O$4:$O$1503,0)),INDEX('Monthly Log'!$N$4:$N$303,MATCH(TEXT($C$4,"YYYY-MM")&amp;"|"&amp;$A23,'Monthly Log'!$O$4:$O$303,0))),"")</f>
        <v/>
      </c>
    </row>
    <row r="24" customFormat="false" ht="15" hidden="false" customHeight="true" outlineLevel="0" collapsed="false">
      <c r="A24" s="80" t="str">
        <f aca="false">IF('TOR Register'!$A12="","",'TOR Register'!$A12)</f>
        <v/>
      </c>
      <c r="B24" s="18" t="str">
        <f aca="false">IFERROR(INDEX('TOR Register'!$B$4:$B$43,MATCH($A24,'TOR Register'!$A$4:$A$43,0)),"")</f>
        <v/>
      </c>
      <c r="C24" s="18" t="str">
        <f aca="false">IFERROR(INDEX('TOR Register'!$E$4:$E$43,MATCH($A24,'TOR Register'!$A$4:$A$43,0)),"")</f>
        <v/>
      </c>
      <c r="D24" s="81" t="str">
        <f aca="false">IFERROR(INDEX('TOR Register'!$I$4:$I$43,MATCH($A24,'TOR Register'!$A$4:$A$43,0)),"")</f>
        <v/>
      </c>
      <c r="E24" s="81" t="n">
        <f aca="false">IF($C$3="Daily",SUMIFS('Daily Log'!$G$4:$G$1503,'Daily Log'!$A$4:$A$1503,$C$4,'Daily Log'!$B$4:$B$1503,$A24),SUMIFS('Monthly Log'!$G$4:$G$303,'Monthly Log'!$A$4:$A$303,$C$4,'Monthly Log'!$B$4:$B$303,$A24))</f>
        <v>0</v>
      </c>
      <c r="F24" s="22" t="str">
        <f aca="false">IF(N($D24)=0,"",$E24/$D24)</f>
        <v/>
      </c>
      <c r="G24" s="21" t="str">
        <f aca="false">IF($A24="","",$D24-$E24)</f>
        <v/>
      </c>
      <c r="H24" s="82" t="n">
        <f aca="false">IF($C$3="Daily",SUMIFS('Daily Log'!$C$4:$C$1503,'Daily Log'!$A$4:$A$1503,$C$4,'Daily Log'!$B$4:$B$1503,$A24),SUMIFS('Monthly Log'!$C$4:$C$303,'Monthly Log'!$A$4:$A$303,$C$4,'Monthly Log'!$B$4:$B$303,$A24))</f>
        <v>0</v>
      </c>
      <c r="I24" s="82" t="n">
        <f aca="false">IF($C$3="Daily",SUMIFS('Daily Log'!$D$4:$D$1503,'Daily Log'!$A$4:$A$1503,$C$4,'Daily Log'!$B$4:$B$1503,$A24),SUMIFS('Monthly Log'!$D$4:$D$303,'Monthly Log'!$A$4:$A$303,$C$4,'Monthly Log'!$B$4:$B$303,$A24))</f>
        <v>0</v>
      </c>
      <c r="J24" s="83" t="str">
        <f aca="false">IF($H24=0,"",$I24/$H24)</f>
        <v/>
      </c>
      <c r="K24" s="82" t="n">
        <f aca="false">IF($C$3="Daily",SUMIFS('Daily Log'!$E$4:$E$1503,'Daily Log'!$A$4:$A$1503,$C$4,'Daily Log'!$B$4:$B$1503,$A24),SUMIFS('Monthly Log'!$E$4:$E$303,'Monthly Log'!$A$4:$A$303,$C$4,'Monthly Log'!$B$4:$B$303,$A24))</f>
        <v>0</v>
      </c>
      <c r="L24" s="82" t="n">
        <f aca="false">IF($C$3="Daily",SUMIFS('Daily Log'!$F$4:$F$1503,'Daily Log'!$A$4:$A$1503,$C$4,'Daily Log'!$B$4:$B$1503,$A24),SUMIFS('Monthly Log'!$F$4:$F$303,'Monthly Log'!$A$4:$A$303,$C$4,'Monthly Log'!$B$4:$B$303,$A24))</f>
        <v>0</v>
      </c>
      <c r="M24" s="83" t="str">
        <f aca="false">IF($K24=0,"",$L24/$K24)</f>
        <v/>
      </c>
      <c r="N24" s="82" t="n">
        <f aca="false">IF($C$3="Daily",SUMIFS('Daily Log'!$I$4:$I$1503,'Daily Log'!$A$4:$A$1503,$C$4,'Daily Log'!$B$4:$B$1503,$A24),SUMIFS('Monthly Log'!$I$4:$I$303,'Monthly Log'!$A$4:$A$303,$C$4,'Monthly Log'!$B$4:$B$303,$A24))</f>
        <v>0</v>
      </c>
      <c r="O24" s="82" t="n">
        <f aca="false">IF($C$3="Daily",SUMIFS('Daily Log'!$J$4:$J$1503,'Daily Log'!$A$4:$A$1503,$C$4,'Daily Log'!$B$4:$B$1503,$A24),SUMIFS('Monthly Log'!$J$4:$J$303,'Monthly Log'!$A$4:$A$303,$C$4,'Monthly Log'!$B$4:$B$303,$A24))</f>
        <v>0</v>
      </c>
      <c r="P24" s="82" t="n">
        <f aca="false">IF($C$3="Daily",SUMIFS('Daily Log'!$K$4:$K$1503,'Daily Log'!$A$4:$A$1503,$C$4,'Daily Log'!$B$4:$B$1503,$A24),SUMIFS('Monthly Log'!$K$4:$K$303,'Monthly Log'!$A$4:$A$303,$C$4,'Monthly Log'!$B$4:$B$303,$A24))</f>
        <v>0</v>
      </c>
      <c r="Q24" s="82" t="n">
        <f aca="false">IF($C$3="Daily",SUMIFS('Daily Log'!$L$4:$L$1503,'Daily Log'!$A$4:$A$1503,$C$4,'Daily Log'!$B$4:$B$1503,$A24),SUMIFS('Monthly Log'!$L$4:$L$303,'Monthly Log'!$A$4:$A$303,$C$4,'Monthly Log'!$B$4:$B$303,$A24))</f>
        <v>0</v>
      </c>
      <c r="R24" s="80" t="str">
        <f aca="false">IFERROR(IF($C$3="Daily",INDEX('Daily Log'!$M$4:$M$1503,MATCH(TEXT($C$4,"YYYY-MM-DD")&amp;"|"&amp;$A24,'Daily Log'!$O$4:$O$1503,0)),INDEX('Monthly Log'!$M$4:$M$303,MATCH(TEXT($C$4,"YYYY-MM")&amp;"|"&amp;$A24,'Monthly Log'!$O$4:$O$303,0))),"")</f>
        <v/>
      </c>
      <c r="S24" s="67" t="str">
        <f aca="false">IF($A24="","",IF(AND($H24=0,$K24=0,$E24=0),"Not started",IF(OR(AND($D24&gt;0,$E24/$D24&gt;$C$10),AND($H24&gt;0,$I24/$H24&lt;$C$8),$P24&gt;=$C$11),"Red",IF(OR(AND($D24&gt;0,$E24/$D24&gt;$C$9),AND($H24&gt;0,$I24/$H24&lt;$C$7),AND($K24&gt;0,$L24/$K24&lt;$C$7),$P24&gt;0,$Q24&gt;0),"Amber","Green"))))</f>
        <v/>
      </c>
      <c r="T24" s="84" t="str">
        <f aca="false">IFERROR(IF($C$3="Daily",INDEX('Daily Log'!$N$4:$N$1503,MATCH(TEXT($C$4,"YYYY-MM-DD")&amp;"|"&amp;$A24,'Daily Log'!$O$4:$O$1503,0)),INDEX('Monthly Log'!$N$4:$N$303,MATCH(TEXT($C$4,"YYYY-MM")&amp;"|"&amp;$A24,'Monthly Log'!$O$4:$O$303,0))),"")</f>
        <v/>
      </c>
    </row>
    <row r="25" customFormat="false" ht="15" hidden="false" customHeight="true" outlineLevel="0" collapsed="false">
      <c r="A25" s="80" t="str">
        <f aca="false">IF('TOR Register'!$A13="","",'TOR Register'!$A13)</f>
        <v/>
      </c>
      <c r="B25" s="18" t="str">
        <f aca="false">IFERROR(INDEX('TOR Register'!$B$4:$B$43,MATCH($A25,'TOR Register'!$A$4:$A$43,0)),"")</f>
        <v/>
      </c>
      <c r="C25" s="18" t="str">
        <f aca="false">IFERROR(INDEX('TOR Register'!$E$4:$E$43,MATCH($A25,'TOR Register'!$A$4:$A$43,0)),"")</f>
        <v/>
      </c>
      <c r="D25" s="81" t="str">
        <f aca="false">IFERROR(INDEX('TOR Register'!$I$4:$I$43,MATCH($A25,'TOR Register'!$A$4:$A$43,0)),"")</f>
        <v/>
      </c>
      <c r="E25" s="81" t="n">
        <f aca="false">IF($C$3="Daily",SUMIFS('Daily Log'!$G$4:$G$1503,'Daily Log'!$A$4:$A$1503,$C$4,'Daily Log'!$B$4:$B$1503,$A25),SUMIFS('Monthly Log'!$G$4:$G$303,'Monthly Log'!$A$4:$A$303,$C$4,'Monthly Log'!$B$4:$B$303,$A25))</f>
        <v>0</v>
      </c>
      <c r="F25" s="22" t="str">
        <f aca="false">IF(N($D25)=0,"",$E25/$D25)</f>
        <v/>
      </c>
      <c r="G25" s="21" t="str">
        <f aca="false">IF($A25="","",$D25-$E25)</f>
        <v/>
      </c>
      <c r="H25" s="82" t="n">
        <f aca="false">IF($C$3="Daily",SUMIFS('Daily Log'!$C$4:$C$1503,'Daily Log'!$A$4:$A$1503,$C$4,'Daily Log'!$B$4:$B$1503,$A25),SUMIFS('Monthly Log'!$C$4:$C$303,'Monthly Log'!$A$4:$A$303,$C$4,'Monthly Log'!$B$4:$B$303,$A25))</f>
        <v>0</v>
      </c>
      <c r="I25" s="82" t="n">
        <f aca="false">IF($C$3="Daily",SUMIFS('Daily Log'!$D$4:$D$1503,'Daily Log'!$A$4:$A$1503,$C$4,'Daily Log'!$B$4:$B$1503,$A25),SUMIFS('Monthly Log'!$D$4:$D$303,'Monthly Log'!$A$4:$A$303,$C$4,'Monthly Log'!$B$4:$B$303,$A25))</f>
        <v>0</v>
      </c>
      <c r="J25" s="83" t="str">
        <f aca="false">IF($H25=0,"",$I25/$H25)</f>
        <v/>
      </c>
      <c r="K25" s="82" t="n">
        <f aca="false">IF($C$3="Daily",SUMIFS('Daily Log'!$E$4:$E$1503,'Daily Log'!$A$4:$A$1503,$C$4,'Daily Log'!$B$4:$B$1503,$A25),SUMIFS('Monthly Log'!$E$4:$E$303,'Monthly Log'!$A$4:$A$303,$C$4,'Monthly Log'!$B$4:$B$303,$A25))</f>
        <v>0</v>
      </c>
      <c r="L25" s="82" t="n">
        <f aca="false">IF($C$3="Daily",SUMIFS('Daily Log'!$F$4:$F$1503,'Daily Log'!$A$4:$A$1503,$C$4,'Daily Log'!$B$4:$B$1503,$A25),SUMIFS('Monthly Log'!$F$4:$F$303,'Monthly Log'!$A$4:$A$303,$C$4,'Monthly Log'!$B$4:$B$303,$A25))</f>
        <v>0</v>
      </c>
      <c r="M25" s="83" t="str">
        <f aca="false">IF($K25=0,"",$L25/$K25)</f>
        <v/>
      </c>
      <c r="N25" s="82" t="n">
        <f aca="false">IF($C$3="Daily",SUMIFS('Daily Log'!$I$4:$I$1503,'Daily Log'!$A$4:$A$1503,$C$4,'Daily Log'!$B$4:$B$1503,$A25),SUMIFS('Monthly Log'!$I$4:$I$303,'Monthly Log'!$A$4:$A$303,$C$4,'Monthly Log'!$B$4:$B$303,$A25))</f>
        <v>0</v>
      </c>
      <c r="O25" s="82" t="n">
        <f aca="false">IF($C$3="Daily",SUMIFS('Daily Log'!$J$4:$J$1503,'Daily Log'!$A$4:$A$1503,$C$4,'Daily Log'!$B$4:$B$1503,$A25),SUMIFS('Monthly Log'!$J$4:$J$303,'Monthly Log'!$A$4:$A$303,$C$4,'Monthly Log'!$B$4:$B$303,$A25))</f>
        <v>0</v>
      </c>
      <c r="P25" s="82" t="n">
        <f aca="false">IF($C$3="Daily",SUMIFS('Daily Log'!$K$4:$K$1503,'Daily Log'!$A$4:$A$1503,$C$4,'Daily Log'!$B$4:$B$1503,$A25),SUMIFS('Monthly Log'!$K$4:$K$303,'Monthly Log'!$A$4:$A$303,$C$4,'Monthly Log'!$B$4:$B$303,$A25))</f>
        <v>0</v>
      </c>
      <c r="Q25" s="82" t="n">
        <f aca="false">IF($C$3="Daily",SUMIFS('Daily Log'!$L$4:$L$1503,'Daily Log'!$A$4:$A$1503,$C$4,'Daily Log'!$B$4:$B$1503,$A25),SUMIFS('Monthly Log'!$L$4:$L$303,'Monthly Log'!$A$4:$A$303,$C$4,'Monthly Log'!$B$4:$B$303,$A25))</f>
        <v>0</v>
      </c>
      <c r="R25" s="80" t="str">
        <f aca="false">IFERROR(IF($C$3="Daily",INDEX('Daily Log'!$M$4:$M$1503,MATCH(TEXT($C$4,"YYYY-MM-DD")&amp;"|"&amp;$A25,'Daily Log'!$O$4:$O$1503,0)),INDEX('Monthly Log'!$M$4:$M$303,MATCH(TEXT($C$4,"YYYY-MM")&amp;"|"&amp;$A25,'Monthly Log'!$O$4:$O$303,0))),"")</f>
        <v/>
      </c>
      <c r="S25" s="67" t="str">
        <f aca="false">IF($A25="","",IF(AND($H25=0,$K25=0,$E25=0),"Not started",IF(OR(AND($D25&gt;0,$E25/$D25&gt;$C$10),AND($H25&gt;0,$I25/$H25&lt;$C$8),$P25&gt;=$C$11),"Red",IF(OR(AND($D25&gt;0,$E25/$D25&gt;$C$9),AND($H25&gt;0,$I25/$H25&lt;$C$7),AND($K25&gt;0,$L25/$K25&lt;$C$7),$P25&gt;0,$Q25&gt;0),"Amber","Green"))))</f>
        <v/>
      </c>
      <c r="T25" s="84" t="str">
        <f aca="false">IFERROR(IF($C$3="Daily",INDEX('Daily Log'!$N$4:$N$1503,MATCH(TEXT($C$4,"YYYY-MM-DD")&amp;"|"&amp;$A25,'Daily Log'!$O$4:$O$1503,0)),INDEX('Monthly Log'!$N$4:$N$303,MATCH(TEXT($C$4,"YYYY-MM")&amp;"|"&amp;$A25,'Monthly Log'!$O$4:$O$303,0))),"")</f>
        <v/>
      </c>
    </row>
    <row r="26" customFormat="false" ht="15" hidden="false" customHeight="true" outlineLevel="0" collapsed="false">
      <c r="A26" s="80" t="str">
        <f aca="false">IF('TOR Register'!$A14="","",'TOR Register'!$A14)</f>
        <v/>
      </c>
      <c r="B26" s="18" t="str">
        <f aca="false">IFERROR(INDEX('TOR Register'!$B$4:$B$43,MATCH($A26,'TOR Register'!$A$4:$A$43,0)),"")</f>
        <v/>
      </c>
      <c r="C26" s="18" t="str">
        <f aca="false">IFERROR(INDEX('TOR Register'!$E$4:$E$43,MATCH($A26,'TOR Register'!$A$4:$A$43,0)),"")</f>
        <v/>
      </c>
      <c r="D26" s="81" t="str">
        <f aca="false">IFERROR(INDEX('TOR Register'!$I$4:$I$43,MATCH($A26,'TOR Register'!$A$4:$A$43,0)),"")</f>
        <v/>
      </c>
      <c r="E26" s="81" t="n">
        <f aca="false">IF($C$3="Daily",SUMIFS('Daily Log'!$G$4:$G$1503,'Daily Log'!$A$4:$A$1503,$C$4,'Daily Log'!$B$4:$B$1503,$A26),SUMIFS('Monthly Log'!$G$4:$G$303,'Monthly Log'!$A$4:$A$303,$C$4,'Monthly Log'!$B$4:$B$303,$A26))</f>
        <v>0</v>
      </c>
      <c r="F26" s="22" t="str">
        <f aca="false">IF(N($D26)=0,"",$E26/$D26)</f>
        <v/>
      </c>
      <c r="G26" s="21" t="str">
        <f aca="false">IF($A26="","",$D26-$E26)</f>
        <v/>
      </c>
      <c r="H26" s="82" t="n">
        <f aca="false">IF($C$3="Daily",SUMIFS('Daily Log'!$C$4:$C$1503,'Daily Log'!$A$4:$A$1503,$C$4,'Daily Log'!$B$4:$B$1503,$A26),SUMIFS('Monthly Log'!$C$4:$C$303,'Monthly Log'!$A$4:$A$303,$C$4,'Monthly Log'!$B$4:$B$303,$A26))</f>
        <v>0</v>
      </c>
      <c r="I26" s="82" t="n">
        <f aca="false">IF($C$3="Daily",SUMIFS('Daily Log'!$D$4:$D$1503,'Daily Log'!$A$4:$A$1503,$C$4,'Daily Log'!$B$4:$B$1503,$A26),SUMIFS('Monthly Log'!$D$4:$D$303,'Monthly Log'!$A$4:$A$303,$C$4,'Monthly Log'!$B$4:$B$303,$A26))</f>
        <v>0</v>
      </c>
      <c r="J26" s="83" t="str">
        <f aca="false">IF($H26=0,"",$I26/$H26)</f>
        <v/>
      </c>
      <c r="K26" s="82" t="n">
        <f aca="false">IF($C$3="Daily",SUMIFS('Daily Log'!$E$4:$E$1503,'Daily Log'!$A$4:$A$1503,$C$4,'Daily Log'!$B$4:$B$1503,$A26),SUMIFS('Monthly Log'!$E$4:$E$303,'Monthly Log'!$A$4:$A$303,$C$4,'Monthly Log'!$B$4:$B$303,$A26))</f>
        <v>0</v>
      </c>
      <c r="L26" s="82" t="n">
        <f aca="false">IF($C$3="Daily",SUMIFS('Daily Log'!$F$4:$F$1503,'Daily Log'!$A$4:$A$1503,$C$4,'Daily Log'!$B$4:$B$1503,$A26),SUMIFS('Monthly Log'!$F$4:$F$303,'Monthly Log'!$A$4:$A$303,$C$4,'Monthly Log'!$B$4:$B$303,$A26))</f>
        <v>0</v>
      </c>
      <c r="M26" s="83" t="str">
        <f aca="false">IF($K26=0,"",$L26/$K26)</f>
        <v/>
      </c>
      <c r="N26" s="82" t="n">
        <f aca="false">IF($C$3="Daily",SUMIFS('Daily Log'!$I$4:$I$1503,'Daily Log'!$A$4:$A$1503,$C$4,'Daily Log'!$B$4:$B$1503,$A26),SUMIFS('Monthly Log'!$I$4:$I$303,'Monthly Log'!$A$4:$A$303,$C$4,'Monthly Log'!$B$4:$B$303,$A26))</f>
        <v>0</v>
      </c>
      <c r="O26" s="82" t="n">
        <f aca="false">IF($C$3="Daily",SUMIFS('Daily Log'!$J$4:$J$1503,'Daily Log'!$A$4:$A$1503,$C$4,'Daily Log'!$B$4:$B$1503,$A26),SUMIFS('Monthly Log'!$J$4:$J$303,'Monthly Log'!$A$4:$A$303,$C$4,'Monthly Log'!$B$4:$B$303,$A26))</f>
        <v>0</v>
      </c>
      <c r="P26" s="82" t="n">
        <f aca="false">IF($C$3="Daily",SUMIFS('Daily Log'!$K$4:$K$1503,'Daily Log'!$A$4:$A$1503,$C$4,'Daily Log'!$B$4:$B$1503,$A26),SUMIFS('Monthly Log'!$K$4:$K$303,'Monthly Log'!$A$4:$A$303,$C$4,'Monthly Log'!$B$4:$B$303,$A26))</f>
        <v>0</v>
      </c>
      <c r="Q26" s="82" t="n">
        <f aca="false">IF($C$3="Daily",SUMIFS('Daily Log'!$L$4:$L$1503,'Daily Log'!$A$4:$A$1503,$C$4,'Daily Log'!$B$4:$B$1503,$A26),SUMIFS('Monthly Log'!$L$4:$L$303,'Monthly Log'!$A$4:$A$303,$C$4,'Monthly Log'!$B$4:$B$303,$A26))</f>
        <v>0</v>
      </c>
      <c r="R26" s="80" t="str">
        <f aca="false">IFERROR(IF($C$3="Daily",INDEX('Daily Log'!$M$4:$M$1503,MATCH(TEXT($C$4,"YYYY-MM-DD")&amp;"|"&amp;$A26,'Daily Log'!$O$4:$O$1503,0)),INDEX('Monthly Log'!$M$4:$M$303,MATCH(TEXT($C$4,"YYYY-MM")&amp;"|"&amp;$A26,'Monthly Log'!$O$4:$O$303,0))),"")</f>
        <v/>
      </c>
      <c r="S26" s="67" t="str">
        <f aca="false">IF($A26="","",IF(AND($H26=0,$K26=0,$E26=0),"Not started",IF(OR(AND($D26&gt;0,$E26/$D26&gt;$C$10),AND($H26&gt;0,$I26/$H26&lt;$C$8),$P26&gt;=$C$11),"Red",IF(OR(AND($D26&gt;0,$E26/$D26&gt;$C$9),AND($H26&gt;0,$I26/$H26&lt;$C$7),AND($K26&gt;0,$L26/$K26&lt;$C$7),$P26&gt;0,$Q26&gt;0),"Amber","Green"))))</f>
        <v/>
      </c>
      <c r="T26" s="84" t="str">
        <f aca="false">IFERROR(IF($C$3="Daily",INDEX('Daily Log'!$N$4:$N$1503,MATCH(TEXT($C$4,"YYYY-MM-DD")&amp;"|"&amp;$A26,'Daily Log'!$O$4:$O$1503,0)),INDEX('Monthly Log'!$N$4:$N$303,MATCH(TEXT($C$4,"YYYY-MM")&amp;"|"&amp;$A26,'Monthly Log'!$O$4:$O$303,0))),"")</f>
        <v/>
      </c>
    </row>
    <row r="27" customFormat="false" ht="15" hidden="false" customHeight="true" outlineLevel="0" collapsed="false">
      <c r="A27" s="80" t="str">
        <f aca="false">IF('TOR Register'!$A15="","",'TOR Register'!$A15)</f>
        <v/>
      </c>
      <c r="B27" s="18" t="str">
        <f aca="false">IFERROR(INDEX('TOR Register'!$B$4:$B$43,MATCH($A27,'TOR Register'!$A$4:$A$43,0)),"")</f>
        <v/>
      </c>
      <c r="C27" s="18" t="str">
        <f aca="false">IFERROR(INDEX('TOR Register'!$E$4:$E$43,MATCH($A27,'TOR Register'!$A$4:$A$43,0)),"")</f>
        <v/>
      </c>
      <c r="D27" s="81" t="str">
        <f aca="false">IFERROR(INDEX('TOR Register'!$I$4:$I$43,MATCH($A27,'TOR Register'!$A$4:$A$43,0)),"")</f>
        <v/>
      </c>
      <c r="E27" s="81" t="n">
        <f aca="false">IF($C$3="Daily",SUMIFS('Daily Log'!$G$4:$G$1503,'Daily Log'!$A$4:$A$1503,$C$4,'Daily Log'!$B$4:$B$1503,$A27),SUMIFS('Monthly Log'!$G$4:$G$303,'Monthly Log'!$A$4:$A$303,$C$4,'Monthly Log'!$B$4:$B$303,$A27))</f>
        <v>0</v>
      </c>
      <c r="F27" s="22" t="str">
        <f aca="false">IF(N($D27)=0,"",$E27/$D27)</f>
        <v/>
      </c>
      <c r="G27" s="21" t="str">
        <f aca="false">IF($A27="","",$D27-$E27)</f>
        <v/>
      </c>
      <c r="H27" s="82" t="n">
        <f aca="false">IF($C$3="Daily",SUMIFS('Daily Log'!$C$4:$C$1503,'Daily Log'!$A$4:$A$1503,$C$4,'Daily Log'!$B$4:$B$1503,$A27),SUMIFS('Monthly Log'!$C$4:$C$303,'Monthly Log'!$A$4:$A$303,$C$4,'Monthly Log'!$B$4:$B$303,$A27))</f>
        <v>0</v>
      </c>
      <c r="I27" s="82" t="n">
        <f aca="false">IF($C$3="Daily",SUMIFS('Daily Log'!$D$4:$D$1503,'Daily Log'!$A$4:$A$1503,$C$4,'Daily Log'!$B$4:$B$1503,$A27),SUMIFS('Monthly Log'!$D$4:$D$303,'Monthly Log'!$A$4:$A$303,$C$4,'Monthly Log'!$B$4:$B$303,$A27))</f>
        <v>0</v>
      </c>
      <c r="J27" s="83" t="str">
        <f aca="false">IF($H27=0,"",$I27/$H27)</f>
        <v/>
      </c>
      <c r="K27" s="82" t="n">
        <f aca="false">IF($C$3="Daily",SUMIFS('Daily Log'!$E$4:$E$1503,'Daily Log'!$A$4:$A$1503,$C$4,'Daily Log'!$B$4:$B$1503,$A27),SUMIFS('Monthly Log'!$E$4:$E$303,'Monthly Log'!$A$4:$A$303,$C$4,'Monthly Log'!$B$4:$B$303,$A27))</f>
        <v>0</v>
      </c>
      <c r="L27" s="82" t="n">
        <f aca="false">IF($C$3="Daily",SUMIFS('Daily Log'!$F$4:$F$1503,'Daily Log'!$A$4:$A$1503,$C$4,'Daily Log'!$B$4:$B$1503,$A27),SUMIFS('Monthly Log'!$F$4:$F$303,'Monthly Log'!$A$4:$A$303,$C$4,'Monthly Log'!$B$4:$B$303,$A27))</f>
        <v>0</v>
      </c>
      <c r="M27" s="83" t="str">
        <f aca="false">IF($K27=0,"",$L27/$K27)</f>
        <v/>
      </c>
      <c r="N27" s="82" t="n">
        <f aca="false">IF($C$3="Daily",SUMIFS('Daily Log'!$I$4:$I$1503,'Daily Log'!$A$4:$A$1503,$C$4,'Daily Log'!$B$4:$B$1503,$A27),SUMIFS('Monthly Log'!$I$4:$I$303,'Monthly Log'!$A$4:$A$303,$C$4,'Monthly Log'!$B$4:$B$303,$A27))</f>
        <v>0</v>
      </c>
      <c r="O27" s="82" t="n">
        <f aca="false">IF($C$3="Daily",SUMIFS('Daily Log'!$J$4:$J$1503,'Daily Log'!$A$4:$A$1503,$C$4,'Daily Log'!$B$4:$B$1503,$A27),SUMIFS('Monthly Log'!$J$4:$J$303,'Monthly Log'!$A$4:$A$303,$C$4,'Monthly Log'!$B$4:$B$303,$A27))</f>
        <v>0</v>
      </c>
      <c r="P27" s="82" t="n">
        <f aca="false">IF($C$3="Daily",SUMIFS('Daily Log'!$K$4:$K$1503,'Daily Log'!$A$4:$A$1503,$C$4,'Daily Log'!$B$4:$B$1503,$A27),SUMIFS('Monthly Log'!$K$4:$K$303,'Monthly Log'!$A$4:$A$303,$C$4,'Monthly Log'!$B$4:$B$303,$A27))</f>
        <v>0</v>
      </c>
      <c r="Q27" s="82" t="n">
        <f aca="false">IF($C$3="Daily",SUMIFS('Daily Log'!$L$4:$L$1503,'Daily Log'!$A$4:$A$1503,$C$4,'Daily Log'!$B$4:$B$1503,$A27),SUMIFS('Monthly Log'!$L$4:$L$303,'Monthly Log'!$A$4:$A$303,$C$4,'Monthly Log'!$B$4:$B$303,$A27))</f>
        <v>0</v>
      </c>
      <c r="R27" s="80" t="str">
        <f aca="false">IFERROR(IF($C$3="Daily",INDEX('Daily Log'!$M$4:$M$1503,MATCH(TEXT($C$4,"YYYY-MM-DD")&amp;"|"&amp;$A27,'Daily Log'!$O$4:$O$1503,0)),INDEX('Monthly Log'!$M$4:$M$303,MATCH(TEXT($C$4,"YYYY-MM")&amp;"|"&amp;$A27,'Monthly Log'!$O$4:$O$303,0))),"")</f>
        <v/>
      </c>
      <c r="S27" s="67" t="str">
        <f aca="false">IF($A27="","",IF(AND($H27=0,$K27=0,$E27=0),"Not started",IF(OR(AND($D27&gt;0,$E27/$D27&gt;$C$10),AND($H27&gt;0,$I27/$H27&lt;$C$8),$P27&gt;=$C$11),"Red",IF(OR(AND($D27&gt;0,$E27/$D27&gt;$C$9),AND($H27&gt;0,$I27/$H27&lt;$C$7),AND($K27&gt;0,$L27/$K27&lt;$C$7),$P27&gt;0,$Q27&gt;0),"Amber","Green"))))</f>
        <v/>
      </c>
      <c r="T27" s="84" t="str">
        <f aca="false">IFERROR(IF($C$3="Daily",INDEX('Daily Log'!$N$4:$N$1503,MATCH(TEXT($C$4,"YYYY-MM-DD")&amp;"|"&amp;$A27,'Daily Log'!$O$4:$O$1503,0)),INDEX('Monthly Log'!$N$4:$N$303,MATCH(TEXT($C$4,"YYYY-MM")&amp;"|"&amp;$A27,'Monthly Log'!$O$4:$O$303,0))),"")</f>
        <v/>
      </c>
    </row>
    <row r="28" customFormat="false" ht="15" hidden="false" customHeight="true" outlineLevel="0" collapsed="false">
      <c r="A28" s="80" t="str">
        <f aca="false">IF('TOR Register'!$A16="","",'TOR Register'!$A16)</f>
        <v/>
      </c>
      <c r="B28" s="18" t="str">
        <f aca="false">IFERROR(INDEX('TOR Register'!$B$4:$B$43,MATCH($A28,'TOR Register'!$A$4:$A$43,0)),"")</f>
        <v/>
      </c>
      <c r="C28" s="18" t="str">
        <f aca="false">IFERROR(INDEX('TOR Register'!$E$4:$E$43,MATCH($A28,'TOR Register'!$A$4:$A$43,0)),"")</f>
        <v/>
      </c>
      <c r="D28" s="81" t="str">
        <f aca="false">IFERROR(INDEX('TOR Register'!$I$4:$I$43,MATCH($A28,'TOR Register'!$A$4:$A$43,0)),"")</f>
        <v/>
      </c>
      <c r="E28" s="81" t="n">
        <f aca="false">IF($C$3="Daily",SUMIFS('Daily Log'!$G$4:$G$1503,'Daily Log'!$A$4:$A$1503,$C$4,'Daily Log'!$B$4:$B$1503,$A28),SUMIFS('Monthly Log'!$G$4:$G$303,'Monthly Log'!$A$4:$A$303,$C$4,'Monthly Log'!$B$4:$B$303,$A28))</f>
        <v>0</v>
      </c>
      <c r="F28" s="22" t="str">
        <f aca="false">IF(N($D28)=0,"",$E28/$D28)</f>
        <v/>
      </c>
      <c r="G28" s="21" t="str">
        <f aca="false">IF($A28="","",$D28-$E28)</f>
        <v/>
      </c>
      <c r="H28" s="82" t="n">
        <f aca="false">IF($C$3="Daily",SUMIFS('Daily Log'!$C$4:$C$1503,'Daily Log'!$A$4:$A$1503,$C$4,'Daily Log'!$B$4:$B$1503,$A28),SUMIFS('Monthly Log'!$C$4:$C$303,'Monthly Log'!$A$4:$A$303,$C$4,'Monthly Log'!$B$4:$B$303,$A28))</f>
        <v>0</v>
      </c>
      <c r="I28" s="82" t="n">
        <f aca="false">IF($C$3="Daily",SUMIFS('Daily Log'!$D$4:$D$1503,'Daily Log'!$A$4:$A$1503,$C$4,'Daily Log'!$B$4:$B$1503,$A28),SUMIFS('Monthly Log'!$D$4:$D$303,'Monthly Log'!$A$4:$A$303,$C$4,'Monthly Log'!$B$4:$B$303,$A28))</f>
        <v>0</v>
      </c>
      <c r="J28" s="83" t="str">
        <f aca="false">IF($H28=0,"",$I28/$H28)</f>
        <v/>
      </c>
      <c r="K28" s="82" t="n">
        <f aca="false">IF($C$3="Daily",SUMIFS('Daily Log'!$E$4:$E$1503,'Daily Log'!$A$4:$A$1503,$C$4,'Daily Log'!$B$4:$B$1503,$A28),SUMIFS('Monthly Log'!$E$4:$E$303,'Monthly Log'!$A$4:$A$303,$C$4,'Monthly Log'!$B$4:$B$303,$A28))</f>
        <v>0</v>
      </c>
      <c r="L28" s="82" t="n">
        <f aca="false">IF($C$3="Daily",SUMIFS('Daily Log'!$F$4:$F$1503,'Daily Log'!$A$4:$A$1503,$C$4,'Daily Log'!$B$4:$B$1503,$A28),SUMIFS('Monthly Log'!$F$4:$F$303,'Monthly Log'!$A$4:$A$303,$C$4,'Monthly Log'!$B$4:$B$303,$A28))</f>
        <v>0</v>
      </c>
      <c r="M28" s="83" t="str">
        <f aca="false">IF($K28=0,"",$L28/$K28)</f>
        <v/>
      </c>
      <c r="N28" s="82" t="n">
        <f aca="false">IF($C$3="Daily",SUMIFS('Daily Log'!$I$4:$I$1503,'Daily Log'!$A$4:$A$1503,$C$4,'Daily Log'!$B$4:$B$1503,$A28),SUMIFS('Monthly Log'!$I$4:$I$303,'Monthly Log'!$A$4:$A$303,$C$4,'Monthly Log'!$B$4:$B$303,$A28))</f>
        <v>0</v>
      </c>
      <c r="O28" s="82" t="n">
        <f aca="false">IF($C$3="Daily",SUMIFS('Daily Log'!$J$4:$J$1503,'Daily Log'!$A$4:$A$1503,$C$4,'Daily Log'!$B$4:$B$1503,$A28),SUMIFS('Monthly Log'!$J$4:$J$303,'Monthly Log'!$A$4:$A$303,$C$4,'Monthly Log'!$B$4:$B$303,$A28))</f>
        <v>0</v>
      </c>
      <c r="P28" s="82" t="n">
        <f aca="false">IF($C$3="Daily",SUMIFS('Daily Log'!$K$4:$K$1503,'Daily Log'!$A$4:$A$1503,$C$4,'Daily Log'!$B$4:$B$1503,$A28),SUMIFS('Monthly Log'!$K$4:$K$303,'Monthly Log'!$A$4:$A$303,$C$4,'Monthly Log'!$B$4:$B$303,$A28))</f>
        <v>0</v>
      </c>
      <c r="Q28" s="82" t="n">
        <f aca="false">IF($C$3="Daily",SUMIFS('Daily Log'!$L$4:$L$1503,'Daily Log'!$A$4:$A$1503,$C$4,'Daily Log'!$B$4:$B$1503,$A28),SUMIFS('Monthly Log'!$L$4:$L$303,'Monthly Log'!$A$4:$A$303,$C$4,'Monthly Log'!$B$4:$B$303,$A28))</f>
        <v>0</v>
      </c>
      <c r="R28" s="80" t="str">
        <f aca="false">IFERROR(IF($C$3="Daily",INDEX('Daily Log'!$M$4:$M$1503,MATCH(TEXT($C$4,"YYYY-MM-DD")&amp;"|"&amp;$A28,'Daily Log'!$O$4:$O$1503,0)),INDEX('Monthly Log'!$M$4:$M$303,MATCH(TEXT($C$4,"YYYY-MM")&amp;"|"&amp;$A28,'Monthly Log'!$O$4:$O$303,0))),"")</f>
        <v/>
      </c>
      <c r="S28" s="67" t="str">
        <f aca="false">IF($A28="","",IF(AND($H28=0,$K28=0,$E28=0),"Not started",IF(OR(AND($D28&gt;0,$E28/$D28&gt;$C$10),AND($H28&gt;0,$I28/$H28&lt;$C$8),$P28&gt;=$C$11),"Red",IF(OR(AND($D28&gt;0,$E28/$D28&gt;$C$9),AND($H28&gt;0,$I28/$H28&lt;$C$7),AND($K28&gt;0,$L28/$K28&lt;$C$7),$P28&gt;0,$Q28&gt;0),"Amber","Green"))))</f>
        <v/>
      </c>
      <c r="T28" s="84" t="str">
        <f aca="false">IFERROR(IF($C$3="Daily",INDEX('Daily Log'!$N$4:$N$1503,MATCH(TEXT($C$4,"YYYY-MM-DD")&amp;"|"&amp;$A28,'Daily Log'!$O$4:$O$1503,0)),INDEX('Monthly Log'!$N$4:$N$303,MATCH(TEXT($C$4,"YYYY-MM")&amp;"|"&amp;$A28,'Monthly Log'!$O$4:$O$303,0))),"")</f>
        <v/>
      </c>
    </row>
    <row r="29" customFormat="false" ht="15" hidden="false" customHeight="true" outlineLevel="0" collapsed="false">
      <c r="A29" s="80" t="str">
        <f aca="false">IF('TOR Register'!$A17="","",'TOR Register'!$A17)</f>
        <v/>
      </c>
      <c r="B29" s="18" t="str">
        <f aca="false">IFERROR(INDEX('TOR Register'!$B$4:$B$43,MATCH($A29,'TOR Register'!$A$4:$A$43,0)),"")</f>
        <v/>
      </c>
      <c r="C29" s="18" t="str">
        <f aca="false">IFERROR(INDEX('TOR Register'!$E$4:$E$43,MATCH($A29,'TOR Register'!$A$4:$A$43,0)),"")</f>
        <v/>
      </c>
      <c r="D29" s="81" t="str">
        <f aca="false">IFERROR(INDEX('TOR Register'!$I$4:$I$43,MATCH($A29,'TOR Register'!$A$4:$A$43,0)),"")</f>
        <v/>
      </c>
      <c r="E29" s="81" t="n">
        <f aca="false">IF($C$3="Daily",SUMIFS('Daily Log'!$G$4:$G$1503,'Daily Log'!$A$4:$A$1503,$C$4,'Daily Log'!$B$4:$B$1503,$A29),SUMIFS('Monthly Log'!$G$4:$G$303,'Monthly Log'!$A$4:$A$303,$C$4,'Monthly Log'!$B$4:$B$303,$A29))</f>
        <v>0</v>
      </c>
      <c r="F29" s="22" t="str">
        <f aca="false">IF(N($D29)=0,"",$E29/$D29)</f>
        <v/>
      </c>
      <c r="G29" s="21" t="str">
        <f aca="false">IF($A29="","",$D29-$E29)</f>
        <v/>
      </c>
      <c r="H29" s="82" t="n">
        <f aca="false">IF($C$3="Daily",SUMIFS('Daily Log'!$C$4:$C$1503,'Daily Log'!$A$4:$A$1503,$C$4,'Daily Log'!$B$4:$B$1503,$A29),SUMIFS('Monthly Log'!$C$4:$C$303,'Monthly Log'!$A$4:$A$303,$C$4,'Monthly Log'!$B$4:$B$303,$A29))</f>
        <v>0</v>
      </c>
      <c r="I29" s="82" t="n">
        <f aca="false">IF($C$3="Daily",SUMIFS('Daily Log'!$D$4:$D$1503,'Daily Log'!$A$4:$A$1503,$C$4,'Daily Log'!$B$4:$B$1503,$A29),SUMIFS('Monthly Log'!$D$4:$D$303,'Monthly Log'!$A$4:$A$303,$C$4,'Monthly Log'!$B$4:$B$303,$A29))</f>
        <v>0</v>
      </c>
      <c r="J29" s="83" t="str">
        <f aca="false">IF($H29=0,"",$I29/$H29)</f>
        <v/>
      </c>
      <c r="K29" s="82" t="n">
        <f aca="false">IF($C$3="Daily",SUMIFS('Daily Log'!$E$4:$E$1503,'Daily Log'!$A$4:$A$1503,$C$4,'Daily Log'!$B$4:$B$1503,$A29),SUMIFS('Monthly Log'!$E$4:$E$303,'Monthly Log'!$A$4:$A$303,$C$4,'Monthly Log'!$B$4:$B$303,$A29))</f>
        <v>0</v>
      </c>
      <c r="L29" s="82" t="n">
        <f aca="false">IF($C$3="Daily",SUMIFS('Daily Log'!$F$4:$F$1503,'Daily Log'!$A$4:$A$1503,$C$4,'Daily Log'!$B$4:$B$1503,$A29),SUMIFS('Monthly Log'!$F$4:$F$303,'Monthly Log'!$A$4:$A$303,$C$4,'Monthly Log'!$B$4:$B$303,$A29))</f>
        <v>0</v>
      </c>
      <c r="M29" s="83" t="str">
        <f aca="false">IF($K29=0,"",$L29/$K29)</f>
        <v/>
      </c>
      <c r="N29" s="82" t="n">
        <f aca="false">IF($C$3="Daily",SUMIFS('Daily Log'!$I$4:$I$1503,'Daily Log'!$A$4:$A$1503,$C$4,'Daily Log'!$B$4:$B$1503,$A29),SUMIFS('Monthly Log'!$I$4:$I$303,'Monthly Log'!$A$4:$A$303,$C$4,'Monthly Log'!$B$4:$B$303,$A29))</f>
        <v>0</v>
      </c>
      <c r="O29" s="82" t="n">
        <f aca="false">IF($C$3="Daily",SUMIFS('Daily Log'!$J$4:$J$1503,'Daily Log'!$A$4:$A$1503,$C$4,'Daily Log'!$B$4:$B$1503,$A29),SUMIFS('Monthly Log'!$J$4:$J$303,'Monthly Log'!$A$4:$A$303,$C$4,'Monthly Log'!$B$4:$B$303,$A29))</f>
        <v>0</v>
      </c>
      <c r="P29" s="82" t="n">
        <f aca="false">IF($C$3="Daily",SUMIFS('Daily Log'!$K$4:$K$1503,'Daily Log'!$A$4:$A$1503,$C$4,'Daily Log'!$B$4:$B$1503,$A29),SUMIFS('Monthly Log'!$K$4:$K$303,'Monthly Log'!$A$4:$A$303,$C$4,'Monthly Log'!$B$4:$B$303,$A29))</f>
        <v>0</v>
      </c>
      <c r="Q29" s="82" t="n">
        <f aca="false">IF($C$3="Daily",SUMIFS('Daily Log'!$L$4:$L$1503,'Daily Log'!$A$4:$A$1503,$C$4,'Daily Log'!$B$4:$B$1503,$A29),SUMIFS('Monthly Log'!$L$4:$L$303,'Monthly Log'!$A$4:$A$303,$C$4,'Monthly Log'!$B$4:$B$303,$A29))</f>
        <v>0</v>
      </c>
      <c r="R29" s="80" t="str">
        <f aca="false">IFERROR(IF($C$3="Daily",INDEX('Daily Log'!$M$4:$M$1503,MATCH(TEXT($C$4,"YYYY-MM-DD")&amp;"|"&amp;$A29,'Daily Log'!$O$4:$O$1503,0)),INDEX('Monthly Log'!$M$4:$M$303,MATCH(TEXT($C$4,"YYYY-MM")&amp;"|"&amp;$A29,'Monthly Log'!$O$4:$O$303,0))),"")</f>
        <v/>
      </c>
      <c r="S29" s="67" t="str">
        <f aca="false">IF($A29="","",IF(AND($H29=0,$K29=0,$E29=0),"Not started",IF(OR(AND($D29&gt;0,$E29/$D29&gt;$C$10),AND($H29&gt;0,$I29/$H29&lt;$C$8),$P29&gt;=$C$11),"Red",IF(OR(AND($D29&gt;0,$E29/$D29&gt;$C$9),AND($H29&gt;0,$I29/$H29&lt;$C$7),AND($K29&gt;0,$L29/$K29&lt;$C$7),$P29&gt;0,$Q29&gt;0),"Amber","Green"))))</f>
        <v/>
      </c>
      <c r="T29" s="84" t="str">
        <f aca="false">IFERROR(IF($C$3="Daily",INDEX('Daily Log'!$N$4:$N$1503,MATCH(TEXT($C$4,"YYYY-MM-DD")&amp;"|"&amp;$A29,'Daily Log'!$O$4:$O$1503,0)),INDEX('Monthly Log'!$N$4:$N$303,MATCH(TEXT($C$4,"YYYY-MM")&amp;"|"&amp;$A29,'Monthly Log'!$O$4:$O$303,0))),"")</f>
        <v/>
      </c>
    </row>
    <row r="30" customFormat="false" ht="15" hidden="false" customHeight="true" outlineLevel="0" collapsed="false">
      <c r="A30" s="80" t="str">
        <f aca="false">IF('TOR Register'!$A18="","",'TOR Register'!$A18)</f>
        <v/>
      </c>
      <c r="B30" s="18" t="str">
        <f aca="false">IFERROR(INDEX('TOR Register'!$B$4:$B$43,MATCH($A30,'TOR Register'!$A$4:$A$43,0)),"")</f>
        <v/>
      </c>
      <c r="C30" s="18" t="str">
        <f aca="false">IFERROR(INDEX('TOR Register'!$E$4:$E$43,MATCH($A30,'TOR Register'!$A$4:$A$43,0)),"")</f>
        <v/>
      </c>
      <c r="D30" s="81" t="str">
        <f aca="false">IFERROR(INDEX('TOR Register'!$I$4:$I$43,MATCH($A30,'TOR Register'!$A$4:$A$43,0)),"")</f>
        <v/>
      </c>
      <c r="E30" s="81" t="n">
        <f aca="false">IF($C$3="Daily",SUMIFS('Daily Log'!$G$4:$G$1503,'Daily Log'!$A$4:$A$1503,$C$4,'Daily Log'!$B$4:$B$1503,$A30),SUMIFS('Monthly Log'!$G$4:$G$303,'Monthly Log'!$A$4:$A$303,$C$4,'Monthly Log'!$B$4:$B$303,$A30))</f>
        <v>0</v>
      </c>
      <c r="F30" s="22" t="str">
        <f aca="false">IF(N($D30)=0,"",$E30/$D30)</f>
        <v/>
      </c>
      <c r="G30" s="21" t="str">
        <f aca="false">IF($A30="","",$D30-$E30)</f>
        <v/>
      </c>
      <c r="H30" s="82" t="n">
        <f aca="false">IF($C$3="Daily",SUMIFS('Daily Log'!$C$4:$C$1503,'Daily Log'!$A$4:$A$1503,$C$4,'Daily Log'!$B$4:$B$1503,$A30),SUMIFS('Monthly Log'!$C$4:$C$303,'Monthly Log'!$A$4:$A$303,$C$4,'Monthly Log'!$B$4:$B$303,$A30))</f>
        <v>0</v>
      </c>
      <c r="I30" s="82" t="n">
        <f aca="false">IF($C$3="Daily",SUMIFS('Daily Log'!$D$4:$D$1503,'Daily Log'!$A$4:$A$1503,$C$4,'Daily Log'!$B$4:$B$1503,$A30),SUMIFS('Monthly Log'!$D$4:$D$303,'Monthly Log'!$A$4:$A$303,$C$4,'Monthly Log'!$B$4:$B$303,$A30))</f>
        <v>0</v>
      </c>
      <c r="J30" s="83" t="str">
        <f aca="false">IF($H30=0,"",$I30/$H30)</f>
        <v/>
      </c>
      <c r="K30" s="82" t="n">
        <f aca="false">IF($C$3="Daily",SUMIFS('Daily Log'!$E$4:$E$1503,'Daily Log'!$A$4:$A$1503,$C$4,'Daily Log'!$B$4:$B$1503,$A30),SUMIFS('Monthly Log'!$E$4:$E$303,'Monthly Log'!$A$4:$A$303,$C$4,'Monthly Log'!$B$4:$B$303,$A30))</f>
        <v>0</v>
      </c>
      <c r="L30" s="82" t="n">
        <f aca="false">IF($C$3="Daily",SUMIFS('Daily Log'!$F$4:$F$1503,'Daily Log'!$A$4:$A$1503,$C$4,'Daily Log'!$B$4:$B$1503,$A30),SUMIFS('Monthly Log'!$F$4:$F$303,'Monthly Log'!$A$4:$A$303,$C$4,'Monthly Log'!$B$4:$B$303,$A30))</f>
        <v>0</v>
      </c>
      <c r="M30" s="83" t="str">
        <f aca="false">IF($K30=0,"",$L30/$K30)</f>
        <v/>
      </c>
      <c r="N30" s="82" t="n">
        <f aca="false">IF($C$3="Daily",SUMIFS('Daily Log'!$I$4:$I$1503,'Daily Log'!$A$4:$A$1503,$C$4,'Daily Log'!$B$4:$B$1503,$A30),SUMIFS('Monthly Log'!$I$4:$I$303,'Monthly Log'!$A$4:$A$303,$C$4,'Monthly Log'!$B$4:$B$303,$A30))</f>
        <v>0</v>
      </c>
      <c r="O30" s="82" t="n">
        <f aca="false">IF($C$3="Daily",SUMIFS('Daily Log'!$J$4:$J$1503,'Daily Log'!$A$4:$A$1503,$C$4,'Daily Log'!$B$4:$B$1503,$A30),SUMIFS('Monthly Log'!$J$4:$J$303,'Monthly Log'!$A$4:$A$303,$C$4,'Monthly Log'!$B$4:$B$303,$A30))</f>
        <v>0</v>
      </c>
      <c r="P30" s="82" t="n">
        <f aca="false">IF($C$3="Daily",SUMIFS('Daily Log'!$K$4:$K$1503,'Daily Log'!$A$4:$A$1503,$C$4,'Daily Log'!$B$4:$B$1503,$A30),SUMIFS('Monthly Log'!$K$4:$K$303,'Monthly Log'!$A$4:$A$303,$C$4,'Monthly Log'!$B$4:$B$303,$A30))</f>
        <v>0</v>
      </c>
      <c r="Q30" s="82" t="n">
        <f aca="false">IF($C$3="Daily",SUMIFS('Daily Log'!$L$4:$L$1503,'Daily Log'!$A$4:$A$1503,$C$4,'Daily Log'!$B$4:$B$1503,$A30),SUMIFS('Monthly Log'!$L$4:$L$303,'Monthly Log'!$A$4:$A$303,$C$4,'Monthly Log'!$B$4:$B$303,$A30))</f>
        <v>0</v>
      </c>
      <c r="R30" s="80" t="str">
        <f aca="false">IFERROR(IF($C$3="Daily",INDEX('Daily Log'!$M$4:$M$1503,MATCH(TEXT($C$4,"YYYY-MM-DD")&amp;"|"&amp;$A30,'Daily Log'!$O$4:$O$1503,0)),INDEX('Monthly Log'!$M$4:$M$303,MATCH(TEXT($C$4,"YYYY-MM")&amp;"|"&amp;$A30,'Monthly Log'!$O$4:$O$303,0))),"")</f>
        <v/>
      </c>
      <c r="S30" s="67" t="str">
        <f aca="false">IF($A30="","",IF(AND($H30=0,$K30=0,$E30=0),"Not started",IF(OR(AND($D30&gt;0,$E30/$D30&gt;$C$10),AND($H30&gt;0,$I30/$H30&lt;$C$8),$P30&gt;=$C$11),"Red",IF(OR(AND($D30&gt;0,$E30/$D30&gt;$C$9),AND($H30&gt;0,$I30/$H30&lt;$C$7),AND($K30&gt;0,$L30/$K30&lt;$C$7),$P30&gt;0,$Q30&gt;0),"Amber","Green"))))</f>
        <v/>
      </c>
      <c r="T30" s="84" t="str">
        <f aca="false">IFERROR(IF($C$3="Daily",INDEX('Daily Log'!$N$4:$N$1503,MATCH(TEXT($C$4,"YYYY-MM-DD")&amp;"|"&amp;$A30,'Daily Log'!$O$4:$O$1503,0)),INDEX('Monthly Log'!$N$4:$N$303,MATCH(TEXT($C$4,"YYYY-MM")&amp;"|"&amp;$A30,'Monthly Log'!$O$4:$O$303,0))),"")</f>
        <v/>
      </c>
    </row>
    <row r="31" customFormat="false" ht="15" hidden="false" customHeight="true" outlineLevel="0" collapsed="false">
      <c r="A31" s="80" t="str">
        <f aca="false">IF('TOR Register'!$A19="","",'TOR Register'!$A19)</f>
        <v/>
      </c>
      <c r="B31" s="18" t="str">
        <f aca="false">IFERROR(INDEX('TOR Register'!$B$4:$B$43,MATCH($A31,'TOR Register'!$A$4:$A$43,0)),"")</f>
        <v/>
      </c>
      <c r="C31" s="18" t="str">
        <f aca="false">IFERROR(INDEX('TOR Register'!$E$4:$E$43,MATCH($A31,'TOR Register'!$A$4:$A$43,0)),"")</f>
        <v/>
      </c>
      <c r="D31" s="81" t="str">
        <f aca="false">IFERROR(INDEX('TOR Register'!$I$4:$I$43,MATCH($A31,'TOR Register'!$A$4:$A$43,0)),"")</f>
        <v/>
      </c>
      <c r="E31" s="81" t="n">
        <f aca="false">IF($C$3="Daily",SUMIFS('Daily Log'!$G$4:$G$1503,'Daily Log'!$A$4:$A$1503,$C$4,'Daily Log'!$B$4:$B$1503,$A31),SUMIFS('Monthly Log'!$G$4:$G$303,'Monthly Log'!$A$4:$A$303,$C$4,'Monthly Log'!$B$4:$B$303,$A31))</f>
        <v>0</v>
      </c>
      <c r="F31" s="22" t="str">
        <f aca="false">IF(N($D31)=0,"",$E31/$D31)</f>
        <v/>
      </c>
      <c r="G31" s="21" t="str">
        <f aca="false">IF($A31="","",$D31-$E31)</f>
        <v/>
      </c>
      <c r="H31" s="82" t="n">
        <f aca="false">IF($C$3="Daily",SUMIFS('Daily Log'!$C$4:$C$1503,'Daily Log'!$A$4:$A$1503,$C$4,'Daily Log'!$B$4:$B$1503,$A31),SUMIFS('Monthly Log'!$C$4:$C$303,'Monthly Log'!$A$4:$A$303,$C$4,'Monthly Log'!$B$4:$B$303,$A31))</f>
        <v>0</v>
      </c>
      <c r="I31" s="82" t="n">
        <f aca="false">IF($C$3="Daily",SUMIFS('Daily Log'!$D$4:$D$1503,'Daily Log'!$A$4:$A$1503,$C$4,'Daily Log'!$B$4:$B$1503,$A31),SUMIFS('Monthly Log'!$D$4:$D$303,'Monthly Log'!$A$4:$A$303,$C$4,'Monthly Log'!$B$4:$B$303,$A31))</f>
        <v>0</v>
      </c>
      <c r="J31" s="83" t="str">
        <f aca="false">IF($H31=0,"",$I31/$H31)</f>
        <v/>
      </c>
      <c r="K31" s="82" t="n">
        <f aca="false">IF($C$3="Daily",SUMIFS('Daily Log'!$E$4:$E$1503,'Daily Log'!$A$4:$A$1503,$C$4,'Daily Log'!$B$4:$B$1503,$A31),SUMIFS('Monthly Log'!$E$4:$E$303,'Monthly Log'!$A$4:$A$303,$C$4,'Monthly Log'!$B$4:$B$303,$A31))</f>
        <v>0</v>
      </c>
      <c r="L31" s="82" t="n">
        <f aca="false">IF($C$3="Daily",SUMIFS('Daily Log'!$F$4:$F$1503,'Daily Log'!$A$4:$A$1503,$C$4,'Daily Log'!$B$4:$B$1503,$A31),SUMIFS('Monthly Log'!$F$4:$F$303,'Monthly Log'!$A$4:$A$303,$C$4,'Monthly Log'!$B$4:$B$303,$A31))</f>
        <v>0</v>
      </c>
      <c r="M31" s="83" t="str">
        <f aca="false">IF($K31=0,"",$L31/$K31)</f>
        <v/>
      </c>
      <c r="N31" s="82" t="n">
        <f aca="false">IF($C$3="Daily",SUMIFS('Daily Log'!$I$4:$I$1503,'Daily Log'!$A$4:$A$1503,$C$4,'Daily Log'!$B$4:$B$1503,$A31),SUMIFS('Monthly Log'!$I$4:$I$303,'Monthly Log'!$A$4:$A$303,$C$4,'Monthly Log'!$B$4:$B$303,$A31))</f>
        <v>0</v>
      </c>
      <c r="O31" s="82" t="n">
        <f aca="false">IF($C$3="Daily",SUMIFS('Daily Log'!$J$4:$J$1503,'Daily Log'!$A$4:$A$1503,$C$4,'Daily Log'!$B$4:$B$1503,$A31),SUMIFS('Monthly Log'!$J$4:$J$303,'Monthly Log'!$A$4:$A$303,$C$4,'Monthly Log'!$B$4:$B$303,$A31))</f>
        <v>0</v>
      </c>
      <c r="P31" s="82" t="n">
        <f aca="false">IF($C$3="Daily",SUMIFS('Daily Log'!$K$4:$K$1503,'Daily Log'!$A$4:$A$1503,$C$4,'Daily Log'!$B$4:$B$1503,$A31),SUMIFS('Monthly Log'!$K$4:$K$303,'Monthly Log'!$A$4:$A$303,$C$4,'Monthly Log'!$B$4:$B$303,$A31))</f>
        <v>0</v>
      </c>
      <c r="Q31" s="82" t="n">
        <f aca="false">IF($C$3="Daily",SUMIFS('Daily Log'!$L$4:$L$1503,'Daily Log'!$A$4:$A$1503,$C$4,'Daily Log'!$B$4:$B$1503,$A31),SUMIFS('Monthly Log'!$L$4:$L$303,'Monthly Log'!$A$4:$A$303,$C$4,'Monthly Log'!$B$4:$B$303,$A31))</f>
        <v>0</v>
      </c>
      <c r="R31" s="80" t="str">
        <f aca="false">IFERROR(IF($C$3="Daily",INDEX('Daily Log'!$M$4:$M$1503,MATCH(TEXT($C$4,"YYYY-MM-DD")&amp;"|"&amp;$A31,'Daily Log'!$O$4:$O$1503,0)),INDEX('Monthly Log'!$M$4:$M$303,MATCH(TEXT($C$4,"YYYY-MM")&amp;"|"&amp;$A31,'Monthly Log'!$O$4:$O$303,0))),"")</f>
        <v/>
      </c>
      <c r="S31" s="67" t="str">
        <f aca="false">IF($A31="","",IF(AND($H31=0,$K31=0,$E31=0),"Not started",IF(OR(AND($D31&gt;0,$E31/$D31&gt;$C$10),AND($H31&gt;0,$I31/$H31&lt;$C$8),$P31&gt;=$C$11),"Red",IF(OR(AND($D31&gt;0,$E31/$D31&gt;$C$9),AND($H31&gt;0,$I31/$H31&lt;$C$7),AND($K31&gt;0,$L31/$K31&lt;$C$7),$P31&gt;0,$Q31&gt;0),"Amber","Green"))))</f>
        <v/>
      </c>
      <c r="T31" s="84" t="str">
        <f aca="false">IFERROR(IF($C$3="Daily",INDEX('Daily Log'!$N$4:$N$1503,MATCH(TEXT($C$4,"YYYY-MM-DD")&amp;"|"&amp;$A31,'Daily Log'!$O$4:$O$1503,0)),INDEX('Monthly Log'!$N$4:$N$303,MATCH(TEXT($C$4,"YYYY-MM")&amp;"|"&amp;$A31,'Monthly Log'!$O$4:$O$303,0))),"")</f>
        <v/>
      </c>
    </row>
    <row r="32" customFormat="false" ht="15" hidden="false" customHeight="true" outlineLevel="0" collapsed="false">
      <c r="A32" s="80" t="str">
        <f aca="false">IF('TOR Register'!$A20="","",'TOR Register'!$A20)</f>
        <v/>
      </c>
      <c r="B32" s="18" t="str">
        <f aca="false">IFERROR(INDEX('TOR Register'!$B$4:$B$43,MATCH($A32,'TOR Register'!$A$4:$A$43,0)),"")</f>
        <v/>
      </c>
      <c r="C32" s="18" t="str">
        <f aca="false">IFERROR(INDEX('TOR Register'!$E$4:$E$43,MATCH($A32,'TOR Register'!$A$4:$A$43,0)),"")</f>
        <v/>
      </c>
      <c r="D32" s="81" t="str">
        <f aca="false">IFERROR(INDEX('TOR Register'!$I$4:$I$43,MATCH($A32,'TOR Register'!$A$4:$A$43,0)),"")</f>
        <v/>
      </c>
      <c r="E32" s="81" t="n">
        <f aca="false">IF($C$3="Daily",SUMIFS('Daily Log'!$G$4:$G$1503,'Daily Log'!$A$4:$A$1503,$C$4,'Daily Log'!$B$4:$B$1503,$A32),SUMIFS('Monthly Log'!$G$4:$G$303,'Monthly Log'!$A$4:$A$303,$C$4,'Monthly Log'!$B$4:$B$303,$A32))</f>
        <v>0</v>
      </c>
      <c r="F32" s="22" t="str">
        <f aca="false">IF(N($D32)=0,"",$E32/$D32)</f>
        <v/>
      </c>
      <c r="G32" s="21" t="str">
        <f aca="false">IF($A32="","",$D32-$E32)</f>
        <v/>
      </c>
      <c r="H32" s="82" t="n">
        <f aca="false">IF($C$3="Daily",SUMIFS('Daily Log'!$C$4:$C$1503,'Daily Log'!$A$4:$A$1503,$C$4,'Daily Log'!$B$4:$B$1503,$A32),SUMIFS('Monthly Log'!$C$4:$C$303,'Monthly Log'!$A$4:$A$303,$C$4,'Monthly Log'!$B$4:$B$303,$A32))</f>
        <v>0</v>
      </c>
      <c r="I32" s="82" t="n">
        <f aca="false">IF($C$3="Daily",SUMIFS('Daily Log'!$D$4:$D$1503,'Daily Log'!$A$4:$A$1503,$C$4,'Daily Log'!$B$4:$B$1503,$A32),SUMIFS('Monthly Log'!$D$4:$D$303,'Monthly Log'!$A$4:$A$303,$C$4,'Monthly Log'!$B$4:$B$303,$A32))</f>
        <v>0</v>
      </c>
      <c r="J32" s="83" t="str">
        <f aca="false">IF($H32=0,"",$I32/$H32)</f>
        <v/>
      </c>
      <c r="K32" s="82" t="n">
        <f aca="false">IF($C$3="Daily",SUMIFS('Daily Log'!$E$4:$E$1503,'Daily Log'!$A$4:$A$1503,$C$4,'Daily Log'!$B$4:$B$1503,$A32),SUMIFS('Monthly Log'!$E$4:$E$303,'Monthly Log'!$A$4:$A$303,$C$4,'Monthly Log'!$B$4:$B$303,$A32))</f>
        <v>0</v>
      </c>
      <c r="L32" s="82" t="n">
        <f aca="false">IF($C$3="Daily",SUMIFS('Daily Log'!$F$4:$F$1503,'Daily Log'!$A$4:$A$1503,$C$4,'Daily Log'!$B$4:$B$1503,$A32),SUMIFS('Monthly Log'!$F$4:$F$303,'Monthly Log'!$A$4:$A$303,$C$4,'Monthly Log'!$B$4:$B$303,$A32))</f>
        <v>0</v>
      </c>
      <c r="M32" s="83" t="str">
        <f aca="false">IF($K32=0,"",$L32/$K32)</f>
        <v/>
      </c>
      <c r="N32" s="82" t="n">
        <f aca="false">IF($C$3="Daily",SUMIFS('Daily Log'!$I$4:$I$1503,'Daily Log'!$A$4:$A$1503,$C$4,'Daily Log'!$B$4:$B$1503,$A32),SUMIFS('Monthly Log'!$I$4:$I$303,'Monthly Log'!$A$4:$A$303,$C$4,'Monthly Log'!$B$4:$B$303,$A32))</f>
        <v>0</v>
      </c>
      <c r="O32" s="82" t="n">
        <f aca="false">IF($C$3="Daily",SUMIFS('Daily Log'!$J$4:$J$1503,'Daily Log'!$A$4:$A$1503,$C$4,'Daily Log'!$B$4:$B$1503,$A32),SUMIFS('Monthly Log'!$J$4:$J$303,'Monthly Log'!$A$4:$A$303,$C$4,'Monthly Log'!$B$4:$B$303,$A32))</f>
        <v>0</v>
      </c>
      <c r="P32" s="82" t="n">
        <f aca="false">IF($C$3="Daily",SUMIFS('Daily Log'!$K$4:$K$1503,'Daily Log'!$A$4:$A$1503,$C$4,'Daily Log'!$B$4:$B$1503,$A32),SUMIFS('Monthly Log'!$K$4:$K$303,'Monthly Log'!$A$4:$A$303,$C$4,'Monthly Log'!$B$4:$B$303,$A32))</f>
        <v>0</v>
      </c>
      <c r="Q32" s="82" t="n">
        <f aca="false">IF($C$3="Daily",SUMIFS('Daily Log'!$L$4:$L$1503,'Daily Log'!$A$4:$A$1503,$C$4,'Daily Log'!$B$4:$B$1503,$A32),SUMIFS('Monthly Log'!$L$4:$L$303,'Monthly Log'!$A$4:$A$303,$C$4,'Monthly Log'!$B$4:$B$303,$A32))</f>
        <v>0</v>
      </c>
      <c r="R32" s="80" t="str">
        <f aca="false">IFERROR(IF($C$3="Daily",INDEX('Daily Log'!$M$4:$M$1503,MATCH(TEXT($C$4,"YYYY-MM-DD")&amp;"|"&amp;$A32,'Daily Log'!$O$4:$O$1503,0)),INDEX('Monthly Log'!$M$4:$M$303,MATCH(TEXT($C$4,"YYYY-MM")&amp;"|"&amp;$A32,'Monthly Log'!$O$4:$O$303,0))),"")</f>
        <v/>
      </c>
      <c r="S32" s="67" t="str">
        <f aca="false">IF($A32="","",IF(AND($H32=0,$K32=0,$E32=0),"Not started",IF(OR(AND($D32&gt;0,$E32/$D32&gt;$C$10),AND($H32&gt;0,$I32/$H32&lt;$C$8),$P32&gt;=$C$11),"Red",IF(OR(AND($D32&gt;0,$E32/$D32&gt;$C$9),AND($H32&gt;0,$I32/$H32&lt;$C$7),AND($K32&gt;0,$L32/$K32&lt;$C$7),$P32&gt;0,$Q32&gt;0),"Amber","Green"))))</f>
        <v/>
      </c>
      <c r="T32" s="84" t="str">
        <f aca="false">IFERROR(IF($C$3="Daily",INDEX('Daily Log'!$N$4:$N$1503,MATCH(TEXT($C$4,"YYYY-MM-DD")&amp;"|"&amp;$A32,'Daily Log'!$O$4:$O$1503,0)),INDEX('Monthly Log'!$N$4:$N$303,MATCH(TEXT($C$4,"YYYY-MM")&amp;"|"&amp;$A32,'Monthly Log'!$O$4:$O$303,0))),"")</f>
        <v/>
      </c>
    </row>
    <row r="33" customFormat="false" ht="15" hidden="false" customHeight="true" outlineLevel="0" collapsed="false">
      <c r="A33" s="80" t="str">
        <f aca="false">IF('TOR Register'!$A21="","",'TOR Register'!$A21)</f>
        <v/>
      </c>
      <c r="B33" s="18" t="str">
        <f aca="false">IFERROR(INDEX('TOR Register'!$B$4:$B$43,MATCH($A33,'TOR Register'!$A$4:$A$43,0)),"")</f>
        <v/>
      </c>
      <c r="C33" s="18" t="str">
        <f aca="false">IFERROR(INDEX('TOR Register'!$E$4:$E$43,MATCH($A33,'TOR Register'!$A$4:$A$43,0)),"")</f>
        <v/>
      </c>
      <c r="D33" s="81" t="str">
        <f aca="false">IFERROR(INDEX('TOR Register'!$I$4:$I$43,MATCH($A33,'TOR Register'!$A$4:$A$43,0)),"")</f>
        <v/>
      </c>
      <c r="E33" s="81" t="n">
        <f aca="false">IF($C$3="Daily",SUMIFS('Daily Log'!$G$4:$G$1503,'Daily Log'!$A$4:$A$1503,$C$4,'Daily Log'!$B$4:$B$1503,$A33),SUMIFS('Monthly Log'!$G$4:$G$303,'Monthly Log'!$A$4:$A$303,$C$4,'Monthly Log'!$B$4:$B$303,$A33))</f>
        <v>0</v>
      </c>
      <c r="F33" s="22" t="str">
        <f aca="false">IF(N($D33)=0,"",$E33/$D33)</f>
        <v/>
      </c>
      <c r="G33" s="21" t="str">
        <f aca="false">IF($A33="","",$D33-$E33)</f>
        <v/>
      </c>
      <c r="H33" s="82" t="n">
        <f aca="false">IF($C$3="Daily",SUMIFS('Daily Log'!$C$4:$C$1503,'Daily Log'!$A$4:$A$1503,$C$4,'Daily Log'!$B$4:$B$1503,$A33),SUMIFS('Monthly Log'!$C$4:$C$303,'Monthly Log'!$A$4:$A$303,$C$4,'Monthly Log'!$B$4:$B$303,$A33))</f>
        <v>0</v>
      </c>
      <c r="I33" s="82" t="n">
        <f aca="false">IF($C$3="Daily",SUMIFS('Daily Log'!$D$4:$D$1503,'Daily Log'!$A$4:$A$1503,$C$4,'Daily Log'!$B$4:$B$1503,$A33),SUMIFS('Monthly Log'!$D$4:$D$303,'Monthly Log'!$A$4:$A$303,$C$4,'Monthly Log'!$B$4:$B$303,$A33))</f>
        <v>0</v>
      </c>
      <c r="J33" s="83" t="str">
        <f aca="false">IF($H33=0,"",$I33/$H33)</f>
        <v/>
      </c>
      <c r="K33" s="82" t="n">
        <f aca="false">IF($C$3="Daily",SUMIFS('Daily Log'!$E$4:$E$1503,'Daily Log'!$A$4:$A$1503,$C$4,'Daily Log'!$B$4:$B$1503,$A33),SUMIFS('Monthly Log'!$E$4:$E$303,'Monthly Log'!$A$4:$A$303,$C$4,'Monthly Log'!$B$4:$B$303,$A33))</f>
        <v>0</v>
      </c>
      <c r="L33" s="82" t="n">
        <f aca="false">IF($C$3="Daily",SUMIFS('Daily Log'!$F$4:$F$1503,'Daily Log'!$A$4:$A$1503,$C$4,'Daily Log'!$B$4:$B$1503,$A33),SUMIFS('Monthly Log'!$F$4:$F$303,'Monthly Log'!$A$4:$A$303,$C$4,'Monthly Log'!$B$4:$B$303,$A33))</f>
        <v>0</v>
      </c>
      <c r="M33" s="83" t="str">
        <f aca="false">IF($K33=0,"",$L33/$K33)</f>
        <v/>
      </c>
      <c r="N33" s="82" t="n">
        <f aca="false">IF($C$3="Daily",SUMIFS('Daily Log'!$I$4:$I$1503,'Daily Log'!$A$4:$A$1503,$C$4,'Daily Log'!$B$4:$B$1503,$A33),SUMIFS('Monthly Log'!$I$4:$I$303,'Monthly Log'!$A$4:$A$303,$C$4,'Monthly Log'!$B$4:$B$303,$A33))</f>
        <v>0</v>
      </c>
      <c r="O33" s="82" t="n">
        <f aca="false">IF($C$3="Daily",SUMIFS('Daily Log'!$J$4:$J$1503,'Daily Log'!$A$4:$A$1503,$C$4,'Daily Log'!$B$4:$B$1503,$A33),SUMIFS('Monthly Log'!$J$4:$J$303,'Monthly Log'!$A$4:$A$303,$C$4,'Monthly Log'!$B$4:$B$303,$A33))</f>
        <v>0</v>
      </c>
      <c r="P33" s="82" t="n">
        <f aca="false">IF($C$3="Daily",SUMIFS('Daily Log'!$K$4:$K$1503,'Daily Log'!$A$4:$A$1503,$C$4,'Daily Log'!$B$4:$B$1503,$A33),SUMIFS('Monthly Log'!$K$4:$K$303,'Monthly Log'!$A$4:$A$303,$C$4,'Monthly Log'!$B$4:$B$303,$A33))</f>
        <v>0</v>
      </c>
      <c r="Q33" s="82" t="n">
        <f aca="false">IF($C$3="Daily",SUMIFS('Daily Log'!$L$4:$L$1503,'Daily Log'!$A$4:$A$1503,$C$4,'Daily Log'!$B$4:$B$1503,$A33),SUMIFS('Monthly Log'!$L$4:$L$303,'Monthly Log'!$A$4:$A$303,$C$4,'Monthly Log'!$B$4:$B$303,$A33))</f>
        <v>0</v>
      </c>
      <c r="R33" s="80" t="str">
        <f aca="false">IFERROR(IF($C$3="Daily",INDEX('Daily Log'!$M$4:$M$1503,MATCH(TEXT($C$4,"YYYY-MM-DD")&amp;"|"&amp;$A33,'Daily Log'!$O$4:$O$1503,0)),INDEX('Monthly Log'!$M$4:$M$303,MATCH(TEXT($C$4,"YYYY-MM")&amp;"|"&amp;$A33,'Monthly Log'!$O$4:$O$303,0))),"")</f>
        <v/>
      </c>
      <c r="S33" s="67" t="str">
        <f aca="false">IF($A33="","",IF(AND($H33=0,$K33=0,$E33=0),"Not started",IF(OR(AND($D33&gt;0,$E33/$D33&gt;$C$10),AND($H33&gt;0,$I33/$H33&lt;$C$8),$P33&gt;=$C$11),"Red",IF(OR(AND($D33&gt;0,$E33/$D33&gt;$C$9),AND($H33&gt;0,$I33/$H33&lt;$C$7),AND($K33&gt;0,$L33/$K33&lt;$C$7),$P33&gt;0,$Q33&gt;0),"Amber","Green"))))</f>
        <v/>
      </c>
      <c r="T33" s="84" t="str">
        <f aca="false">IFERROR(IF($C$3="Daily",INDEX('Daily Log'!$N$4:$N$1503,MATCH(TEXT($C$4,"YYYY-MM-DD")&amp;"|"&amp;$A33,'Daily Log'!$O$4:$O$1503,0)),INDEX('Monthly Log'!$N$4:$N$303,MATCH(TEXT($C$4,"YYYY-MM")&amp;"|"&amp;$A33,'Monthly Log'!$O$4:$O$303,0))),"")</f>
        <v/>
      </c>
    </row>
    <row r="34" customFormat="false" ht="15" hidden="false" customHeight="true" outlineLevel="0" collapsed="false">
      <c r="A34" s="80" t="str">
        <f aca="false">IF('TOR Register'!$A22="","",'TOR Register'!$A22)</f>
        <v/>
      </c>
      <c r="B34" s="18" t="str">
        <f aca="false">IFERROR(INDEX('TOR Register'!$B$4:$B$43,MATCH($A34,'TOR Register'!$A$4:$A$43,0)),"")</f>
        <v/>
      </c>
      <c r="C34" s="18" t="str">
        <f aca="false">IFERROR(INDEX('TOR Register'!$E$4:$E$43,MATCH($A34,'TOR Register'!$A$4:$A$43,0)),"")</f>
        <v/>
      </c>
      <c r="D34" s="81" t="str">
        <f aca="false">IFERROR(INDEX('TOR Register'!$I$4:$I$43,MATCH($A34,'TOR Register'!$A$4:$A$43,0)),"")</f>
        <v/>
      </c>
      <c r="E34" s="81" t="n">
        <f aca="false">IF($C$3="Daily",SUMIFS('Daily Log'!$G$4:$G$1503,'Daily Log'!$A$4:$A$1503,$C$4,'Daily Log'!$B$4:$B$1503,$A34),SUMIFS('Monthly Log'!$G$4:$G$303,'Monthly Log'!$A$4:$A$303,$C$4,'Monthly Log'!$B$4:$B$303,$A34))</f>
        <v>0</v>
      </c>
      <c r="F34" s="22" t="str">
        <f aca="false">IF(N($D34)=0,"",$E34/$D34)</f>
        <v/>
      </c>
      <c r="G34" s="21" t="str">
        <f aca="false">IF($A34="","",$D34-$E34)</f>
        <v/>
      </c>
      <c r="H34" s="82" t="n">
        <f aca="false">IF($C$3="Daily",SUMIFS('Daily Log'!$C$4:$C$1503,'Daily Log'!$A$4:$A$1503,$C$4,'Daily Log'!$B$4:$B$1503,$A34),SUMIFS('Monthly Log'!$C$4:$C$303,'Monthly Log'!$A$4:$A$303,$C$4,'Monthly Log'!$B$4:$B$303,$A34))</f>
        <v>0</v>
      </c>
      <c r="I34" s="82" t="n">
        <f aca="false">IF($C$3="Daily",SUMIFS('Daily Log'!$D$4:$D$1503,'Daily Log'!$A$4:$A$1503,$C$4,'Daily Log'!$B$4:$B$1503,$A34),SUMIFS('Monthly Log'!$D$4:$D$303,'Monthly Log'!$A$4:$A$303,$C$4,'Monthly Log'!$B$4:$B$303,$A34))</f>
        <v>0</v>
      </c>
      <c r="J34" s="83" t="str">
        <f aca="false">IF($H34=0,"",$I34/$H34)</f>
        <v/>
      </c>
      <c r="K34" s="82" t="n">
        <f aca="false">IF($C$3="Daily",SUMIFS('Daily Log'!$E$4:$E$1503,'Daily Log'!$A$4:$A$1503,$C$4,'Daily Log'!$B$4:$B$1503,$A34),SUMIFS('Monthly Log'!$E$4:$E$303,'Monthly Log'!$A$4:$A$303,$C$4,'Monthly Log'!$B$4:$B$303,$A34))</f>
        <v>0</v>
      </c>
      <c r="L34" s="82" t="n">
        <f aca="false">IF($C$3="Daily",SUMIFS('Daily Log'!$F$4:$F$1503,'Daily Log'!$A$4:$A$1503,$C$4,'Daily Log'!$B$4:$B$1503,$A34),SUMIFS('Monthly Log'!$F$4:$F$303,'Monthly Log'!$A$4:$A$303,$C$4,'Monthly Log'!$B$4:$B$303,$A34))</f>
        <v>0</v>
      </c>
      <c r="M34" s="83" t="str">
        <f aca="false">IF($K34=0,"",$L34/$K34)</f>
        <v/>
      </c>
      <c r="N34" s="82" t="n">
        <f aca="false">IF($C$3="Daily",SUMIFS('Daily Log'!$I$4:$I$1503,'Daily Log'!$A$4:$A$1503,$C$4,'Daily Log'!$B$4:$B$1503,$A34),SUMIFS('Monthly Log'!$I$4:$I$303,'Monthly Log'!$A$4:$A$303,$C$4,'Monthly Log'!$B$4:$B$303,$A34))</f>
        <v>0</v>
      </c>
      <c r="O34" s="82" t="n">
        <f aca="false">IF($C$3="Daily",SUMIFS('Daily Log'!$J$4:$J$1503,'Daily Log'!$A$4:$A$1503,$C$4,'Daily Log'!$B$4:$B$1503,$A34),SUMIFS('Monthly Log'!$J$4:$J$303,'Monthly Log'!$A$4:$A$303,$C$4,'Monthly Log'!$B$4:$B$303,$A34))</f>
        <v>0</v>
      </c>
      <c r="P34" s="82" t="n">
        <f aca="false">IF($C$3="Daily",SUMIFS('Daily Log'!$K$4:$K$1503,'Daily Log'!$A$4:$A$1503,$C$4,'Daily Log'!$B$4:$B$1503,$A34),SUMIFS('Monthly Log'!$K$4:$K$303,'Monthly Log'!$A$4:$A$303,$C$4,'Monthly Log'!$B$4:$B$303,$A34))</f>
        <v>0</v>
      </c>
      <c r="Q34" s="82" t="n">
        <f aca="false">IF($C$3="Daily",SUMIFS('Daily Log'!$L$4:$L$1503,'Daily Log'!$A$4:$A$1503,$C$4,'Daily Log'!$B$4:$B$1503,$A34),SUMIFS('Monthly Log'!$L$4:$L$303,'Monthly Log'!$A$4:$A$303,$C$4,'Monthly Log'!$B$4:$B$303,$A34))</f>
        <v>0</v>
      </c>
      <c r="R34" s="80" t="str">
        <f aca="false">IFERROR(IF($C$3="Daily",INDEX('Daily Log'!$M$4:$M$1503,MATCH(TEXT($C$4,"YYYY-MM-DD")&amp;"|"&amp;$A34,'Daily Log'!$O$4:$O$1503,0)),INDEX('Monthly Log'!$M$4:$M$303,MATCH(TEXT($C$4,"YYYY-MM")&amp;"|"&amp;$A34,'Monthly Log'!$O$4:$O$303,0))),"")</f>
        <v/>
      </c>
      <c r="S34" s="67" t="str">
        <f aca="false">IF($A34="","",IF(AND($H34=0,$K34=0,$E34=0),"Not started",IF(OR(AND($D34&gt;0,$E34/$D34&gt;$C$10),AND($H34&gt;0,$I34/$H34&lt;$C$8),$P34&gt;=$C$11),"Red",IF(OR(AND($D34&gt;0,$E34/$D34&gt;$C$9),AND($H34&gt;0,$I34/$H34&lt;$C$7),AND($K34&gt;0,$L34/$K34&lt;$C$7),$P34&gt;0,$Q34&gt;0),"Amber","Green"))))</f>
        <v/>
      </c>
      <c r="T34" s="84" t="str">
        <f aca="false">IFERROR(IF($C$3="Daily",INDEX('Daily Log'!$N$4:$N$1503,MATCH(TEXT($C$4,"YYYY-MM-DD")&amp;"|"&amp;$A34,'Daily Log'!$O$4:$O$1503,0)),INDEX('Monthly Log'!$N$4:$N$303,MATCH(TEXT($C$4,"YYYY-MM")&amp;"|"&amp;$A34,'Monthly Log'!$O$4:$O$303,0))),"")</f>
        <v/>
      </c>
    </row>
    <row r="35" customFormat="false" ht="15" hidden="false" customHeight="true" outlineLevel="0" collapsed="false">
      <c r="A35" s="80" t="str">
        <f aca="false">IF('TOR Register'!$A23="","",'TOR Register'!$A23)</f>
        <v/>
      </c>
      <c r="B35" s="18" t="str">
        <f aca="false">IFERROR(INDEX('TOR Register'!$B$4:$B$43,MATCH($A35,'TOR Register'!$A$4:$A$43,0)),"")</f>
        <v/>
      </c>
      <c r="C35" s="18" t="str">
        <f aca="false">IFERROR(INDEX('TOR Register'!$E$4:$E$43,MATCH($A35,'TOR Register'!$A$4:$A$43,0)),"")</f>
        <v/>
      </c>
      <c r="D35" s="81" t="str">
        <f aca="false">IFERROR(INDEX('TOR Register'!$I$4:$I$43,MATCH($A35,'TOR Register'!$A$4:$A$43,0)),"")</f>
        <v/>
      </c>
      <c r="E35" s="81" t="n">
        <f aca="false">IF($C$3="Daily",SUMIFS('Daily Log'!$G$4:$G$1503,'Daily Log'!$A$4:$A$1503,$C$4,'Daily Log'!$B$4:$B$1503,$A35),SUMIFS('Monthly Log'!$G$4:$G$303,'Monthly Log'!$A$4:$A$303,$C$4,'Monthly Log'!$B$4:$B$303,$A35))</f>
        <v>0</v>
      </c>
      <c r="F35" s="22" t="str">
        <f aca="false">IF(N($D35)=0,"",$E35/$D35)</f>
        <v/>
      </c>
      <c r="G35" s="21" t="str">
        <f aca="false">IF($A35="","",$D35-$E35)</f>
        <v/>
      </c>
      <c r="H35" s="82" t="n">
        <f aca="false">IF($C$3="Daily",SUMIFS('Daily Log'!$C$4:$C$1503,'Daily Log'!$A$4:$A$1503,$C$4,'Daily Log'!$B$4:$B$1503,$A35),SUMIFS('Monthly Log'!$C$4:$C$303,'Monthly Log'!$A$4:$A$303,$C$4,'Monthly Log'!$B$4:$B$303,$A35))</f>
        <v>0</v>
      </c>
      <c r="I35" s="82" t="n">
        <f aca="false">IF($C$3="Daily",SUMIFS('Daily Log'!$D$4:$D$1503,'Daily Log'!$A$4:$A$1503,$C$4,'Daily Log'!$B$4:$B$1503,$A35),SUMIFS('Monthly Log'!$D$4:$D$303,'Monthly Log'!$A$4:$A$303,$C$4,'Monthly Log'!$B$4:$B$303,$A35))</f>
        <v>0</v>
      </c>
      <c r="J35" s="83" t="str">
        <f aca="false">IF($H35=0,"",$I35/$H35)</f>
        <v/>
      </c>
      <c r="K35" s="82" t="n">
        <f aca="false">IF($C$3="Daily",SUMIFS('Daily Log'!$E$4:$E$1503,'Daily Log'!$A$4:$A$1503,$C$4,'Daily Log'!$B$4:$B$1503,$A35),SUMIFS('Monthly Log'!$E$4:$E$303,'Monthly Log'!$A$4:$A$303,$C$4,'Monthly Log'!$B$4:$B$303,$A35))</f>
        <v>0</v>
      </c>
      <c r="L35" s="82" t="n">
        <f aca="false">IF($C$3="Daily",SUMIFS('Daily Log'!$F$4:$F$1503,'Daily Log'!$A$4:$A$1503,$C$4,'Daily Log'!$B$4:$B$1503,$A35),SUMIFS('Monthly Log'!$F$4:$F$303,'Monthly Log'!$A$4:$A$303,$C$4,'Monthly Log'!$B$4:$B$303,$A35))</f>
        <v>0</v>
      </c>
      <c r="M35" s="83" t="str">
        <f aca="false">IF($K35=0,"",$L35/$K35)</f>
        <v/>
      </c>
      <c r="N35" s="82" t="n">
        <f aca="false">IF($C$3="Daily",SUMIFS('Daily Log'!$I$4:$I$1503,'Daily Log'!$A$4:$A$1503,$C$4,'Daily Log'!$B$4:$B$1503,$A35),SUMIFS('Monthly Log'!$I$4:$I$303,'Monthly Log'!$A$4:$A$303,$C$4,'Monthly Log'!$B$4:$B$303,$A35))</f>
        <v>0</v>
      </c>
      <c r="O35" s="82" t="n">
        <f aca="false">IF($C$3="Daily",SUMIFS('Daily Log'!$J$4:$J$1503,'Daily Log'!$A$4:$A$1503,$C$4,'Daily Log'!$B$4:$B$1503,$A35),SUMIFS('Monthly Log'!$J$4:$J$303,'Monthly Log'!$A$4:$A$303,$C$4,'Monthly Log'!$B$4:$B$303,$A35))</f>
        <v>0</v>
      </c>
      <c r="P35" s="82" t="n">
        <f aca="false">IF($C$3="Daily",SUMIFS('Daily Log'!$K$4:$K$1503,'Daily Log'!$A$4:$A$1503,$C$4,'Daily Log'!$B$4:$B$1503,$A35),SUMIFS('Monthly Log'!$K$4:$K$303,'Monthly Log'!$A$4:$A$303,$C$4,'Monthly Log'!$B$4:$B$303,$A35))</f>
        <v>0</v>
      </c>
      <c r="Q35" s="82" t="n">
        <f aca="false">IF($C$3="Daily",SUMIFS('Daily Log'!$L$4:$L$1503,'Daily Log'!$A$4:$A$1503,$C$4,'Daily Log'!$B$4:$B$1503,$A35),SUMIFS('Monthly Log'!$L$4:$L$303,'Monthly Log'!$A$4:$A$303,$C$4,'Monthly Log'!$B$4:$B$303,$A35))</f>
        <v>0</v>
      </c>
      <c r="R35" s="80" t="str">
        <f aca="false">IFERROR(IF($C$3="Daily",INDEX('Daily Log'!$M$4:$M$1503,MATCH(TEXT($C$4,"YYYY-MM-DD")&amp;"|"&amp;$A35,'Daily Log'!$O$4:$O$1503,0)),INDEX('Monthly Log'!$M$4:$M$303,MATCH(TEXT($C$4,"YYYY-MM")&amp;"|"&amp;$A35,'Monthly Log'!$O$4:$O$303,0))),"")</f>
        <v/>
      </c>
      <c r="S35" s="67" t="str">
        <f aca="false">IF($A35="","",IF(AND($H35=0,$K35=0,$E35=0),"Not started",IF(OR(AND($D35&gt;0,$E35/$D35&gt;$C$10),AND($H35&gt;0,$I35/$H35&lt;$C$8),$P35&gt;=$C$11),"Red",IF(OR(AND($D35&gt;0,$E35/$D35&gt;$C$9),AND($H35&gt;0,$I35/$H35&lt;$C$7),AND($K35&gt;0,$L35/$K35&lt;$C$7),$P35&gt;0,$Q35&gt;0),"Amber","Green"))))</f>
        <v/>
      </c>
      <c r="T35" s="84" t="str">
        <f aca="false">IFERROR(IF($C$3="Daily",INDEX('Daily Log'!$N$4:$N$1503,MATCH(TEXT($C$4,"YYYY-MM-DD")&amp;"|"&amp;$A35,'Daily Log'!$O$4:$O$1503,0)),INDEX('Monthly Log'!$N$4:$N$303,MATCH(TEXT($C$4,"YYYY-MM")&amp;"|"&amp;$A35,'Monthly Log'!$O$4:$O$303,0))),"")</f>
        <v/>
      </c>
    </row>
    <row r="36" customFormat="false" ht="15" hidden="false" customHeight="true" outlineLevel="0" collapsed="false">
      <c r="A36" s="80" t="str">
        <f aca="false">IF('TOR Register'!$A24="","",'TOR Register'!$A24)</f>
        <v/>
      </c>
      <c r="B36" s="18" t="str">
        <f aca="false">IFERROR(INDEX('TOR Register'!$B$4:$B$43,MATCH($A36,'TOR Register'!$A$4:$A$43,0)),"")</f>
        <v/>
      </c>
      <c r="C36" s="18" t="str">
        <f aca="false">IFERROR(INDEX('TOR Register'!$E$4:$E$43,MATCH($A36,'TOR Register'!$A$4:$A$43,0)),"")</f>
        <v/>
      </c>
      <c r="D36" s="81" t="str">
        <f aca="false">IFERROR(INDEX('TOR Register'!$I$4:$I$43,MATCH($A36,'TOR Register'!$A$4:$A$43,0)),"")</f>
        <v/>
      </c>
      <c r="E36" s="81" t="n">
        <f aca="false">IF($C$3="Daily",SUMIFS('Daily Log'!$G$4:$G$1503,'Daily Log'!$A$4:$A$1503,$C$4,'Daily Log'!$B$4:$B$1503,$A36),SUMIFS('Monthly Log'!$G$4:$G$303,'Monthly Log'!$A$4:$A$303,$C$4,'Monthly Log'!$B$4:$B$303,$A36))</f>
        <v>0</v>
      </c>
      <c r="F36" s="22" t="str">
        <f aca="false">IF(N($D36)=0,"",$E36/$D36)</f>
        <v/>
      </c>
      <c r="G36" s="21" t="str">
        <f aca="false">IF($A36="","",$D36-$E36)</f>
        <v/>
      </c>
      <c r="H36" s="82" t="n">
        <f aca="false">IF($C$3="Daily",SUMIFS('Daily Log'!$C$4:$C$1503,'Daily Log'!$A$4:$A$1503,$C$4,'Daily Log'!$B$4:$B$1503,$A36),SUMIFS('Monthly Log'!$C$4:$C$303,'Monthly Log'!$A$4:$A$303,$C$4,'Monthly Log'!$B$4:$B$303,$A36))</f>
        <v>0</v>
      </c>
      <c r="I36" s="82" t="n">
        <f aca="false">IF($C$3="Daily",SUMIFS('Daily Log'!$D$4:$D$1503,'Daily Log'!$A$4:$A$1503,$C$4,'Daily Log'!$B$4:$B$1503,$A36),SUMIFS('Monthly Log'!$D$4:$D$303,'Monthly Log'!$A$4:$A$303,$C$4,'Monthly Log'!$B$4:$B$303,$A36))</f>
        <v>0</v>
      </c>
      <c r="J36" s="83" t="str">
        <f aca="false">IF($H36=0,"",$I36/$H36)</f>
        <v/>
      </c>
      <c r="K36" s="82" t="n">
        <f aca="false">IF($C$3="Daily",SUMIFS('Daily Log'!$E$4:$E$1503,'Daily Log'!$A$4:$A$1503,$C$4,'Daily Log'!$B$4:$B$1503,$A36),SUMIFS('Monthly Log'!$E$4:$E$303,'Monthly Log'!$A$4:$A$303,$C$4,'Monthly Log'!$B$4:$B$303,$A36))</f>
        <v>0</v>
      </c>
      <c r="L36" s="82" t="n">
        <f aca="false">IF($C$3="Daily",SUMIFS('Daily Log'!$F$4:$F$1503,'Daily Log'!$A$4:$A$1503,$C$4,'Daily Log'!$B$4:$B$1503,$A36),SUMIFS('Monthly Log'!$F$4:$F$303,'Monthly Log'!$A$4:$A$303,$C$4,'Monthly Log'!$B$4:$B$303,$A36))</f>
        <v>0</v>
      </c>
      <c r="M36" s="83" t="str">
        <f aca="false">IF($K36=0,"",$L36/$K36)</f>
        <v/>
      </c>
      <c r="N36" s="82" t="n">
        <f aca="false">IF($C$3="Daily",SUMIFS('Daily Log'!$I$4:$I$1503,'Daily Log'!$A$4:$A$1503,$C$4,'Daily Log'!$B$4:$B$1503,$A36),SUMIFS('Monthly Log'!$I$4:$I$303,'Monthly Log'!$A$4:$A$303,$C$4,'Monthly Log'!$B$4:$B$303,$A36))</f>
        <v>0</v>
      </c>
      <c r="O36" s="82" t="n">
        <f aca="false">IF($C$3="Daily",SUMIFS('Daily Log'!$J$4:$J$1503,'Daily Log'!$A$4:$A$1503,$C$4,'Daily Log'!$B$4:$B$1503,$A36),SUMIFS('Monthly Log'!$J$4:$J$303,'Monthly Log'!$A$4:$A$303,$C$4,'Monthly Log'!$B$4:$B$303,$A36))</f>
        <v>0</v>
      </c>
      <c r="P36" s="82" t="n">
        <f aca="false">IF($C$3="Daily",SUMIFS('Daily Log'!$K$4:$K$1503,'Daily Log'!$A$4:$A$1503,$C$4,'Daily Log'!$B$4:$B$1503,$A36),SUMIFS('Monthly Log'!$K$4:$K$303,'Monthly Log'!$A$4:$A$303,$C$4,'Monthly Log'!$B$4:$B$303,$A36))</f>
        <v>0</v>
      </c>
      <c r="Q36" s="82" t="n">
        <f aca="false">IF($C$3="Daily",SUMIFS('Daily Log'!$L$4:$L$1503,'Daily Log'!$A$4:$A$1503,$C$4,'Daily Log'!$B$4:$B$1503,$A36),SUMIFS('Monthly Log'!$L$4:$L$303,'Monthly Log'!$A$4:$A$303,$C$4,'Monthly Log'!$B$4:$B$303,$A36))</f>
        <v>0</v>
      </c>
      <c r="R36" s="80" t="str">
        <f aca="false">IFERROR(IF($C$3="Daily",INDEX('Daily Log'!$M$4:$M$1503,MATCH(TEXT($C$4,"YYYY-MM-DD")&amp;"|"&amp;$A36,'Daily Log'!$O$4:$O$1503,0)),INDEX('Monthly Log'!$M$4:$M$303,MATCH(TEXT($C$4,"YYYY-MM")&amp;"|"&amp;$A36,'Monthly Log'!$O$4:$O$303,0))),"")</f>
        <v/>
      </c>
      <c r="S36" s="67" t="str">
        <f aca="false">IF($A36="","",IF(AND($H36=0,$K36=0,$E36=0),"Not started",IF(OR(AND($D36&gt;0,$E36/$D36&gt;$C$10),AND($H36&gt;0,$I36/$H36&lt;$C$8),$P36&gt;=$C$11),"Red",IF(OR(AND($D36&gt;0,$E36/$D36&gt;$C$9),AND($H36&gt;0,$I36/$H36&lt;$C$7),AND($K36&gt;0,$L36/$K36&lt;$C$7),$P36&gt;0,$Q36&gt;0),"Amber","Green"))))</f>
        <v/>
      </c>
      <c r="T36" s="84" t="str">
        <f aca="false">IFERROR(IF($C$3="Daily",INDEX('Daily Log'!$N$4:$N$1503,MATCH(TEXT($C$4,"YYYY-MM-DD")&amp;"|"&amp;$A36,'Daily Log'!$O$4:$O$1503,0)),INDEX('Monthly Log'!$N$4:$N$303,MATCH(TEXT($C$4,"YYYY-MM")&amp;"|"&amp;$A36,'Monthly Log'!$O$4:$O$303,0))),"")</f>
        <v/>
      </c>
    </row>
    <row r="37" customFormat="false" ht="15" hidden="false" customHeight="true" outlineLevel="0" collapsed="false">
      <c r="A37" s="80" t="str">
        <f aca="false">IF('TOR Register'!$A25="","",'TOR Register'!$A25)</f>
        <v/>
      </c>
      <c r="B37" s="18" t="str">
        <f aca="false">IFERROR(INDEX('TOR Register'!$B$4:$B$43,MATCH($A37,'TOR Register'!$A$4:$A$43,0)),"")</f>
        <v/>
      </c>
      <c r="C37" s="18" t="str">
        <f aca="false">IFERROR(INDEX('TOR Register'!$E$4:$E$43,MATCH($A37,'TOR Register'!$A$4:$A$43,0)),"")</f>
        <v/>
      </c>
      <c r="D37" s="81" t="str">
        <f aca="false">IFERROR(INDEX('TOR Register'!$I$4:$I$43,MATCH($A37,'TOR Register'!$A$4:$A$43,0)),"")</f>
        <v/>
      </c>
      <c r="E37" s="81" t="n">
        <f aca="false">IF($C$3="Daily",SUMIFS('Daily Log'!$G$4:$G$1503,'Daily Log'!$A$4:$A$1503,$C$4,'Daily Log'!$B$4:$B$1503,$A37),SUMIFS('Monthly Log'!$G$4:$G$303,'Monthly Log'!$A$4:$A$303,$C$4,'Monthly Log'!$B$4:$B$303,$A37))</f>
        <v>0</v>
      </c>
      <c r="F37" s="22" t="str">
        <f aca="false">IF(N($D37)=0,"",$E37/$D37)</f>
        <v/>
      </c>
      <c r="G37" s="21" t="str">
        <f aca="false">IF($A37="","",$D37-$E37)</f>
        <v/>
      </c>
      <c r="H37" s="82" t="n">
        <f aca="false">IF($C$3="Daily",SUMIFS('Daily Log'!$C$4:$C$1503,'Daily Log'!$A$4:$A$1503,$C$4,'Daily Log'!$B$4:$B$1503,$A37),SUMIFS('Monthly Log'!$C$4:$C$303,'Monthly Log'!$A$4:$A$303,$C$4,'Monthly Log'!$B$4:$B$303,$A37))</f>
        <v>0</v>
      </c>
      <c r="I37" s="82" t="n">
        <f aca="false">IF($C$3="Daily",SUMIFS('Daily Log'!$D$4:$D$1503,'Daily Log'!$A$4:$A$1503,$C$4,'Daily Log'!$B$4:$B$1503,$A37),SUMIFS('Monthly Log'!$D$4:$D$303,'Monthly Log'!$A$4:$A$303,$C$4,'Monthly Log'!$B$4:$B$303,$A37))</f>
        <v>0</v>
      </c>
      <c r="J37" s="83" t="str">
        <f aca="false">IF($H37=0,"",$I37/$H37)</f>
        <v/>
      </c>
      <c r="K37" s="82" t="n">
        <f aca="false">IF($C$3="Daily",SUMIFS('Daily Log'!$E$4:$E$1503,'Daily Log'!$A$4:$A$1503,$C$4,'Daily Log'!$B$4:$B$1503,$A37),SUMIFS('Monthly Log'!$E$4:$E$303,'Monthly Log'!$A$4:$A$303,$C$4,'Monthly Log'!$B$4:$B$303,$A37))</f>
        <v>0</v>
      </c>
      <c r="L37" s="82" t="n">
        <f aca="false">IF($C$3="Daily",SUMIFS('Daily Log'!$F$4:$F$1503,'Daily Log'!$A$4:$A$1503,$C$4,'Daily Log'!$B$4:$B$1503,$A37),SUMIFS('Monthly Log'!$F$4:$F$303,'Monthly Log'!$A$4:$A$303,$C$4,'Monthly Log'!$B$4:$B$303,$A37))</f>
        <v>0</v>
      </c>
      <c r="M37" s="83" t="str">
        <f aca="false">IF($K37=0,"",$L37/$K37)</f>
        <v/>
      </c>
      <c r="N37" s="82" t="n">
        <f aca="false">IF($C$3="Daily",SUMIFS('Daily Log'!$I$4:$I$1503,'Daily Log'!$A$4:$A$1503,$C$4,'Daily Log'!$B$4:$B$1503,$A37),SUMIFS('Monthly Log'!$I$4:$I$303,'Monthly Log'!$A$4:$A$303,$C$4,'Monthly Log'!$B$4:$B$303,$A37))</f>
        <v>0</v>
      </c>
      <c r="O37" s="82" t="n">
        <f aca="false">IF($C$3="Daily",SUMIFS('Daily Log'!$J$4:$J$1503,'Daily Log'!$A$4:$A$1503,$C$4,'Daily Log'!$B$4:$B$1503,$A37),SUMIFS('Monthly Log'!$J$4:$J$303,'Monthly Log'!$A$4:$A$303,$C$4,'Monthly Log'!$B$4:$B$303,$A37))</f>
        <v>0</v>
      </c>
      <c r="P37" s="82" t="n">
        <f aca="false">IF($C$3="Daily",SUMIFS('Daily Log'!$K$4:$K$1503,'Daily Log'!$A$4:$A$1503,$C$4,'Daily Log'!$B$4:$B$1503,$A37),SUMIFS('Monthly Log'!$K$4:$K$303,'Monthly Log'!$A$4:$A$303,$C$4,'Monthly Log'!$B$4:$B$303,$A37))</f>
        <v>0</v>
      </c>
      <c r="Q37" s="82" t="n">
        <f aca="false">IF($C$3="Daily",SUMIFS('Daily Log'!$L$4:$L$1503,'Daily Log'!$A$4:$A$1503,$C$4,'Daily Log'!$B$4:$B$1503,$A37),SUMIFS('Monthly Log'!$L$4:$L$303,'Monthly Log'!$A$4:$A$303,$C$4,'Monthly Log'!$B$4:$B$303,$A37))</f>
        <v>0</v>
      </c>
      <c r="R37" s="80" t="str">
        <f aca="false">IFERROR(IF($C$3="Daily",INDEX('Daily Log'!$M$4:$M$1503,MATCH(TEXT($C$4,"YYYY-MM-DD")&amp;"|"&amp;$A37,'Daily Log'!$O$4:$O$1503,0)),INDEX('Monthly Log'!$M$4:$M$303,MATCH(TEXT($C$4,"YYYY-MM")&amp;"|"&amp;$A37,'Monthly Log'!$O$4:$O$303,0))),"")</f>
        <v/>
      </c>
      <c r="S37" s="67" t="str">
        <f aca="false">IF($A37="","",IF(AND($H37=0,$K37=0,$E37=0),"Not started",IF(OR(AND($D37&gt;0,$E37/$D37&gt;$C$10),AND($H37&gt;0,$I37/$H37&lt;$C$8),$P37&gt;=$C$11),"Red",IF(OR(AND($D37&gt;0,$E37/$D37&gt;$C$9),AND($H37&gt;0,$I37/$H37&lt;$C$7),AND($K37&gt;0,$L37/$K37&lt;$C$7),$P37&gt;0,$Q37&gt;0),"Amber","Green"))))</f>
        <v/>
      </c>
      <c r="T37" s="84" t="str">
        <f aca="false">IFERROR(IF($C$3="Daily",INDEX('Daily Log'!$N$4:$N$1503,MATCH(TEXT($C$4,"YYYY-MM-DD")&amp;"|"&amp;$A37,'Daily Log'!$O$4:$O$1503,0)),INDEX('Monthly Log'!$N$4:$N$303,MATCH(TEXT($C$4,"YYYY-MM")&amp;"|"&amp;$A37,'Monthly Log'!$O$4:$O$303,0))),"")</f>
        <v/>
      </c>
    </row>
    <row r="38" customFormat="false" ht="15" hidden="false" customHeight="true" outlineLevel="0" collapsed="false">
      <c r="A38" s="80" t="str">
        <f aca="false">IF('TOR Register'!$A26="","",'TOR Register'!$A26)</f>
        <v/>
      </c>
      <c r="B38" s="18" t="str">
        <f aca="false">IFERROR(INDEX('TOR Register'!$B$4:$B$43,MATCH($A38,'TOR Register'!$A$4:$A$43,0)),"")</f>
        <v/>
      </c>
      <c r="C38" s="18" t="str">
        <f aca="false">IFERROR(INDEX('TOR Register'!$E$4:$E$43,MATCH($A38,'TOR Register'!$A$4:$A$43,0)),"")</f>
        <v/>
      </c>
      <c r="D38" s="81" t="str">
        <f aca="false">IFERROR(INDEX('TOR Register'!$I$4:$I$43,MATCH($A38,'TOR Register'!$A$4:$A$43,0)),"")</f>
        <v/>
      </c>
      <c r="E38" s="81" t="n">
        <f aca="false">IF($C$3="Daily",SUMIFS('Daily Log'!$G$4:$G$1503,'Daily Log'!$A$4:$A$1503,$C$4,'Daily Log'!$B$4:$B$1503,$A38),SUMIFS('Monthly Log'!$G$4:$G$303,'Monthly Log'!$A$4:$A$303,$C$4,'Monthly Log'!$B$4:$B$303,$A38))</f>
        <v>0</v>
      </c>
      <c r="F38" s="22" t="str">
        <f aca="false">IF(N($D38)=0,"",$E38/$D38)</f>
        <v/>
      </c>
      <c r="G38" s="21" t="str">
        <f aca="false">IF($A38="","",$D38-$E38)</f>
        <v/>
      </c>
      <c r="H38" s="82" t="n">
        <f aca="false">IF($C$3="Daily",SUMIFS('Daily Log'!$C$4:$C$1503,'Daily Log'!$A$4:$A$1503,$C$4,'Daily Log'!$B$4:$B$1503,$A38),SUMIFS('Monthly Log'!$C$4:$C$303,'Monthly Log'!$A$4:$A$303,$C$4,'Monthly Log'!$B$4:$B$303,$A38))</f>
        <v>0</v>
      </c>
      <c r="I38" s="82" t="n">
        <f aca="false">IF($C$3="Daily",SUMIFS('Daily Log'!$D$4:$D$1503,'Daily Log'!$A$4:$A$1503,$C$4,'Daily Log'!$B$4:$B$1503,$A38),SUMIFS('Monthly Log'!$D$4:$D$303,'Monthly Log'!$A$4:$A$303,$C$4,'Monthly Log'!$B$4:$B$303,$A38))</f>
        <v>0</v>
      </c>
      <c r="J38" s="83" t="str">
        <f aca="false">IF($H38=0,"",$I38/$H38)</f>
        <v/>
      </c>
      <c r="K38" s="82" t="n">
        <f aca="false">IF($C$3="Daily",SUMIFS('Daily Log'!$E$4:$E$1503,'Daily Log'!$A$4:$A$1503,$C$4,'Daily Log'!$B$4:$B$1503,$A38),SUMIFS('Monthly Log'!$E$4:$E$303,'Monthly Log'!$A$4:$A$303,$C$4,'Monthly Log'!$B$4:$B$303,$A38))</f>
        <v>0</v>
      </c>
      <c r="L38" s="82" t="n">
        <f aca="false">IF($C$3="Daily",SUMIFS('Daily Log'!$F$4:$F$1503,'Daily Log'!$A$4:$A$1503,$C$4,'Daily Log'!$B$4:$B$1503,$A38),SUMIFS('Monthly Log'!$F$4:$F$303,'Monthly Log'!$A$4:$A$303,$C$4,'Monthly Log'!$B$4:$B$303,$A38))</f>
        <v>0</v>
      </c>
      <c r="M38" s="83" t="str">
        <f aca="false">IF($K38=0,"",$L38/$K38)</f>
        <v/>
      </c>
      <c r="N38" s="82" t="n">
        <f aca="false">IF($C$3="Daily",SUMIFS('Daily Log'!$I$4:$I$1503,'Daily Log'!$A$4:$A$1503,$C$4,'Daily Log'!$B$4:$B$1503,$A38),SUMIFS('Monthly Log'!$I$4:$I$303,'Monthly Log'!$A$4:$A$303,$C$4,'Monthly Log'!$B$4:$B$303,$A38))</f>
        <v>0</v>
      </c>
      <c r="O38" s="82" t="n">
        <f aca="false">IF($C$3="Daily",SUMIFS('Daily Log'!$J$4:$J$1503,'Daily Log'!$A$4:$A$1503,$C$4,'Daily Log'!$B$4:$B$1503,$A38),SUMIFS('Monthly Log'!$J$4:$J$303,'Monthly Log'!$A$4:$A$303,$C$4,'Monthly Log'!$B$4:$B$303,$A38))</f>
        <v>0</v>
      </c>
      <c r="P38" s="82" t="n">
        <f aca="false">IF($C$3="Daily",SUMIFS('Daily Log'!$K$4:$K$1503,'Daily Log'!$A$4:$A$1503,$C$4,'Daily Log'!$B$4:$B$1503,$A38),SUMIFS('Monthly Log'!$K$4:$K$303,'Monthly Log'!$A$4:$A$303,$C$4,'Monthly Log'!$B$4:$B$303,$A38))</f>
        <v>0</v>
      </c>
      <c r="Q38" s="82" t="n">
        <f aca="false">IF($C$3="Daily",SUMIFS('Daily Log'!$L$4:$L$1503,'Daily Log'!$A$4:$A$1503,$C$4,'Daily Log'!$B$4:$B$1503,$A38),SUMIFS('Monthly Log'!$L$4:$L$303,'Monthly Log'!$A$4:$A$303,$C$4,'Monthly Log'!$B$4:$B$303,$A38))</f>
        <v>0</v>
      </c>
      <c r="R38" s="80" t="str">
        <f aca="false">IFERROR(IF($C$3="Daily",INDEX('Daily Log'!$M$4:$M$1503,MATCH(TEXT($C$4,"YYYY-MM-DD")&amp;"|"&amp;$A38,'Daily Log'!$O$4:$O$1503,0)),INDEX('Monthly Log'!$M$4:$M$303,MATCH(TEXT($C$4,"YYYY-MM")&amp;"|"&amp;$A38,'Monthly Log'!$O$4:$O$303,0))),"")</f>
        <v/>
      </c>
      <c r="S38" s="67" t="str">
        <f aca="false">IF($A38="","",IF(AND($H38=0,$K38=0,$E38=0),"Not started",IF(OR(AND($D38&gt;0,$E38/$D38&gt;$C$10),AND($H38&gt;0,$I38/$H38&lt;$C$8),$P38&gt;=$C$11),"Red",IF(OR(AND($D38&gt;0,$E38/$D38&gt;$C$9),AND($H38&gt;0,$I38/$H38&lt;$C$7),AND($K38&gt;0,$L38/$K38&lt;$C$7),$P38&gt;0,$Q38&gt;0),"Amber","Green"))))</f>
        <v/>
      </c>
      <c r="T38" s="84" t="str">
        <f aca="false">IFERROR(IF($C$3="Daily",INDEX('Daily Log'!$N$4:$N$1503,MATCH(TEXT($C$4,"YYYY-MM-DD")&amp;"|"&amp;$A38,'Daily Log'!$O$4:$O$1503,0)),INDEX('Monthly Log'!$N$4:$N$303,MATCH(TEXT($C$4,"YYYY-MM")&amp;"|"&amp;$A38,'Monthly Log'!$O$4:$O$303,0))),"")</f>
        <v/>
      </c>
    </row>
    <row r="39" customFormat="false" ht="15" hidden="false" customHeight="true" outlineLevel="0" collapsed="false">
      <c r="A39" s="80" t="str">
        <f aca="false">IF('TOR Register'!$A27="","",'TOR Register'!$A27)</f>
        <v/>
      </c>
      <c r="B39" s="18" t="str">
        <f aca="false">IFERROR(INDEX('TOR Register'!$B$4:$B$43,MATCH($A39,'TOR Register'!$A$4:$A$43,0)),"")</f>
        <v/>
      </c>
      <c r="C39" s="18" t="str">
        <f aca="false">IFERROR(INDEX('TOR Register'!$E$4:$E$43,MATCH($A39,'TOR Register'!$A$4:$A$43,0)),"")</f>
        <v/>
      </c>
      <c r="D39" s="81" t="str">
        <f aca="false">IFERROR(INDEX('TOR Register'!$I$4:$I$43,MATCH($A39,'TOR Register'!$A$4:$A$43,0)),"")</f>
        <v/>
      </c>
      <c r="E39" s="81" t="n">
        <f aca="false">IF($C$3="Daily",SUMIFS('Daily Log'!$G$4:$G$1503,'Daily Log'!$A$4:$A$1503,$C$4,'Daily Log'!$B$4:$B$1503,$A39),SUMIFS('Monthly Log'!$G$4:$G$303,'Monthly Log'!$A$4:$A$303,$C$4,'Monthly Log'!$B$4:$B$303,$A39))</f>
        <v>0</v>
      </c>
      <c r="F39" s="22" t="str">
        <f aca="false">IF(N($D39)=0,"",$E39/$D39)</f>
        <v/>
      </c>
      <c r="G39" s="21" t="str">
        <f aca="false">IF($A39="","",$D39-$E39)</f>
        <v/>
      </c>
      <c r="H39" s="82" t="n">
        <f aca="false">IF($C$3="Daily",SUMIFS('Daily Log'!$C$4:$C$1503,'Daily Log'!$A$4:$A$1503,$C$4,'Daily Log'!$B$4:$B$1503,$A39),SUMIFS('Monthly Log'!$C$4:$C$303,'Monthly Log'!$A$4:$A$303,$C$4,'Monthly Log'!$B$4:$B$303,$A39))</f>
        <v>0</v>
      </c>
      <c r="I39" s="82" t="n">
        <f aca="false">IF($C$3="Daily",SUMIFS('Daily Log'!$D$4:$D$1503,'Daily Log'!$A$4:$A$1503,$C$4,'Daily Log'!$B$4:$B$1503,$A39),SUMIFS('Monthly Log'!$D$4:$D$303,'Monthly Log'!$A$4:$A$303,$C$4,'Monthly Log'!$B$4:$B$303,$A39))</f>
        <v>0</v>
      </c>
      <c r="J39" s="83" t="str">
        <f aca="false">IF($H39=0,"",$I39/$H39)</f>
        <v/>
      </c>
      <c r="K39" s="82" t="n">
        <f aca="false">IF($C$3="Daily",SUMIFS('Daily Log'!$E$4:$E$1503,'Daily Log'!$A$4:$A$1503,$C$4,'Daily Log'!$B$4:$B$1503,$A39),SUMIFS('Monthly Log'!$E$4:$E$303,'Monthly Log'!$A$4:$A$303,$C$4,'Monthly Log'!$B$4:$B$303,$A39))</f>
        <v>0</v>
      </c>
      <c r="L39" s="82" t="n">
        <f aca="false">IF($C$3="Daily",SUMIFS('Daily Log'!$F$4:$F$1503,'Daily Log'!$A$4:$A$1503,$C$4,'Daily Log'!$B$4:$B$1503,$A39),SUMIFS('Monthly Log'!$F$4:$F$303,'Monthly Log'!$A$4:$A$303,$C$4,'Monthly Log'!$B$4:$B$303,$A39))</f>
        <v>0</v>
      </c>
      <c r="M39" s="83" t="str">
        <f aca="false">IF($K39=0,"",$L39/$K39)</f>
        <v/>
      </c>
      <c r="N39" s="82" t="n">
        <f aca="false">IF($C$3="Daily",SUMIFS('Daily Log'!$I$4:$I$1503,'Daily Log'!$A$4:$A$1503,$C$4,'Daily Log'!$B$4:$B$1503,$A39),SUMIFS('Monthly Log'!$I$4:$I$303,'Monthly Log'!$A$4:$A$303,$C$4,'Monthly Log'!$B$4:$B$303,$A39))</f>
        <v>0</v>
      </c>
      <c r="O39" s="82" t="n">
        <f aca="false">IF($C$3="Daily",SUMIFS('Daily Log'!$J$4:$J$1503,'Daily Log'!$A$4:$A$1503,$C$4,'Daily Log'!$B$4:$B$1503,$A39),SUMIFS('Monthly Log'!$J$4:$J$303,'Monthly Log'!$A$4:$A$303,$C$4,'Monthly Log'!$B$4:$B$303,$A39))</f>
        <v>0</v>
      </c>
      <c r="P39" s="82" t="n">
        <f aca="false">IF($C$3="Daily",SUMIFS('Daily Log'!$K$4:$K$1503,'Daily Log'!$A$4:$A$1503,$C$4,'Daily Log'!$B$4:$B$1503,$A39),SUMIFS('Monthly Log'!$K$4:$K$303,'Monthly Log'!$A$4:$A$303,$C$4,'Monthly Log'!$B$4:$B$303,$A39))</f>
        <v>0</v>
      </c>
      <c r="Q39" s="82" t="n">
        <f aca="false">IF($C$3="Daily",SUMIFS('Daily Log'!$L$4:$L$1503,'Daily Log'!$A$4:$A$1503,$C$4,'Daily Log'!$B$4:$B$1503,$A39),SUMIFS('Monthly Log'!$L$4:$L$303,'Monthly Log'!$A$4:$A$303,$C$4,'Monthly Log'!$B$4:$B$303,$A39))</f>
        <v>0</v>
      </c>
      <c r="R39" s="80" t="str">
        <f aca="false">IFERROR(IF($C$3="Daily",INDEX('Daily Log'!$M$4:$M$1503,MATCH(TEXT($C$4,"YYYY-MM-DD")&amp;"|"&amp;$A39,'Daily Log'!$O$4:$O$1503,0)),INDEX('Monthly Log'!$M$4:$M$303,MATCH(TEXT($C$4,"YYYY-MM")&amp;"|"&amp;$A39,'Monthly Log'!$O$4:$O$303,0))),"")</f>
        <v/>
      </c>
      <c r="S39" s="67" t="str">
        <f aca="false">IF($A39="","",IF(AND($H39=0,$K39=0,$E39=0),"Not started",IF(OR(AND($D39&gt;0,$E39/$D39&gt;$C$10),AND($H39&gt;0,$I39/$H39&lt;$C$8),$P39&gt;=$C$11),"Red",IF(OR(AND($D39&gt;0,$E39/$D39&gt;$C$9),AND($H39&gt;0,$I39/$H39&lt;$C$7),AND($K39&gt;0,$L39/$K39&lt;$C$7),$P39&gt;0,$Q39&gt;0),"Amber","Green"))))</f>
        <v/>
      </c>
      <c r="T39" s="84" t="str">
        <f aca="false">IFERROR(IF($C$3="Daily",INDEX('Daily Log'!$N$4:$N$1503,MATCH(TEXT($C$4,"YYYY-MM-DD")&amp;"|"&amp;$A39,'Daily Log'!$O$4:$O$1503,0)),INDEX('Monthly Log'!$N$4:$N$303,MATCH(TEXT($C$4,"YYYY-MM")&amp;"|"&amp;$A39,'Monthly Log'!$O$4:$O$303,0))),"")</f>
        <v/>
      </c>
    </row>
    <row r="40" customFormat="false" ht="15" hidden="false" customHeight="true" outlineLevel="0" collapsed="false">
      <c r="A40" s="80" t="str">
        <f aca="false">IF('TOR Register'!$A28="","",'TOR Register'!$A28)</f>
        <v/>
      </c>
      <c r="B40" s="18" t="str">
        <f aca="false">IFERROR(INDEX('TOR Register'!$B$4:$B$43,MATCH($A40,'TOR Register'!$A$4:$A$43,0)),"")</f>
        <v/>
      </c>
      <c r="C40" s="18" t="str">
        <f aca="false">IFERROR(INDEX('TOR Register'!$E$4:$E$43,MATCH($A40,'TOR Register'!$A$4:$A$43,0)),"")</f>
        <v/>
      </c>
      <c r="D40" s="81" t="str">
        <f aca="false">IFERROR(INDEX('TOR Register'!$I$4:$I$43,MATCH($A40,'TOR Register'!$A$4:$A$43,0)),"")</f>
        <v/>
      </c>
      <c r="E40" s="81" t="n">
        <f aca="false">IF($C$3="Daily",SUMIFS('Daily Log'!$G$4:$G$1503,'Daily Log'!$A$4:$A$1503,$C$4,'Daily Log'!$B$4:$B$1503,$A40),SUMIFS('Monthly Log'!$G$4:$G$303,'Monthly Log'!$A$4:$A$303,$C$4,'Monthly Log'!$B$4:$B$303,$A40))</f>
        <v>0</v>
      </c>
      <c r="F40" s="22" t="str">
        <f aca="false">IF(N($D40)=0,"",$E40/$D40)</f>
        <v/>
      </c>
      <c r="G40" s="21" t="str">
        <f aca="false">IF($A40="","",$D40-$E40)</f>
        <v/>
      </c>
      <c r="H40" s="82" t="n">
        <f aca="false">IF($C$3="Daily",SUMIFS('Daily Log'!$C$4:$C$1503,'Daily Log'!$A$4:$A$1503,$C$4,'Daily Log'!$B$4:$B$1503,$A40),SUMIFS('Monthly Log'!$C$4:$C$303,'Monthly Log'!$A$4:$A$303,$C$4,'Monthly Log'!$B$4:$B$303,$A40))</f>
        <v>0</v>
      </c>
      <c r="I40" s="82" t="n">
        <f aca="false">IF($C$3="Daily",SUMIFS('Daily Log'!$D$4:$D$1503,'Daily Log'!$A$4:$A$1503,$C$4,'Daily Log'!$B$4:$B$1503,$A40),SUMIFS('Monthly Log'!$D$4:$D$303,'Monthly Log'!$A$4:$A$303,$C$4,'Monthly Log'!$B$4:$B$303,$A40))</f>
        <v>0</v>
      </c>
      <c r="J40" s="83" t="str">
        <f aca="false">IF($H40=0,"",$I40/$H40)</f>
        <v/>
      </c>
      <c r="K40" s="82" t="n">
        <f aca="false">IF($C$3="Daily",SUMIFS('Daily Log'!$E$4:$E$1503,'Daily Log'!$A$4:$A$1503,$C$4,'Daily Log'!$B$4:$B$1503,$A40),SUMIFS('Monthly Log'!$E$4:$E$303,'Monthly Log'!$A$4:$A$303,$C$4,'Monthly Log'!$B$4:$B$303,$A40))</f>
        <v>0</v>
      </c>
      <c r="L40" s="82" t="n">
        <f aca="false">IF($C$3="Daily",SUMIFS('Daily Log'!$F$4:$F$1503,'Daily Log'!$A$4:$A$1503,$C$4,'Daily Log'!$B$4:$B$1503,$A40),SUMIFS('Monthly Log'!$F$4:$F$303,'Monthly Log'!$A$4:$A$303,$C$4,'Monthly Log'!$B$4:$B$303,$A40))</f>
        <v>0</v>
      </c>
      <c r="M40" s="83" t="str">
        <f aca="false">IF($K40=0,"",$L40/$K40)</f>
        <v/>
      </c>
      <c r="N40" s="82" t="n">
        <f aca="false">IF($C$3="Daily",SUMIFS('Daily Log'!$I$4:$I$1503,'Daily Log'!$A$4:$A$1503,$C$4,'Daily Log'!$B$4:$B$1503,$A40),SUMIFS('Monthly Log'!$I$4:$I$303,'Monthly Log'!$A$4:$A$303,$C$4,'Monthly Log'!$B$4:$B$303,$A40))</f>
        <v>0</v>
      </c>
      <c r="O40" s="82" t="n">
        <f aca="false">IF($C$3="Daily",SUMIFS('Daily Log'!$J$4:$J$1503,'Daily Log'!$A$4:$A$1503,$C$4,'Daily Log'!$B$4:$B$1503,$A40),SUMIFS('Monthly Log'!$J$4:$J$303,'Monthly Log'!$A$4:$A$303,$C$4,'Monthly Log'!$B$4:$B$303,$A40))</f>
        <v>0</v>
      </c>
      <c r="P40" s="82" t="n">
        <f aca="false">IF($C$3="Daily",SUMIFS('Daily Log'!$K$4:$K$1503,'Daily Log'!$A$4:$A$1503,$C$4,'Daily Log'!$B$4:$B$1503,$A40),SUMIFS('Monthly Log'!$K$4:$K$303,'Monthly Log'!$A$4:$A$303,$C$4,'Monthly Log'!$B$4:$B$303,$A40))</f>
        <v>0</v>
      </c>
      <c r="Q40" s="82" t="n">
        <f aca="false">IF($C$3="Daily",SUMIFS('Daily Log'!$L$4:$L$1503,'Daily Log'!$A$4:$A$1503,$C$4,'Daily Log'!$B$4:$B$1503,$A40),SUMIFS('Monthly Log'!$L$4:$L$303,'Monthly Log'!$A$4:$A$303,$C$4,'Monthly Log'!$B$4:$B$303,$A40))</f>
        <v>0</v>
      </c>
      <c r="R40" s="80" t="str">
        <f aca="false">IFERROR(IF($C$3="Daily",INDEX('Daily Log'!$M$4:$M$1503,MATCH(TEXT($C$4,"YYYY-MM-DD")&amp;"|"&amp;$A40,'Daily Log'!$O$4:$O$1503,0)),INDEX('Monthly Log'!$M$4:$M$303,MATCH(TEXT($C$4,"YYYY-MM")&amp;"|"&amp;$A40,'Monthly Log'!$O$4:$O$303,0))),"")</f>
        <v/>
      </c>
      <c r="S40" s="67" t="str">
        <f aca="false">IF($A40="","",IF(AND($H40=0,$K40=0,$E40=0),"Not started",IF(OR(AND($D40&gt;0,$E40/$D40&gt;$C$10),AND($H40&gt;0,$I40/$H40&lt;$C$8),$P40&gt;=$C$11),"Red",IF(OR(AND($D40&gt;0,$E40/$D40&gt;$C$9),AND($H40&gt;0,$I40/$H40&lt;$C$7),AND($K40&gt;0,$L40/$K40&lt;$C$7),$P40&gt;0,$Q40&gt;0),"Amber","Green"))))</f>
        <v/>
      </c>
      <c r="T40" s="84" t="str">
        <f aca="false">IFERROR(IF($C$3="Daily",INDEX('Daily Log'!$N$4:$N$1503,MATCH(TEXT($C$4,"YYYY-MM-DD")&amp;"|"&amp;$A40,'Daily Log'!$O$4:$O$1503,0)),INDEX('Monthly Log'!$N$4:$N$303,MATCH(TEXT($C$4,"YYYY-MM")&amp;"|"&amp;$A40,'Monthly Log'!$O$4:$O$303,0))),"")</f>
        <v/>
      </c>
    </row>
    <row r="41" customFormat="false" ht="15" hidden="false" customHeight="true" outlineLevel="0" collapsed="false">
      <c r="A41" s="80" t="str">
        <f aca="false">IF('TOR Register'!$A29="","",'TOR Register'!$A29)</f>
        <v/>
      </c>
      <c r="B41" s="18" t="str">
        <f aca="false">IFERROR(INDEX('TOR Register'!$B$4:$B$43,MATCH($A41,'TOR Register'!$A$4:$A$43,0)),"")</f>
        <v/>
      </c>
      <c r="C41" s="18" t="str">
        <f aca="false">IFERROR(INDEX('TOR Register'!$E$4:$E$43,MATCH($A41,'TOR Register'!$A$4:$A$43,0)),"")</f>
        <v/>
      </c>
      <c r="D41" s="81" t="str">
        <f aca="false">IFERROR(INDEX('TOR Register'!$I$4:$I$43,MATCH($A41,'TOR Register'!$A$4:$A$43,0)),"")</f>
        <v/>
      </c>
      <c r="E41" s="81" t="n">
        <f aca="false">IF($C$3="Daily",SUMIFS('Daily Log'!$G$4:$G$1503,'Daily Log'!$A$4:$A$1503,$C$4,'Daily Log'!$B$4:$B$1503,$A41),SUMIFS('Monthly Log'!$G$4:$G$303,'Monthly Log'!$A$4:$A$303,$C$4,'Monthly Log'!$B$4:$B$303,$A41))</f>
        <v>0</v>
      </c>
      <c r="F41" s="22" t="str">
        <f aca="false">IF(N($D41)=0,"",$E41/$D41)</f>
        <v/>
      </c>
      <c r="G41" s="21" t="str">
        <f aca="false">IF($A41="","",$D41-$E41)</f>
        <v/>
      </c>
      <c r="H41" s="82" t="n">
        <f aca="false">IF($C$3="Daily",SUMIFS('Daily Log'!$C$4:$C$1503,'Daily Log'!$A$4:$A$1503,$C$4,'Daily Log'!$B$4:$B$1503,$A41),SUMIFS('Monthly Log'!$C$4:$C$303,'Monthly Log'!$A$4:$A$303,$C$4,'Monthly Log'!$B$4:$B$303,$A41))</f>
        <v>0</v>
      </c>
      <c r="I41" s="82" t="n">
        <f aca="false">IF($C$3="Daily",SUMIFS('Daily Log'!$D$4:$D$1503,'Daily Log'!$A$4:$A$1503,$C$4,'Daily Log'!$B$4:$B$1503,$A41),SUMIFS('Monthly Log'!$D$4:$D$303,'Monthly Log'!$A$4:$A$303,$C$4,'Monthly Log'!$B$4:$B$303,$A41))</f>
        <v>0</v>
      </c>
      <c r="J41" s="83" t="str">
        <f aca="false">IF($H41=0,"",$I41/$H41)</f>
        <v/>
      </c>
      <c r="K41" s="82" t="n">
        <f aca="false">IF($C$3="Daily",SUMIFS('Daily Log'!$E$4:$E$1503,'Daily Log'!$A$4:$A$1503,$C$4,'Daily Log'!$B$4:$B$1503,$A41),SUMIFS('Monthly Log'!$E$4:$E$303,'Monthly Log'!$A$4:$A$303,$C$4,'Monthly Log'!$B$4:$B$303,$A41))</f>
        <v>0</v>
      </c>
      <c r="L41" s="82" t="n">
        <f aca="false">IF($C$3="Daily",SUMIFS('Daily Log'!$F$4:$F$1503,'Daily Log'!$A$4:$A$1503,$C$4,'Daily Log'!$B$4:$B$1503,$A41),SUMIFS('Monthly Log'!$F$4:$F$303,'Monthly Log'!$A$4:$A$303,$C$4,'Monthly Log'!$B$4:$B$303,$A41))</f>
        <v>0</v>
      </c>
      <c r="M41" s="83" t="str">
        <f aca="false">IF($K41=0,"",$L41/$K41)</f>
        <v/>
      </c>
      <c r="N41" s="82" t="n">
        <f aca="false">IF($C$3="Daily",SUMIFS('Daily Log'!$I$4:$I$1503,'Daily Log'!$A$4:$A$1503,$C$4,'Daily Log'!$B$4:$B$1503,$A41),SUMIFS('Monthly Log'!$I$4:$I$303,'Monthly Log'!$A$4:$A$303,$C$4,'Monthly Log'!$B$4:$B$303,$A41))</f>
        <v>0</v>
      </c>
      <c r="O41" s="82" t="n">
        <f aca="false">IF($C$3="Daily",SUMIFS('Daily Log'!$J$4:$J$1503,'Daily Log'!$A$4:$A$1503,$C$4,'Daily Log'!$B$4:$B$1503,$A41),SUMIFS('Monthly Log'!$J$4:$J$303,'Monthly Log'!$A$4:$A$303,$C$4,'Monthly Log'!$B$4:$B$303,$A41))</f>
        <v>0</v>
      </c>
      <c r="P41" s="82" t="n">
        <f aca="false">IF($C$3="Daily",SUMIFS('Daily Log'!$K$4:$K$1503,'Daily Log'!$A$4:$A$1503,$C$4,'Daily Log'!$B$4:$B$1503,$A41),SUMIFS('Monthly Log'!$K$4:$K$303,'Monthly Log'!$A$4:$A$303,$C$4,'Monthly Log'!$B$4:$B$303,$A41))</f>
        <v>0</v>
      </c>
      <c r="Q41" s="82" t="n">
        <f aca="false">IF($C$3="Daily",SUMIFS('Daily Log'!$L$4:$L$1503,'Daily Log'!$A$4:$A$1503,$C$4,'Daily Log'!$B$4:$B$1503,$A41),SUMIFS('Monthly Log'!$L$4:$L$303,'Monthly Log'!$A$4:$A$303,$C$4,'Monthly Log'!$B$4:$B$303,$A41))</f>
        <v>0</v>
      </c>
      <c r="R41" s="80" t="str">
        <f aca="false">IFERROR(IF($C$3="Daily",INDEX('Daily Log'!$M$4:$M$1503,MATCH(TEXT($C$4,"YYYY-MM-DD")&amp;"|"&amp;$A41,'Daily Log'!$O$4:$O$1503,0)),INDEX('Monthly Log'!$M$4:$M$303,MATCH(TEXT($C$4,"YYYY-MM")&amp;"|"&amp;$A41,'Monthly Log'!$O$4:$O$303,0))),"")</f>
        <v/>
      </c>
      <c r="S41" s="67" t="str">
        <f aca="false">IF($A41="","",IF(AND($H41=0,$K41=0,$E41=0),"Not started",IF(OR(AND($D41&gt;0,$E41/$D41&gt;$C$10),AND($H41&gt;0,$I41/$H41&lt;$C$8),$P41&gt;=$C$11),"Red",IF(OR(AND($D41&gt;0,$E41/$D41&gt;$C$9),AND($H41&gt;0,$I41/$H41&lt;$C$7),AND($K41&gt;0,$L41/$K41&lt;$C$7),$P41&gt;0,$Q41&gt;0),"Amber","Green"))))</f>
        <v/>
      </c>
      <c r="T41" s="84" t="str">
        <f aca="false">IFERROR(IF($C$3="Daily",INDEX('Daily Log'!$N$4:$N$1503,MATCH(TEXT($C$4,"YYYY-MM-DD")&amp;"|"&amp;$A41,'Daily Log'!$O$4:$O$1503,0)),INDEX('Monthly Log'!$N$4:$N$303,MATCH(TEXT($C$4,"YYYY-MM")&amp;"|"&amp;$A41,'Monthly Log'!$O$4:$O$303,0))),"")</f>
        <v/>
      </c>
    </row>
    <row r="42" customFormat="false" ht="15" hidden="false" customHeight="true" outlineLevel="0" collapsed="false">
      <c r="A42" s="80" t="str">
        <f aca="false">IF('TOR Register'!$A30="","",'TOR Register'!$A30)</f>
        <v/>
      </c>
      <c r="B42" s="18" t="str">
        <f aca="false">IFERROR(INDEX('TOR Register'!$B$4:$B$43,MATCH($A42,'TOR Register'!$A$4:$A$43,0)),"")</f>
        <v/>
      </c>
      <c r="C42" s="18" t="str">
        <f aca="false">IFERROR(INDEX('TOR Register'!$E$4:$E$43,MATCH($A42,'TOR Register'!$A$4:$A$43,0)),"")</f>
        <v/>
      </c>
      <c r="D42" s="81" t="str">
        <f aca="false">IFERROR(INDEX('TOR Register'!$I$4:$I$43,MATCH($A42,'TOR Register'!$A$4:$A$43,0)),"")</f>
        <v/>
      </c>
      <c r="E42" s="81" t="n">
        <f aca="false">IF($C$3="Daily",SUMIFS('Daily Log'!$G$4:$G$1503,'Daily Log'!$A$4:$A$1503,$C$4,'Daily Log'!$B$4:$B$1503,$A42),SUMIFS('Monthly Log'!$G$4:$G$303,'Monthly Log'!$A$4:$A$303,$C$4,'Monthly Log'!$B$4:$B$303,$A42))</f>
        <v>0</v>
      </c>
      <c r="F42" s="22" t="str">
        <f aca="false">IF(N($D42)=0,"",$E42/$D42)</f>
        <v/>
      </c>
      <c r="G42" s="21" t="str">
        <f aca="false">IF($A42="","",$D42-$E42)</f>
        <v/>
      </c>
      <c r="H42" s="82" t="n">
        <f aca="false">IF($C$3="Daily",SUMIFS('Daily Log'!$C$4:$C$1503,'Daily Log'!$A$4:$A$1503,$C$4,'Daily Log'!$B$4:$B$1503,$A42),SUMIFS('Monthly Log'!$C$4:$C$303,'Monthly Log'!$A$4:$A$303,$C$4,'Monthly Log'!$B$4:$B$303,$A42))</f>
        <v>0</v>
      </c>
      <c r="I42" s="82" t="n">
        <f aca="false">IF($C$3="Daily",SUMIFS('Daily Log'!$D$4:$D$1503,'Daily Log'!$A$4:$A$1503,$C$4,'Daily Log'!$B$4:$B$1503,$A42),SUMIFS('Monthly Log'!$D$4:$D$303,'Monthly Log'!$A$4:$A$303,$C$4,'Monthly Log'!$B$4:$B$303,$A42))</f>
        <v>0</v>
      </c>
      <c r="J42" s="83" t="str">
        <f aca="false">IF($H42=0,"",$I42/$H42)</f>
        <v/>
      </c>
      <c r="K42" s="82" t="n">
        <f aca="false">IF($C$3="Daily",SUMIFS('Daily Log'!$E$4:$E$1503,'Daily Log'!$A$4:$A$1503,$C$4,'Daily Log'!$B$4:$B$1503,$A42),SUMIFS('Monthly Log'!$E$4:$E$303,'Monthly Log'!$A$4:$A$303,$C$4,'Monthly Log'!$B$4:$B$303,$A42))</f>
        <v>0</v>
      </c>
      <c r="L42" s="82" t="n">
        <f aca="false">IF($C$3="Daily",SUMIFS('Daily Log'!$F$4:$F$1503,'Daily Log'!$A$4:$A$1503,$C$4,'Daily Log'!$B$4:$B$1503,$A42),SUMIFS('Monthly Log'!$F$4:$F$303,'Monthly Log'!$A$4:$A$303,$C$4,'Monthly Log'!$B$4:$B$303,$A42))</f>
        <v>0</v>
      </c>
      <c r="M42" s="83" t="str">
        <f aca="false">IF($K42=0,"",$L42/$K42)</f>
        <v/>
      </c>
      <c r="N42" s="82" t="n">
        <f aca="false">IF($C$3="Daily",SUMIFS('Daily Log'!$I$4:$I$1503,'Daily Log'!$A$4:$A$1503,$C$4,'Daily Log'!$B$4:$B$1503,$A42),SUMIFS('Monthly Log'!$I$4:$I$303,'Monthly Log'!$A$4:$A$303,$C$4,'Monthly Log'!$B$4:$B$303,$A42))</f>
        <v>0</v>
      </c>
      <c r="O42" s="82" t="n">
        <f aca="false">IF($C$3="Daily",SUMIFS('Daily Log'!$J$4:$J$1503,'Daily Log'!$A$4:$A$1503,$C$4,'Daily Log'!$B$4:$B$1503,$A42),SUMIFS('Monthly Log'!$J$4:$J$303,'Monthly Log'!$A$4:$A$303,$C$4,'Monthly Log'!$B$4:$B$303,$A42))</f>
        <v>0</v>
      </c>
      <c r="P42" s="82" t="n">
        <f aca="false">IF($C$3="Daily",SUMIFS('Daily Log'!$K$4:$K$1503,'Daily Log'!$A$4:$A$1503,$C$4,'Daily Log'!$B$4:$B$1503,$A42),SUMIFS('Monthly Log'!$K$4:$K$303,'Monthly Log'!$A$4:$A$303,$C$4,'Monthly Log'!$B$4:$B$303,$A42))</f>
        <v>0</v>
      </c>
      <c r="Q42" s="82" t="n">
        <f aca="false">IF($C$3="Daily",SUMIFS('Daily Log'!$L$4:$L$1503,'Daily Log'!$A$4:$A$1503,$C$4,'Daily Log'!$B$4:$B$1503,$A42),SUMIFS('Monthly Log'!$L$4:$L$303,'Monthly Log'!$A$4:$A$303,$C$4,'Monthly Log'!$B$4:$B$303,$A42))</f>
        <v>0</v>
      </c>
      <c r="R42" s="80" t="str">
        <f aca="false">IFERROR(IF($C$3="Daily",INDEX('Daily Log'!$M$4:$M$1503,MATCH(TEXT($C$4,"YYYY-MM-DD")&amp;"|"&amp;$A42,'Daily Log'!$O$4:$O$1503,0)),INDEX('Monthly Log'!$M$4:$M$303,MATCH(TEXT($C$4,"YYYY-MM")&amp;"|"&amp;$A42,'Monthly Log'!$O$4:$O$303,0))),"")</f>
        <v/>
      </c>
      <c r="S42" s="67" t="str">
        <f aca="false">IF($A42="","",IF(AND($H42=0,$K42=0,$E42=0),"Not started",IF(OR(AND($D42&gt;0,$E42/$D42&gt;$C$10),AND($H42&gt;0,$I42/$H42&lt;$C$8),$P42&gt;=$C$11),"Red",IF(OR(AND($D42&gt;0,$E42/$D42&gt;$C$9),AND($H42&gt;0,$I42/$H42&lt;$C$7),AND($K42&gt;0,$L42/$K42&lt;$C$7),$P42&gt;0,$Q42&gt;0),"Amber","Green"))))</f>
        <v/>
      </c>
      <c r="T42" s="84" t="str">
        <f aca="false">IFERROR(IF($C$3="Daily",INDEX('Daily Log'!$N$4:$N$1503,MATCH(TEXT($C$4,"YYYY-MM-DD")&amp;"|"&amp;$A42,'Daily Log'!$O$4:$O$1503,0)),INDEX('Monthly Log'!$N$4:$N$303,MATCH(TEXT($C$4,"YYYY-MM")&amp;"|"&amp;$A42,'Monthly Log'!$O$4:$O$303,0))),"")</f>
        <v/>
      </c>
    </row>
    <row r="43" customFormat="false" ht="15" hidden="false" customHeight="true" outlineLevel="0" collapsed="false">
      <c r="A43" s="80" t="str">
        <f aca="false">IF('TOR Register'!$A31="","",'TOR Register'!$A31)</f>
        <v/>
      </c>
      <c r="B43" s="18" t="str">
        <f aca="false">IFERROR(INDEX('TOR Register'!$B$4:$B$43,MATCH($A43,'TOR Register'!$A$4:$A$43,0)),"")</f>
        <v/>
      </c>
      <c r="C43" s="18" t="str">
        <f aca="false">IFERROR(INDEX('TOR Register'!$E$4:$E$43,MATCH($A43,'TOR Register'!$A$4:$A$43,0)),"")</f>
        <v/>
      </c>
      <c r="D43" s="81" t="str">
        <f aca="false">IFERROR(INDEX('TOR Register'!$I$4:$I$43,MATCH($A43,'TOR Register'!$A$4:$A$43,0)),"")</f>
        <v/>
      </c>
      <c r="E43" s="81" t="n">
        <f aca="false">IF($C$3="Daily",SUMIFS('Daily Log'!$G$4:$G$1503,'Daily Log'!$A$4:$A$1503,$C$4,'Daily Log'!$B$4:$B$1503,$A43),SUMIFS('Monthly Log'!$G$4:$G$303,'Monthly Log'!$A$4:$A$303,$C$4,'Monthly Log'!$B$4:$B$303,$A43))</f>
        <v>0</v>
      </c>
      <c r="F43" s="22" t="str">
        <f aca="false">IF(N($D43)=0,"",$E43/$D43)</f>
        <v/>
      </c>
      <c r="G43" s="21" t="str">
        <f aca="false">IF($A43="","",$D43-$E43)</f>
        <v/>
      </c>
      <c r="H43" s="82" t="n">
        <f aca="false">IF($C$3="Daily",SUMIFS('Daily Log'!$C$4:$C$1503,'Daily Log'!$A$4:$A$1503,$C$4,'Daily Log'!$B$4:$B$1503,$A43),SUMIFS('Monthly Log'!$C$4:$C$303,'Monthly Log'!$A$4:$A$303,$C$4,'Monthly Log'!$B$4:$B$303,$A43))</f>
        <v>0</v>
      </c>
      <c r="I43" s="82" t="n">
        <f aca="false">IF($C$3="Daily",SUMIFS('Daily Log'!$D$4:$D$1503,'Daily Log'!$A$4:$A$1503,$C$4,'Daily Log'!$B$4:$B$1503,$A43),SUMIFS('Monthly Log'!$D$4:$D$303,'Monthly Log'!$A$4:$A$303,$C$4,'Monthly Log'!$B$4:$B$303,$A43))</f>
        <v>0</v>
      </c>
      <c r="J43" s="83" t="str">
        <f aca="false">IF($H43=0,"",$I43/$H43)</f>
        <v/>
      </c>
      <c r="K43" s="82" t="n">
        <f aca="false">IF($C$3="Daily",SUMIFS('Daily Log'!$E$4:$E$1503,'Daily Log'!$A$4:$A$1503,$C$4,'Daily Log'!$B$4:$B$1503,$A43),SUMIFS('Monthly Log'!$E$4:$E$303,'Monthly Log'!$A$4:$A$303,$C$4,'Monthly Log'!$B$4:$B$303,$A43))</f>
        <v>0</v>
      </c>
      <c r="L43" s="82" t="n">
        <f aca="false">IF($C$3="Daily",SUMIFS('Daily Log'!$F$4:$F$1503,'Daily Log'!$A$4:$A$1503,$C$4,'Daily Log'!$B$4:$B$1503,$A43),SUMIFS('Monthly Log'!$F$4:$F$303,'Monthly Log'!$A$4:$A$303,$C$4,'Monthly Log'!$B$4:$B$303,$A43))</f>
        <v>0</v>
      </c>
      <c r="M43" s="83" t="str">
        <f aca="false">IF($K43=0,"",$L43/$K43)</f>
        <v/>
      </c>
      <c r="N43" s="82" t="n">
        <f aca="false">IF($C$3="Daily",SUMIFS('Daily Log'!$I$4:$I$1503,'Daily Log'!$A$4:$A$1503,$C$4,'Daily Log'!$B$4:$B$1503,$A43),SUMIFS('Monthly Log'!$I$4:$I$303,'Monthly Log'!$A$4:$A$303,$C$4,'Monthly Log'!$B$4:$B$303,$A43))</f>
        <v>0</v>
      </c>
      <c r="O43" s="82" t="n">
        <f aca="false">IF($C$3="Daily",SUMIFS('Daily Log'!$J$4:$J$1503,'Daily Log'!$A$4:$A$1503,$C$4,'Daily Log'!$B$4:$B$1503,$A43),SUMIFS('Monthly Log'!$J$4:$J$303,'Monthly Log'!$A$4:$A$303,$C$4,'Monthly Log'!$B$4:$B$303,$A43))</f>
        <v>0</v>
      </c>
      <c r="P43" s="82" t="n">
        <f aca="false">IF($C$3="Daily",SUMIFS('Daily Log'!$K$4:$K$1503,'Daily Log'!$A$4:$A$1503,$C$4,'Daily Log'!$B$4:$B$1503,$A43),SUMIFS('Monthly Log'!$K$4:$K$303,'Monthly Log'!$A$4:$A$303,$C$4,'Monthly Log'!$B$4:$B$303,$A43))</f>
        <v>0</v>
      </c>
      <c r="Q43" s="82" t="n">
        <f aca="false">IF($C$3="Daily",SUMIFS('Daily Log'!$L$4:$L$1503,'Daily Log'!$A$4:$A$1503,$C$4,'Daily Log'!$B$4:$B$1503,$A43),SUMIFS('Monthly Log'!$L$4:$L$303,'Monthly Log'!$A$4:$A$303,$C$4,'Monthly Log'!$B$4:$B$303,$A43))</f>
        <v>0</v>
      </c>
      <c r="R43" s="80" t="str">
        <f aca="false">IFERROR(IF($C$3="Daily",INDEX('Daily Log'!$M$4:$M$1503,MATCH(TEXT($C$4,"YYYY-MM-DD")&amp;"|"&amp;$A43,'Daily Log'!$O$4:$O$1503,0)),INDEX('Monthly Log'!$M$4:$M$303,MATCH(TEXT($C$4,"YYYY-MM")&amp;"|"&amp;$A43,'Monthly Log'!$O$4:$O$303,0))),"")</f>
        <v/>
      </c>
      <c r="S43" s="67" t="str">
        <f aca="false">IF($A43="","",IF(AND($H43=0,$K43=0,$E43=0),"Not started",IF(OR(AND($D43&gt;0,$E43/$D43&gt;$C$10),AND($H43&gt;0,$I43/$H43&lt;$C$8),$P43&gt;=$C$11),"Red",IF(OR(AND($D43&gt;0,$E43/$D43&gt;$C$9),AND($H43&gt;0,$I43/$H43&lt;$C$7),AND($K43&gt;0,$L43/$K43&lt;$C$7),$P43&gt;0,$Q43&gt;0),"Amber","Green"))))</f>
        <v/>
      </c>
      <c r="T43" s="84" t="str">
        <f aca="false">IFERROR(IF($C$3="Daily",INDEX('Daily Log'!$N$4:$N$1503,MATCH(TEXT($C$4,"YYYY-MM-DD")&amp;"|"&amp;$A43,'Daily Log'!$O$4:$O$1503,0)),INDEX('Monthly Log'!$N$4:$N$303,MATCH(TEXT($C$4,"YYYY-MM")&amp;"|"&amp;$A43,'Monthly Log'!$O$4:$O$303,0))),"")</f>
        <v/>
      </c>
    </row>
    <row r="44" customFormat="false" ht="15" hidden="false" customHeight="true" outlineLevel="0" collapsed="false">
      <c r="A44" s="80" t="str">
        <f aca="false">IF('TOR Register'!$A32="","",'TOR Register'!$A32)</f>
        <v/>
      </c>
      <c r="B44" s="18" t="str">
        <f aca="false">IFERROR(INDEX('TOR Register'!$B$4:$B$43,MATCH($A44,'TOR Register'!$A$4:$A$43,0)),"")</f>
        <v/>
      </c>
      <c r="C44" s="18" t="str">
        <f aca="false">IFERROR(INDEX('TOR Register'!$E$4:$E$43,MATCH($A44,'TOR Register'!$A$4:$A$43,0)),"")</f>
        <v/>
      </c>
      <c r="D44" s="81" t="str">
        <f aca="false">IFERROR(INDEX('TOR Register'!$I$4:$I$43,MATCH($A44,'TOR Register'!$A$4:$A$43,0)),"")</f>
        <v/>
      </c>
      <c r="E44" s="81" t="n">
        <f aca="false">IF($C$3="Daily",SUMIFS('Daily Log'!$G$4:$G$1503,'Daily Log'!$A$4:$A$1503,$C$4,'Daily Log'!$B$4:$B$1503,$A44),SUMIFS('Monthly Log'!$G$4:$G$303,'Monthly Log'!$A$4:$A$303,$C$4,'Monthly Log'!$B$4:$B$303,$A44))</f>
        <v>0</v>
      </c>
      <c r="F44" s="22" t="str">
        <f aca="false">IF(N($D44)=0,"",$E44/$D44)</f>
        <v/>
      </c>
      <c r="G44" s="21" t="str">
        <f aca="false">IF($A44="","",$D44-$E44)</f>
        <v/>
      </c>
      <c r="H44" s="82" t="n">
        <f aca="false">IF($C$3="Daily",SUMIFS('Daily Log'!$C$4:$C$1503,'Daily Log'!$A$4:$A$1503,$C$4,'Daily Log'!$B$4:$B$1503,$A44),SUMIFS('Monthly Log'!$C$4:$C$303,'Monthly Log'!$A$4:$A$303,$C$4,'Monthly Log'!$B$4:$B$303,$A44))</f>
        <v>0</v>
      </c>
      <c r="I44" s="82" t="n">
        <f aca="false">IF($C$3="Daily",SUMIFS('Daily Log'!$D$4:$D$1503,'Daily Log'!$A$4:$A$1503,$C$4,'Daily Log'!$B$4:$B$1503,$A44),SUMIFS('Monthly Log'!$D$4:$D$303,'Monthly Log'!$A$4:$A$303,$C$4,'Monthly Log'!$B$4:$B$303,$A44))</f>
        <v>0</v>
      </c>
      <c r="J44" s="83" t="str">
        <f aca="false">IF($H44=0,"",$I44/$H44)</f>
        <v/>
      </c>
      <c r="K44" s="82" t="n">
        <f aca="false">IF($C$3="Daily",SUMIFS('Daily Log'!$E$4:$E$1503,'Daily Log'!$A$4:$A$1503,$C$4,'Daily Log'!$B$4:$B$1503,$A44),SUMIFS('Monthly Log'!$E$4:$E$303,'Monthly Log'!$A$4:$A$303,$C$4,'Monthly Log'!$B$4:$B$303,$A44))</f>
        <v>0</v>
      </c>
      <c r="L44" s="82" t="n">
        <f aca="false">IF($C$3="Daily",SUMIFS('Daily Log'!$F$4:$F$1503,'Daily Log'!$A$4:$A$1503,$C$4,'Daily Log'!$B$4:$B$1503,$A44),SUMIFS('Monthly Log'!$F$4:$F$303,'Monthly Log'!$A$4:$A$303,$C$4,'Monthly Log'!$B$4:$B$303,$A44))</f>
        <v>0</v>
      </c>
      <c r="M44" s="83" t="str">
        <f aca="false">IF($K44=0,"",$L44/$K44)</f>
        <v/>
      </c>
      <c r="N44" s="82" t="n">
        <f aca="false">IF($C$3="Daily",SUMIFS('Daily Log'!$I$4:$I$1503,'Daily Log'!$A$4:$A$1503,$C$4,'Daily Log'!$B$4:$B$1503,$A44),SUMIFS('Monthly Log'!$I$4:$I$303,'Monthly Log'!$A$4:$A$303,$C$4,'Monthly Log'!$B$4:$B$303,$A44))</f>
        <v>0</v>
      </c>
      <c r="O44" s="82" t="n">
        <f aca="false">IF($C$3="Daily",SUMIFS('Daily Log'!$J$4:$J$1503,'Daily Log'!$A$4:$A$1503,$C$4,'Daily Log'!$B$4:$B$1503,$A44),SUMIFS('Monthly Log'!$J$4:$J$303,'Monthly Log'!$A$4:$A$303,$C$4,'Monthly Log'!$B$4:$B$303,$A44))</f>
        <v>0</v>
      </c>
      <c r="P44" s="82" t="n">
        <f aca="false">IF($C$3="Daily",SUMIFS('Daily Log'!$K$4:$K$1503,'Daily Log'!$A$4:$A$1503,$C$4,'Daily Log'!$B$4:$B$1503,$A44),SUMIFS('Monthly Log'!$K$4:$K$303,'Monthly Log'!$A$4:$A$303,$C$4,'Monthly Log'!$B$4:$B$303,$A44))</f>
        <v>0</v>
      </c>
      <c r="Q44" s="82" t="n">
        <f aca="false">IF($C$3="Daily",SUMIFS('Daily Log'!$L$4:$L$1503,'Daily Log'!$A$4:$A$1503,$C$4,'Daily Log'!$B$4:$B$1503,$A44),SUMIFS('Monthly Log'!$L$4:$L$303,'Monthly Log'!$A$4:$A$303,$C$4,'Monthly Log'!$B$4:$B$303,$A44))</f>
        <v>0</v>
      </c>
      <c r="R44" s="80" t="str">
        <f aca="false">IFERROR(IF($C$3="Daily",INDEX('Daily Log'!$M$4:$M$1503,MATCH(TEXT($C$4,"YYYY-MM-DD")&amp;"|"&amp;$A44,'Daily Log'!$O$4:$O$1503,0)),INDEX('Monthly Log'!$M$4:$M$303,MATCH(TEXT($C$4,"YYYY-MM")&amp;"|"&amp;$A44,'Monthly Log'!$O$4:$O$303,0))),"")</f>
        <v/>
      </c>
      <c r="S44" s="67" t="str">
        <f aca="false">IF($A44="","",IF(AND($H44=0,$K44=0,$E44=0),"Not started",IF(OR(AND($D44&gt;0,$E44/$D44&gt;$C$10),AND($H44&gt;0,$I44/$H44&lt;$C$8),$P44&gt;=$C$11),"Red",IF(OR(AND($D44&gt;0,$E44/$D44&gt;$C$9),AND($H44&gt;0,$I44/$H44&lt;$C$7),AND($K44&gt;0,$L44/$K44&lt;$C$7),$P44&gt;0,$Q44&gt;0),"Amber","Green"))))</f>
        <v/>
      </c>
      <c r="T44" s="84" t="str">
        <f aca="false">IFERROR(IF($C$3="Daily",INDEX('Daily Log'!$N$4:$N$1503,MATCH(TEXT($C$4,"YYYY-MM-DD")&amp;"|"&amp;$A44,'Daily Log'!$O$4:$O$1503,0)),INDEX('Monthly Log'!$N$4:$N$303,MATCH(TEXT($C$4,"YYYY-MM")&amp;"|"&amp;$A44,'Monthly Log'!$O$4:$O$303,0))),"")</f>
        <v/>
      </c>
    </row>
    <row r="45" customFormat="false" ht="15" hidden="false" customHeight="true" outlineLevel="0" collapsed="false">
      <c r="A45" s="80" t="str">
        <f aca="false">IF('TOR Register'!$A33="","",'TOR Register'!$A33)</f>
        <v/>
      </c>
      <c r="B45" s="18" t="str">
        <f aca="false">IFERROR(INDEX('TOR Register'!$B$4:$B$43,MATCH($A45,'TOR Register'!$A$4:$A$43,0)),"")</f>
        <v/>
      </c>
      <c r="C45" s="18" t="str">
        <f aca="false">IFERROR(INDEX('TOR Register'!$E$4:$E$43,MATCH($A45,'TOR Register'!$A$4:$A$43,0)),"")</f>
        <v/>
      </c>
      <c r="D45" s="81" t="str">
        <f aca="false">IFERROR(INDEX('TOR Register'!$I$4:$I$43,MATCH($A45,'TOR Register'!$A$4:$A$43,0)),"")</f>
        <v/>
      </c>
      <c r="E45" s="81" t="n">
        <f aca="false">IF($C$3="Daily",SUMIFS('Daily Log'!$G$4:$G$1503,'Daily Log'!$A$4:$A$1503,$C$4,'Daily Log'!$B$4:$B$1503,$A45),SUMIFS('Monthly Log'!$G$4:$G$303,'Monthly Log'!$A$4:$A$303,$C$4,'Monthly Log'!$B$4:$B$303,$A45))</f>
        <v>0</v>
      </c>
      <c r="F45" s="22" t="str">
        <f aca="false">IF(N($D45)=0,"",$E45/$D45)</f>
        <v/>
      </c>
      <c r="G45" s="21" t="str">
        <f aca="false">IF($A45="","",$D45-$E45)</f>
        <v/>
      </c>
      <c r="H45" s="82" t="n">
        <f aca="false">IF($C$3="Daily",SUMIFS('Daily Log'!$C$4:$C$1503,'Daily Log'!$A$4:$A$1503,$C$4,'Daily Log'!$B$4:$B$1503,$A45),SUMIFS('Monthly Log'!$C$4:$C$303,'Monthly Log'!$A$4:$A$303,$C$4,'Monthly Log'!$B$4:$B$303,$A45))</f>
        <v>0</v>
      </c>
      <c r="I45" s="82" t="n">
        <f aca="false">IF($C$3="Daily",SUMIFS('Daily Log'!$D$4:$D$1503,'Daily Log'!$A$4:$A$1503,$C$4,'Daily Log'!$B$4:$B$1503,$A45),SUMIFS('Monthly Log'!$D$4:$D$303,'Monthly Log'!$A$4:$A$303,$C$4,'Monthly Log'!$B$4:$B$303,$A45))</f>
        <v>0</v>
      </c>
      <c r="J45" s="83" t="str">
        <f aca="false">IF($H45=0,"",$I45/$H45)</f>
        <v/>
      </c>
      <c r="K45" s="82" t="n">
        <f aca="false">IF($C$3="Daily",SUMIFS('Daily Log'!$E$4:$E$1503,'Daily Log'!$A$4:$A$1503,$C$4,'Daily Log'!$B$4:$B$1503,$A45),SUMIFS('Monthly Log'!$E$4:$E$303,'Monthly Log'!$A$4:$A$303,$C$4,'Monthly Log'!$B$4:$B$303,$A45))</f>
        <v>0</v>
      </c>
      <c r="L45" s="82" t="n">
        <f aca="false">IF($C$3="Daily",SUMIFS('Daily Log'!$F$4:$F$1503,'Daily Log'!$A$4:$A$1503,$C$4,'Daily Log'!$B$4:$B$1503,$A45),SUMIFS('Monthly Log'!$F$4:$F$303,'Monthly Log'!$A$4:$A$303,$C$4,'Monthly Log'!$B$4:$B$303,$A45))</f>
        <v>0</v>
      </c>
      <c r="M45" s="83" t="str">
        <f aca="false">IF($K45=0,"",$L45/$K45)</f>
        <v/>
      </c>
      <c r="N45" s="82" t="n">
        <f aca="false">IF($C$3="Daily",SUMIFS('Daily Log'!$I$4:$I$1503,'Daily Log'!$A$4:$A$1503,$C$4,'Daily Log'!$B$4:$B$1503,$A45),SUMIFS('Monthly Log'!$I$4:$I$303,'Monthly Log'!$A$4:$A$303,$C$4,'Monthly Log'!$B$4:$B$303,$A45))</f>
        <v>0</v>
      </c>
      <c r="O45" s="82" t="n">
        <f aca="false">IF($C$3="Daily",SUMIFS('Daily Log'!$J$4:$J$1503,'Daily Log'!$A$4:$A$1503,$C$4,'Daily Log'!$B$4:$B$1503,$A45),SUMIFS('Monthly Log'!$J$4:$J$303,'Monthly Log'!$A$4:$A$303,$C$4,'Monthly Log'!$B$4:$B$303,$A45))</f>
        <v>0</v>
      </c>
      <c r="P45" s="82" t="n">
        <f aca="false">IF($C$3="Daily",SUMIFS('Daily Log'!$K$4:$K$1503,'Daily Log'!$A$4:$A$1503,$C$4,'Daily Log'!$B$4:$B$1503,$A45),SUMIFS('Monthly Log'!$K$4:$K$303,'Monthly Log'!$A$4:$A$303,$C$4,'Monthly Log'!$B$4:$B$303,$A45))</f>
        <v>0</v>
      </c>
      <c r="Q45" s="82" t="n">
        <f aca="false">IF($C$3="Daily",SUMIFS('Daily Log'!$L$4:$L$1503,'Daily Log'!$A$4:$A$1503,$C$4,'Daily Log'!$B$4:$B$1503,$A45),SUMIFS('Monthly Log'!$L$4:$L$303,'Monthly Log'!$A$4:$A$303,$C$4,'Monthly Log'!$B$4:$B$303,$A45))</f>
        <v>0</v>
      </c>
      <c r="R45" s="80" t="str">
        <f aca="false">IFERROR(IF($C$3="Daily",INDEX('Daily Log'!$M$4:$M$1503,MATCH(TEXT($C$4,"YYYY-MM-DD")&amp;"|"&amp;$A45,'Daily Log'!$O$4:$O$1503,0)),INDEX('Monthly Log'!$M$4:$M$303,MATCH(TEXT($C$4,"YYYY-MM")&amp;"|"&amp;$A45,'Monthly Log'!$O$4:$O$303,0))),"")</f>
        <v/>
      </c>
      <c r="S45" s="67" t="str">
        <f aca="false">IF($A45="","",IF(AND($H45=0,$K45=0,$E45=0),"Not started",IF(OR(AND($D45&gt;0,$E45/$D45&gt;$C$10),AND($H45&gt;0,$I45/$H45&lt;$C$8),$P45&gt;=$C$11),"Red",IF(OR(AND($D45&gt;0,$E45/$D45&gt;$C$9),AND($H45&gt;0,$I45/$H45&lt;$C$7),AND($K45&gt;0,$L45/$K45&lt;$C$7),$P45&gt;0,$Q45&gt;0),"Amber","Green"))))</f>
        <v/>
      </c>
      <c r="T45" s="84" t="str">
        <f aca="false">IFERROR(IF($C$3="Daily",INDEX('Daily Log'!$N$4:$N$1503,MATCH(TEXT($C$4,"YYYY-MM-DD")&amp;"|"&amp;$A45,'Daily Log'!$O$4:$O$1503,0)),INDEX('Monthly Log'!$N$4:$N$303,MATCH(TEXT($C$4,"YYYY-MM")&amp;"|"&amp;$A45,'Monthly Log'!$O$4:$O$303,0))),"")</f>
        <v/>
      </c>
    </row>
    <row r="46" customFormat="false" ht="15" hidden="false" customHeight="true" outlineLevel="0" collapsed="false">
      <c r="A46" s="80" t="str">
        <f aca="false">IF('TOR Register'!$A34="","",'TOR Register'!$A34)</f>
        <v/>
      </c>
      <c r="B46" s="18" t="str">
        <f aca="false">IFERROR(INDEX('TOR Register'!$B$4:$B$43,MATCH($A46,'TOR Register'!$A$4:$A$43,0)),"")</f>
        <v/>
      </c>
      <c r="C46" s="18" t="str">
        <f aca="false">IFERROR(INDEX('TOR Register'!$E$4:$E$43,MATCH($A46,'TOR Register'!$A$4:$A$43,0)),"")</f>
        <v/>
      </c>
      <c r="D46" s="81" t="str">
        <f aca="false">IFERROR(INDEX('TOR Register'!$I$4:$I$43,MATCH($A46,'TOR Register'!$A$4:$A$43,0)),"")</f>
        <v/>
      </c>
      <c r="E46" s="81" t="n">
        <f aca="false">IF($C$3="Daily",SUMIFS('Daily Log'!$G$4:$G$1503,'Daily Log'!$A$4:$A$1503,$C$4,'Daily Log'!$B$4:$B$1503,$A46),SUMIFS('Monthly Log'!$G$4:$G$303,'Monthly Log'!$A$4:$A$303,$C$4,'Monthly Log'!$B$4:$B$303,$A46))</f>
        <v>0</v>
      </c>
      <c r="F46" s="22" t="str">
        <f aca="false">IF(N($D46)=0,"",$E46/$D46)</f>
        <v/>
      </c>
      <c r="G46" s="21" t="str">
        <f aca="false">IF($A46="","",$D46-$E46)</f>
        <v/>
      </c>
      <c r="H46" s="82" t="n">
        <f aca="false">IF($C$3="Daily",SUMIFS('Daily Log'!$C$4:$C$1503,'Daily Log'!$A$4:$A$1503,$C$4,'Daily Log'!$B$4:$B$1503,$A46),SUMIFS('Monthly Log'!$C$4:$C$303,'Monthly Log'!$A$4:$A$303,$C$4,'Monthly Log'!$B$4:$B$303,$A46))</f>
        <v>0</v>
      </c>
      <c r="I46" s="82" t="n">
        <f aca="false">IF($C$3="Daily",SUMIFS('Daily Log'!$D$4:$D$1503,'Daily Log'!$A$4:$A$1503,$C$4,'Daily Log'!$B$4:$B$1503,$A46),SUMIFS('Monthly Log'!$D$4:$D$303,'Monthly Log'!$A$4:$A$303,$C$4,'Monthly Log'!$B$4:$B$303,$A46))</f>
        <v>0</v>
      </c>
      <c r="J46" s="83" t="str">
        <f aca="false">IF($H46=0,"",$I46/$H46)</f>
        <v/>
      </c>
      <c r="K46" s="82" t="n">
        <f aca="false">IF($C$3="Daily",SUMIFS('Daily Log'!$E$4:$E$1503,'Daily Log'!$A$4:$A$1503,$C$4,'Daily Log'!$B$4:$B$1503,$A46),SUMIFS('Monthly Log'!$E$4:$E$303,'Monthly Log'!$A$4:$A$303,$C$4,'Monthly Log'!$B$4:$B$303,$A46))</f>
        <v>0</v>
      </c>
      <c r="L46" s="82" t="n">
        <f aca="false">IF($C$3="Daily",SUMIFS('Daily Log'!$F$4:$F$1503,'Daily Log'!$A$4:$A$1503,$C$4,'Daily Log'!$B$4:$B$1503,$A46),SUMIFS('Monthly Log'!$F$4:$F$303,'Monthly Log'!$A$4:$A$303,$C$4,'Monthly Log'!$B$4:$B$303,$A46))</f>
        <v>0</v>
      </c>
      <c r="M46" s="83" t="str">
        <f aca="false">IF($K46=0,"",$L46/$K46)</f>
        <v/>
      </c>
      <c r="N46" s="82" t="n">
        <f aca="false">IF($C$3="Daily",SUMIFS('Daily Log'!$I$4:$I$1503,'Daily Log'!$A$4:$A$1503,$C$4,'Daily Log'!$B$4:$B$1503,$A46),SUMIFS('Monthly Log'!$I$4:$I$303,'Monthly Log'!$A$4:$A$303,$C$4,'Monthly Log'!$B$4:$B$303,$A46))</f>
        <v>0</v>
      </c>
      <c r="O46" s="82" t="n">
        <f aca="false">IF($C$3="Daily",SUMIFS('Daily Log'!$J$4:$J$1503,'Daily Log'!$A$4:$A$1503,$C$4,'Daily Log'!$B$4:$B$1503,$A46),SUMIFS('Monthly Log'!$J$4:$J$303,'Monthly Log'!$A$4:$A$303,$C$4,'Monthly Log'!$B$4:$B$303,$A46))</f>
        <v>0</v>
      </c>
      <c r="P46" s="82" t="n">
        <f aca="false">IF($C$3="Daily",SUMIFS('Daily Log'!$K$4:$K$1503,'Daily Log'!$A$4:$A$1503,$C$4,'Daily Log'!$B$4:$B$1503,$A46),SUMIFS('Monthly Log'!$K$4:$K$303,'Monthly Log'!$A$4:$A$303,$C$4,'Monthly Log'!$B$4:$B$303,$A46))</f>
        <v>0</v>
      </c>
      <c r="Q46" s="82" t="n">
        <f aca="false">IF($C$3="Daily",SUMIFS('Daily Log'!$L$4:$L$1503,'Daily Log'!$A$4:$A$1503,$C$4,'Daily Log'!$B$4:$B$1503,$A46),SUMIFS('Monthly Log'!$L$4:$L$303,'Monthly Log'!$A$4:$A$303,$C$4,'Monthly Log'!$B$4:$B$303,$A46))</f>
        <v>0</v>
      </c>
      <c r="R46" s="80" t="str">
        <f aca="false">IFERROR(IF($C$3="Daily",INDEX('Daily Log'!$M$4:$M$1503,MATCH(TEXT($C$4,"YYYY-MM-DD")&amp;"|"&amp;$A46,'Daily Log'!$O$4:$O$1503,0)),INDEX('Monthly Log'!$M$4:$M$303,MATCH(TEXT($C$4,"YYYY-MM")&amp;"|"&amp;$A46,'Monthly Log'!$O$4:$O$303,0))),"")</f>
        <v/>
      </c>
      <c r="S46" s="67" t="str">
        <f aca="false">IF($A46="","",IF(AND($H46=0,$K46=0,$E46=0),"Not started",IF(OR(AND($D46&gt;0,$E46/$D46&gt;$C$10),AND($H46&gt;0,$I46/$H46&lt;$C$8),$P46&gt;=$C$11),"Red",IF(OR(AND($D46&gt;0,$E46/$D46&gt;$C$9),AND($H46&gt;0,$I46/$H46&lt;$C$7),AND($K46&gt;0,$L46/$K46&lt;$C$7),$P46&gt;0,$Q46&gt;0),"Amber","Green"))))</f>
        <v/>
      </c>
      <c r="T46" s="84" t="str">
        <f aca="false">IFERROR(IF($C$3="Daily",INDEX('Daily Log'!$N$4:$N$1503,MATCH(TEXT($C$4,"YYYY-MM-DD")&amp;"|"&amp;$A46,'Daily Log'!$O$4:$O$1503,0)),INDEX('Monthly Log'!$N$4:$N$303,MATCH(TEXT($C$4,"YYYY-MM")&amp;"|"&amp;$A46,'Monthly Log'!$O$4:$O$303,0))),"")</f>
        <v/>
      </c>
    </row>
    <row r="47" customFormat="false" ht="15" hidden="false" customHeight="true" outlineLevel="0" collapsed="false">
      <c r="A47" s="80" t="str">
        <f aca="false">IF('TOR Register'!$A35="","",'TOR Register'!$A35)</f>
        <v/>
      </c>
      <c r="B47" s="18" t="str">
        <f aca="false">IFERROR(INDEX('TOR Register'!$B$4:$B$43,MATCH($A47,'TOR Register'!$A$4:$A$43,0)),"")</f>
        <v/>
      </c>
      <c r="C47" s="18" t="str">
        <f aca="false">IFERROR(INDEX('TOR Register'!$E$4:$E$43,MATCH($A47,'TOR Register'!$A$4:$A$43,0)),"")</f>
        <v/>
      </c>
      <c r="D47" s="81" t="str">
        <f aca="false">IFERROR(INDEX('TOR Register'!$I$4:$I$43,MATCH($A47,'TOR Register'!$A$4:$A$43,0)),"")</f>
        <v/>
      </c>
      <c r="E47" s="81" t="n">
        <f aca="false">IF($C$3="Daily",SUMIFS('Daily Log'!$G$4:$G$1503,'Daily Log'!$A$4:$A$1503,$C$4,'Daily Log'!$B$4:$B$1503,$A47),SUMIFS('Monthly Log'!$G$4:$G$303,'Monthly Log'!$A$4:$A$303,$C$4,'Monthly Log'!$B$4:$B$303,$A47))</f>
        <v>0</v>
      </c>
      <c r="F47" s="22" t="str">
        <f aca="false">IF(N($D47)=0,"",$E47/$D47)</f>
        <v/>
      </c>
      <c r="G47" s="21" t="str">
        <f aca="false">IF($A47="","",$D47-$E47)</f>
        <v/>
      </c>
      <c r="H47" s="82" t="n">
        <f aca="false">IF($C$3="Daily",SUMIFS('Daily Log'!$C$4:$C$1503,'Daily Log'!$A$4:$A$1503,$C$4,'Daily Log'!$B$4:$B$1503,$A47),SUMIFS('Monthly Log'!$C$4:$C$303,'Monthly Log'!$A$4:$A$303,$C$4,'Monthly Log'!$B$4:$B$303,$A47))</f>
        <v>0</v>
      </c>
      <c r="I47" s="82" t="n">
        <f aca="false">IF($C$3="Daily",SUMIFS('Daily Log'!$D$4:$D$1503,'Daily Log'!$A$4:$A$1503,$C$4,'Daily Log'!$B$4:$B$1503,$A47),SUMIFS('Monthly Log'!$D$4:$D$303,'Monthly Log'!$A$4:$A$303,$C$4,'Monthly Log'!$B$4:$B$303,$A47))</f>
        <v>0</v>
      </c>
      <c r="J47" s="83" t="str">
        <f aca="false">IF($H47=0,"",$I47/$H47)</f>
        <v/>
      </c>
      <c r="K47" s="82" t="n">
        <f aca="false">IF($C$3="Daily",SUMIFS('Daily Log'!$E$4:$E$1503,'Daily Log'!$A$4:$A$1503,$C$4,'Daily Log'!$B$4:$B$1503,$A47),SUMIFS('Monthly Log'!$E$4:$E$303,'Monthly Log'!$A$4:$A$303,$C$4,'Monthly Log'!$B$4:$B$303,$A47))</f>
        <v>0</v>
      </c>
      <c r="L47" s="82" t="n">
        <f aca="false">IF($C$3="Daily",SUMIFS('Daily Log'!$F$4:$F$1503,'Daily Log'!$A$4:$A$1503,$C$4,'Daily Log'!$B$4:$B$1503,$A47),SUMIFS('Monthly Log'!$F$4:$F$303,'Monthly Log'!$A$4:$A$303,$C$4,'Monthly Log'!$B$4:$B$303,$A47))</f>
        <v>0</v>
      </c>
      <c r="M47" s="83" t="str">
        <f aca="false">IF($K47=0,"",$L47/$K47)</f>
        <v/>
      </c>
      <c r="N47" s="82" t="n">
        <f aca="false">IF($C$3="Daily",SUMIFS('Daily Log'!$I$4:$I$1503,'Daily Log'!$A$4:$A$1503,$C$4,'Daily Log'!$B$4:$B$1503,$A47),SUMIFS('Monthly Log'!$I$4:$I$303,'Monthly Log'!$A$4:$A$303,$C$4,'Monthly Log'!$B$4:$B$303,$A47))</f>
        <v>0</v>
      </c>
      <c r="O47" s="82" t="n">
        <f aca="false">IF($C$3="Daily",SUMIFS('Daily Log'!$J$4:$J$1503,'Daily Log'!$A$4:$A$1503,$C$4,'Daily Log'!$B$4:$B$1503,$A47),SUMIFS('Monthly Log'!$J$4:$J$303,'Monthly Log'!$A$4:$A$303,$C$4,'Monthly Log'!$B$4:$B$303,$A47))</f>
        <v>0</v>
      </c>
      <c r="P47" s="82" t="n">
        <f aca="false">IF($C$3="Daily",SUMIFS('Daily Log'!$K$4:$K$1503,'Daily Log'!$A$4:$A$1503,$C$4,'Daily Log'!$B$4:$B$1503,$A47),SUMIFS('Monthly Log'!$K$4:$K$303,'Monthly Log'!$A$4:$A$303,$C$4,'Monthly Log'!$B$4:$B$303,$A47))</f>
        <v>0</v>
      </c>
      <c r="Q47" s="82" t="n">
        <f aca="false">IF($C$3="Daily",SUMIFS('Daily Log'!$L$4:$L$1503,'Daily Log'!$A$4:$A$1503,$C$4,'Daily Log'!$B$4:$B$1503,$A47),SUMIFS('Monthly Log'!$L$4:$L$303,'Monthly Log'!$A$4:$A$303,$C$4,'Monthly Log'!$B$4:$B$303,$A47))</f>
        <v>0</v>
      </c>
      <c r="R47" s="80" t="str">
        <f aca="false">IFERROR(IF($C$3="Daily",INDEX('Daily Log'!$M$4:$M$1503,MATCH(TEXT($C$4,"YYYY-MM-DD")&amp;"|"&amp;$A47,'Daily Log'!$O$4:$O$1503,0)),INDEX('Monthly Log'!$M$4:$M$303,MATCH(TEXT($C$4,"YYYY-MM")&amp;"|"&amp;$A47,'Monthly Log'!$O$4:$O$303,0))),"")</f>
        <v/>
      </c>
      <c r="S47" s="67" t="str">
        <f aca="false">IF($A47="","",IF(AND($H47=0,$K47=0,$E47=0),"Not started",IF(OR(AND($D47&gt;0,$E47/$D47&gt;$C$10),AND($H47&gt;0,$I47/$H47&lt;$C$8),$P47&gt;=$C$11),"Red",IF(OR(AND($D47&gt;0,$E47/$D47&gt;$C$9),AND($H47&gt;0,$I47/$H47&lt;$C$7),AND($K47&gt;0,$L47/$K47&lt;$C$7),$P47&gt;0,$Q47&gt;0),"Amber","Green"))))</f>
        <v/>
      </c>
      <c r="T47" s="84" t="str">
        <f aca="false">IFERROR(IF($C$3="Daily",INDEX('Daily Log'!$N$4:$N$1503,MATCH(TEXT($C$4,"YYYY-MM-DD")&amp;"|"&amp;$A47,'Daily Log'!$O$4:$O$1503,0)),INDEX('Monthly Log'!$N$4:$N$303,MATCH(TEXT($C$4,"YYYY-MM")&amp;"|"&amp;$A47,'Monthly Log'!$O$4:$O$303,0))),"")</f>
        <v/>
      </c>
    </row>
    <row r="48" customFormat="false" ht="15" hidden="false" customHeight="true" outlineLevel="0" collapsed="false">
      <c r="A48" s="80" t="str">
        <f aca="false">IF('TOR Register'!$A36="","",'TOR Register'!$A36)</f>
        <v/>
      </c>
      <c r="B48" s="18" t="str">
        <f aca="false">IFERROR(INDEX('TOR Register'!$B$4:$B$43,MATCH($A48,'TOR Register'!$A$4:$A$43,0)),"")</f>
        <v/>
      </c>
      <c r="C48" s="18" t="str">
        <f aca="false">IFERROR(INDEX('TOR Register'!$E$4:$E$43,MATCH($A48,'TOR Register'!$A$4:$A$43,0)),"")</f>
        <v/>
      </c>
      <c r="D48" s="81" t="str">
        <f aca="false">IFERROR(INDEX('TOR Register'!$I$4:$I$43,MATCH($A48,'TOR Register'!$A$4:$A$43,0)),"")</f>
        <v/>
      </c>
      <c r="E48" s="81" t="n">
        <f aca="false">IF($C$3="Daily",SUMIFS('Daily Log'!$G$4:$G$1503,'Daily Log'!$A$4:$A$1503,$C$4,'Daily Log'!$B$4:$B$1503,$A48),SUMIFS('Monthly Log'!$G$4:$G$303,'Monthly Log'!$A$4:$A$303,$C$4,'Monthly Log'!$B$4:$B$303,$A48))</f>
        <v>0</v>
      </c>
      <c r="F48" s="22" t="str">
        <f aca="false">IF(N($D48)=0,"",$E48/$D48)</f>
        <v/>
      </c>
      <c r="G48" s="21" t="str">
        <f aca="false">IF($A48="","",$D48-$E48)</f>
        <v/>
      </c>
      <c r="H48" s="82" t="n">
        <f aca="false">IF($C$3="Daily",SUMIFS('Daily Log'!$C$4:$C$1503,'Daily Log'!$A$4:$A$1503,$C$4,'Daily Log'!$B$4:$B$1503,$A48),SUMIFS('Monthly Log'!$C$4:$C$303,'Monthly Log'!$A$4:$A$303,$C$4,'Monthly Log'!$B$4:$B$303,$A48))</f>
        <v>0</v>
      </c>
      <c r="I48" s="82" t="n">
        <f aca="false">IF($C$3="Daily",SUMIFS('Daily Log'!$D$4:$D$1503,'Daily Log'!$A$4:$A$1503,$C$4,'Daily Log'!$B$4:$B$1503,$A48),SUMIFS('Monthly Log'!$D$4:$D$303,'Monthly Log'!$A$4:$A$303,$C$4,'Monthly Log'!$B$4:$B$303,$A48))</f>
        <v>0</v>
      </c>
      <c r="J48" s="83" t="str">
        <f aca="false">IF($H48=0,"",$I48/$H48)</f>
        <v/>
      </c>
      <c r="K48" s="82" t="n">
        <f aca="false">IF($C$3="Daily",SUMIFS('Daily Log'!$E$4:$E$1503,'Daily Log'!$A$4:$A$1503,$C$4,'Daily Log'!$B$4:$B$1503,$A48),SUMIFS('Monthly Log'!$E$4:$E$303,'Monthly Log'!$A$4:$A$303,$C$4,'Monthly Log'!$B$4:$B$303,$A48))</f>
        <v>0</v>
      </c>
      <c r="L48" s="82" t="n">
        <f aca="false">IF($C$3="Daily",SUMIFS('Daily Log'!$F$4:$F$1503,'Daily Log'!$A$4:$A$1503,$C$4,'Daily Log'!$B$4:$B$1503,$A48),SUMIFS('Monthly Log'!$F$4:$F$303,'Monthly Log'!$A$4:$A$303,$C$4,'Monthly Log'!$B$4:$B$303,$A48))</f>
        <v>0</v>
      </c>
      <c r="M48" s="83" t="str">
        <f aca="false">IF($K48=0,"",$L48/$K48)</f>
        <v/>
      </c>
      <c r="N48" s="82" t="n">
        <f aca="false">IF($C$3="Daily",SUMIFS('Daily Log'!$I$4:$I$1503,'Daily Log'!$A$4:$A$1503,$C$4,'Daily Log'!$B$4:$B$1503,$A48),SUMIFS('Monthly Log'!$I$4:$I$303,'Monthly Log'!$A$4:$A$303,$C$4,'Monthly Log'!$B$4:$B$303,$A48))</f>
        <v>0</v>
      </c>
      <c r="O48" s="82" t="n">
        <f aca="false">IF($C$3="Daily",SUMIFS('Daily Log'!$J$4:$J$1503,'Daily Log'!$A$4:$A$1503,$C$4,'Daily Log'!$B$4:$B$1503,$A48),SUMIFS('Monthly Log'!$J$4:$J$303,'Monthly Log'!$A$4:$A$303,$C$4,'Monthly Log'!$B$4:$B$303,$A48))</f>
        <v>0</v>
      </c>
      <c r="P48" s="82" t="n">
        <f aca="false">IF($C$3="Daily",SUMIFS('Daily Log'!$K$4:$K$1503,'Daily Log'!$A$4:$A$1503,$C$4,'Daily Log'!$B$4:$B$1503,$A48),SUMIFS('Monthly Log'!$K$4:$K$303,'Monthly Log'!$A$4:$A$303,$C$4,'Monthly Log'!$B$4:$B$303,$A48))</f>
        <v>0</v>
      </c>
      <c r="Q48" s="82" t="n">
        <f aca="false">IF($C$3="Daily",SUMIFS('Daily Log'!$L$4:$L$1503,'Daily Log'!$A$4:$A$1503,$C$4,'Daily Log'!$B$4:$B$1503,$A48),SUMIFS('Monthly Log'!$L$4:$L$303,'Monthly Log'!$A$4:$A$303,$C$4,'Monthly Log'!$B$4:$B$303,$A48))</f>
        <v>0</v>
      </c>
      <c r="R48" s="80" t="str">
        <f aca="false">IFERROR(IF($C$3="Daily",INDEX('Daily Log'!$M$4:$M$1503,MATCH(TEXT($C$4,"YYYY-MM-DD")&amp;"|"&amp;$A48,'Daily Log'!$O$4:$O$1503,0)),INDEX('Monthly Log'!$M$4:$M$303,MATCH(TEXT($C$4,"YYYY-MM")&amp;"|"&amp;$A48,'Monthly Log'!$O$4:$O$303,0))),"")</f>
        <v/>
      </c>
      <c r="S48" s="67" t="str">
        <f aca="false">IF($A48="","",IF(AND($H48=0,$K48=0,$E48=0),"Not started",IF(OR(AND($D48&gt;0,$E48/$D48&gt;$C$10),AND($H48&gt;0,$I48/$H48&lt;$C$8),$P48&gt;=$C$11),"Red",IF(OR(AND($D48&gt;0,$E48/$D48&gt;$C$9),AND($H48&gt;0,$I48/$H48&lt;$C$7),AND($K48&gt;0,$L48/$K48&lt;$C$7),$P48&gt;0,$Q48&gt;0),"Amber","Green"))))</f>
        <v/>
      </c>
      <c r="T48" s="84" t="str">
        <f aca="false">IFERROR(IF($C$3="Daily",INDEX('Daily Log'!$N$4:$N$1503,MATCH(TEXT($C$4,"YYYY-MM-DD")&amp;"|"&amp;$A48,'Daily Log'!$O$4:$O$1503,0)),INDEX('Monthly Log'!$N$4:$N$303,MATCH(TEXT($C$4,"YYYY-MM")&amp;"|"&amp;$A48,'Monthly Log'!$O$4:$O$303,0))),"")</f>
        <v/>
      </c>
    </row>
    <row r="49" customFormat="false" ht="15" hidden="false" customHeight="true" outlineLevel="0" collapsed="false">
      <c r="A49" s="80" t="str">
        <f aca="false">IF('TOR Register'!$A37="","",'TOR Register'!$A37)</f>
        <v/>
      </c>
      <c r="B49" s="18" t="str">
        <f aca="false">IFERROR(INDEX('TOR Register'!$B$4:$B$43,MATCH($A49,'TOR Register'!$A$4:$A$43,0)),"")</f>
        <v/>
      </c>
      <c r="C49" s="18" t="str">
        <f aca="false">IFERROR(INDEX('TOR Register'!$E$4:$E$43,MATCH($A49,'TOR Register'!$A$4:$A$43,0)),"")</f>
        <v/>
      </c>
      <c r="D49" s="81" t="str">
        <f aca="false">IFERROR(INDEX('TOR Register'!$I$4:$I$43,MATCH($A49,'TOR Register'!$A$4:$A$43,0)),"")</f>
        <v/>
      </c>
      <c r="E49" s="81" t="n">
        <f aca="false">IF($C$3="Daily",SUMIFS('Daily Log'!$G$4:$G$1503,'Daily Log'!$A$4:$A$1503,$C$4,'Daily Log'!$B$4:$B$1503,$A49),SUMIFS('Monthly Log'!$G$4:$G$303,'Monthly Log'!$A$4:$A$303,$C$4,'Monthly Log'!$B$4:$B$303,$A49))</f>
        <v>0</v>
      </c>
      <c r="F49" s="22" t="str">
        <f aca="false">IF(N($D49)=0,"",$E49/$D49)</f>
        <v/>
      </c>
      <c r="G49" s="21" t="str">
        <f aca="false">IF($A49="","",$D49-$E49)</f>
        <v/>
      </c>
      <c r="H49" s="82" t="n">
        <f aca="false">IF($C$3="Daily",SUMIFS('Daily Log'!$C$4:$C$1503,'Daily Log'!$A$4:$A$1503,$C$4,'Daily Log'!$B$4:$B$1503,$A49),SUMIFS('Monthly Log'!$C$4:$C$303,'Monthly Log'!$A$4:$A$303,$C$4,'Monthly Log'!$B$4:$B$303,$A49))</f>
        <v>0</v>
      </c>
      <c r="I49" s="82" t="n">
        <f aca="false">IF($C$3="Daily",SUMIFS('Daily Log'!$D$4:$D$1503,'Daily Log'!$A$4:$A$1503,$C$4,'Daily Log'!$B$4:$B$1503,$A49),SUMIFS('Monthly Log'!$D$4:$D$303,'Monthly Log'!$A$4:$A$303,$C$4,'Monthly Log'!$B$4:$B$303,$A49))</f>
        <v>0</v>
      </c>
      <c r="J49" s="83" t="str">
        <f aca="false">IF($H49=0,"",$I49/$H49)</f>
        <v/>
      </c>
      <c r="K49" s="82" t="n">
        <f aca="false">IF($C$3="Daily",SUMIFS('Daily Log'!$E$4:$E$1503,'Daily Log'!$A$4:$A$1503,$C$4,'Daily Log'!$B$4:$B$1503,$A49),SUMIFS('Monthly Log'!$E$4:$E$303,'Monthly Log'!$A$4:$A$303,$C$4,'Monthly Log'!$B$4:$B$303,$A49))</f>
        <v>0</v>
      </c>
      <c r="L49" s="82" t="n">
        <f aca="false">IF($C$3="Daily",SUMIFS('Daily Log'!$F$4:$F$1503,'Daily Log'!$A$4:$A$1503,$C$4,'Daily Log'!$B$4:$B$1503,$A49),SUMIFS('Monthly Log'!$F$4:$F$303,'Monthly Log'!$A$4:$A$303,$C$4,'Monthly Log'!$B$4:$B$303,$A49))</f>
        <v>0</v>
      </c>
      <c r="M49" s="83" t="str">
        <f aca="false">IF($K49=0,"",$L49/$K49)</f>
        <v/>
      </c>
      <c r="N49" s="82" t="n">
        <f aca="false">IF($C$3="Daily",SUMIFS('Daily Log'!$I$4:$I$1503,'Daily Log'!$A$4:$A$1503,$C$4,'Daily Log'!$B$4:$B$1503,$A49),SUMIFS('Monthly Log'!$I$4:$I$303,'Monthly Log'!$A$4:$A$303,$C$4,'Monthly Log'!$B$4:$B$303,$A49))</f>
        <v>0</v>
      </c>
      <c r="O49" s="82" t="n">
        <f aca="false">IF($C$3="Daily",SUMIFS('Daily Log'!$J$4:$J$1503,'Daily Log'!$A$4:$A$1503,$C$4,'Daily Log'!$B$4:$B$1503,$A49),SUMIFS('Monthly Log'!$J$4:$J$303,'Monthly Log'!$A$4:$A$303,$C$4,'Monthly Log'!$B$4:$B$303,$A49))</f>
        <v>0</v>
      </c>
      <c r="P49" s="82" t="n">
        <f aca="false">IF($C$3="Daily",SUMIFS('Daily Log'!$K$4:$K$1503,'Daily Log'!$A$4:$A$1503,$C$4,'Daily Log'!$B$4:$B$1503,$A49),SUMIFS('Monthly Log'!$K$4:$K$303,'Monthly Log'!$A$4:$A$303,$C$4,'Monthly Log'!$B$4:$B$303,$A49))</f>
        <v>0</v>
      </c>
      <c r="Q49" s="82" t="n">
        <f aca="false">IF($C$3="Daily",SUMIFS('Daily Log'!$L$4:$L$1503,'Daily Log'!$A$4:$A$1503,$C$4,'Daily Log'!$B$4:$B$1503,$A49),SUMIFS('Monthly Log'!$L$4:$L$303,'Monthly Log'!$A$4:$A$303,$C$4,'Monthly Log'!$B$4:$B$303,$A49))</f>
        <v>0</v>
      </c>
      <c r="R49" s="80" t="str">
        <f aca="false">IFERROR(IF($C$3="Daily",INDEX('Daily Log'!$M$4:$M$1503,MATCH(TEXT($C$4,"YYYY-MM-DD")&amp;"|"&amp;$A49,'Daily Log'!$O$4:$O$1503,0)),INDEX('Monthly Log'!$M$4:$M$303,MATCH(TEXT($C$4,"YYYY-MM")&amp;"|"&amp;$A49,'Monthly Log'!$O$4:$O$303,0))),"")</f>
        <v/>
      </c>
      <c r="S49" s="67" t="str">
        <f aca="false">IF($A49="","",IF(AND($H49=0,$K49=0,$E49=0),"Not started",IF(OR(AND($D49&gt;0,$E49/$D49&gt;$C$10),AND($H49&gt;0,$I49/$H49&lt;$C$8),$P49&gt;=$C$11),"Red",IF(OR(AND($D49&gt;0,$E49/$D49&gt;$C$9),AND($H49&gt;0,$I49/$H49&lt;$C$7),AND($K49&gt;0,$L49/$K49&lt;$C$7),$P49&gt;0,$Q49&gt;0),"Amber","Green"))))</f>
        <v/>
      </c>
      <c r="T49" s="84" t="str">
        <f aca="false">IFERROR(IF($C$3="Daily",INDEX('Daily Log'!$N$4:$N$1503,MATCH(TEXT($C$4,"YYYY-MM-DD")&amp;"|"&amp;$A49,'Daily Log'!$O$4:$O$1503,0)),INDEX('Monthly Log'!$N$4:$N$303,MATCH(TEXT($C$4,"YYYY-MM")&amp;"|"&amp;$A49,'Monthly Log'!$O$4:$O$303,0))),"")</f>
        <v/>
      </c>
    </row>
    <row r="50" customFormat="false" ht="15" hidden="false" customHeight="true" outlineLevel="0" collapsed="false">
      <c r="A50" s="80" t="str">
        <f aca="false">IF('TOR Register'!$A38="","",'TOR Register'!$A38)</f>
        <v/>
      </c>
      <c r="B50" s="18" t="str">
        <f aca="false">IFERROR(INDEX('TOR Register'!$B$4:$B$43,MATCH($A50,'TOR Register'!$A$4:$A$43,0)),"")</f>
        <v/>
      </c>
      <c r="C50" s="18" t="str">
        <f aca="false">IFERROR(INDEX('TOR Register'!$E$4:$E$43,MATCH($A50,'TOR Register'!$A$4:$A$43,0)),"")</f>
        <v/>
      </c>
      <c r="D50" s="81" t="str">
        <f aca="false">IFERROR(INDEX('TOR Register'!$I$4:$I$43,MATCH($A50,'TOR Register'!$A$4:$A$43,0)),"")</f>
        <v/>
      </c>
      <c r="E50" s="81" t="n">
        <f aca="false">IF($C$3="Daily",SUMIFS('Daily Log'!$G$4:$G$1503,'Daily Log'!$A$4:$A$1503,$C$4,'Daily Log'!$B$4:$B$1503,$A50),SUMIFS('Monthly Log'!$G$4:$G$303,'Monthly Log'!$A$4:$A$303,$C$4,'Monthly Log'!$B$4:$B$303,$A50))</f>
        <v>0</v>
      </c>
      <c r="F50" s="22" t="str">
        <f aca="false">IF(N($D50)=0,"",$E50/$D50)</f>
        <v/>
      </c>
      <c r="G50" s="21" t="str">
        <f aca="false">IF($A50="","",$D50-$E50)</f>
        <v/>
      </c>
      <c r="H50" s="82" t="n">
        <f aca="false">IF($C$3="Daily",SUMIFS('Daily Log'!$C$4:$C$1503,'Daily Log'!$A$4:$A$1503,$C$4,'Daily Log'!$B$4:$B$1503,$A50),SUMIFS('Monthly Log'!$C$4:$C$303,'Monthly Log'!$A$4:$A$303,$C$4,'Monthly Log'!$B$4:$B$303,$A50))</f>
        <v>0</v>
      </c>
      <c r="I50" s="82" t="n">
        <f aca="false">IF($C$3="Daily",SUMIFS('Daily Log'!$D$4:$D$1503,'Daily Log'!$A$4:$A$1503,$C$4,'Daily Log'!$B$4:$B$1503,$A50),SUMIFS('Monthly Log'!$D$4:$D$303,'Monthly Log'!$A$4:$A$303,$C$4,'Monthly Log'!$B$4:$B$303,$A50))</f>
        <v>0</v>
      </c>
      <c r="J50" s="83" t="str">
        <f aca="false">IF($H50=0,"",$I50/$H50)</f>
        <v/>
      </c>
      <c r="K50" s="82" t="n">
        <f aca="false">IF($C$3="Daily",SUMIFS('Daily Log'!$E$4:$E$1503,'Daily Log'!$A$4:$A$1503,$C$4,'Daily Log'!$B$4:$B$1503,$A50),SUMIFS('Monthly Log'!$E$4:$E$303,'Monthly Log'!$A$4:$A$303,$C$4,'Monthly Log'!$B$4:$B$303,$A50))</f>
        <v>0</v>
      </c>
      <c r="L50" s="82" t="n">
        <f aca="false">IF($C$3="Daily",SUMIFS('Daily Log'!$F$4:$F$1503,'Daily Log'!$A$4:$A$1503,$C$4,'Daily Log'!$B$4:$B$1503,$A50),SUMIFS('Monthly Log'!$F$4:$F$303,'Monthly Log'!$A$4:$A$303,$C$4,'Monthly Log'!$B$4:$B$303,$A50))</f>
        <v>0</v>
      </c>
      <c r="M50" s="83" t="str">
        <f aca="false">IF($K50=0,"",$L50/$K50)</f>
        <v/>
      </c>
      <c r="N50" s="82" t="n">
        <f aca="false">IF($C$3="Daily",SUMIFS('Daily Log'!$I$4:$I$1503,'Daily Log'!$A$4:$A$1503,$C$4,'Daily Log'!$B$4:$B$1503,$A50),SUMIFS('Monthly Log'!$I$4:$I$303,'Monthly Log'!$A$4:$A$303,$C$4,'Monthly Log'!$B$4:$B$303,$A50))</f>
        <v>0</v>
      </c>
      <c r="O50" s="82" t="n">
        <f aca="false">IF($C$3="Daily",SUMIFS('Daily Log'!$J$4:$J$1503,'Daily Log'!$A$4:$A$1503,$C$4,'Daily Log'!$B$4:$B$1503,$A50),SUMIFS('Monthly Log'!$J$4:$J$303,'Monthly Log'!$A$4:$A$303,$C$4,'Monthly Log'!$B$4:$B$303,$A50))</f>
        <v>0</v>
      </c>
      <c r="P50" s="82" t="n">
        <f aca="false">IF($C$3="Daily",SUMIFS('Daily Log'!$K$4:$K$1503,'Daily Log'!$A$4:$A$1503,$C$4,'Daily Log'!$B$4:$B$1503,$A50),SUMIFS('Monthly Log'!$K$4:$K$303,'Monthly Log'!$A$4:$A$303,$C$4,'Monthly Log'!$B$4:$B$303,$A50))</f>
        <v>0</v>
      </c>
      <c r="Q50" s="82" t="n">
        <f aca="false">IF($C$3="Daily",SUMIFS('Daily Log'!$L$4:$L$1503,'Daily Log'!$A$4:$A$1503,$C$4,'Daily Log'!$B$4:$B$1503,$A50),SUMIFS('Monthly Log'!$L$4:$L$303,'Monthly Log'!$A$4:$A$303,$C$4,'Monthly Log'!$B$4:$B$303,$A50))</f>
        <v>0</v>
      </c>
      <c r="R50" s="80" t="str">
        <f aca="false">IFERROR(IF($C$3="Daily",INDEX('Daily Log'!$M$4:$M$1503,MATCH(TEXT($C$4,"YYYY-MM-DD")&amp;"|"&amp;$A50,'Daily Log'!$O$4:$O$1503,0)),INDEX('Monthly Log'!$M$4:$M$303,MATCH(TEXT($C$4,"YYYY-MM")&amp;"|"&amp;$A50,'Monthly Log'!$O$4:$O$303,0))),"")</f>
        <v/>
      </c>
      <c r="S50" s="67" t="str">
        <f aca="false">IF($A50="","",IF(AND($H50=0,$K50=0,$E50=0),"Not started",IF(OR(AND($D50&gt;0,$E50/$D50&gt;$C$10),AND($H50&gt;0,$I50/$H50&lt;$C$8),$P50&gt;=$C$11),"Red",IF(OR(AND($D50&gt;0,$E50/$D50&gt;$C$9),AND($H50&gt;0,$I50/$H50&lt;$C$7),AND($K50&gt;0,$L50/$K50&lt;$C$7),$P50&gt;0,$Q50&gt;0),"Amber","Green"))))</f>
        <v/>
      </c>
      <c r="T50" s="84" t="str">
        <f aca="false">IFERROR(IF($C$3="Daily",INDEX('Daily Log'!$N$4:$N$1503,MATCH(TEXT($C$4,"YYYY-MM-DD")&amp;"|"&amp;$A50,'Daily Log'!$O$4:$O$1503,0)),INDEX('Monthly Log'!$N$4:$N$303,MATCH(TEXT($C$4,"YYYY-MM")&amp;"|"&amp;$A50,'Monthly Log'!$O$4:$O$303,0))),"")</f>
        <v/>
      </c>
    </row>
    <row r="51" customFormat="false" ht="15" hidden="false" customHeight="true" outlineLevel="0" collapsed="false">
      <c r="A51" s="80" t="str">
        <f aca="false">IF('TOR Register'!$A39="","",'TOR Register'!$A39)</f>
        <v/>
      </c>
      <c r="B51" s="18" t="str">
        <f aca="false">IFERROR(INDEX('TOR Register'!$B$4:$B$43,MATCH($A51,'TOR Register'!$A$4:$A$43,0)),"")</f>
        <v/>
      </c>
      <c r="C51" s="18" t="str">
        <f aca="false">IFERROR(INDEX('TOR Register'!$E$4:$E$43,MATCH($A51,'TOR Register'!$A$4:$A$43,0)),"")</f>
        <v/>
      </c>
      <c r="D51" s="81" t="str">
        <f aca="false">IFERROR(INDEX('TOR Register'!$I$4:$I$43,MATCH($A51,'TOR Register'!$A$4:$A$43,0)),"")</f>
        <v/>
      </c>
      <c r="E51" s="81" t="n">
        <f aca="false">IF($C$3="Daily",SUMIFS('Daily Log'!$G$4:$G$1503,'Daily Log'!$A$4:$A$1503,$C$4,'Daily Log'!$B$4:$B$1503,$A51),SUMIFS('Monthly Log'!$G$4:$G$303,'Monthly Log'!$A$4:$A$303,$C$4,'Monthly Log'!$B$4:$B$303,$A51))</f>
        <v>0</v>
      </c>
      <c r="F51" s="22" t="str">
        <f aca="false">IF(N($D51)=0,"",$E51/$D51)</f>
        <v/>
      </c>
      <c r="G51" s="21" t="str">
        <f aca="false">IF($A51="","",$D51-$E51)</f>
        <v/>
      </c>
      <c r="H51" s="82" t="n">
        <f aca="false">IF($C$3="Daily",SUMIFS('Daily Log'!$C$4:$C$1503,'Daily Log'!$A$4:$A$1503,$C$4,'Daily Log'!$B$4:$B$1503,$A51),SUMIFS('Monthly Log'!$C$4:$C$303,'Monthly Log'!$A$4:$A$303,$C$4,'Monthly Log'!$B$4:$B$303,$A51))</f>
        <v>0</v>
      </c>
      <c r="I51" s="82" t="n">
        <f aca="false">IF($C$3="Daily",SUMIFS('Daily Log'!$D$4:$D$1503,'Daily Log'!$A$4:$A$1503,$C$4,'Daily Log'!$B$4:$B$1503,$A51),SUMIFS('Monthly Log'!$D$4:$D$303,'Monthly Log'!$A$4:$A$303,$C$4,'Monthly Log'!$B$4:$B$303,$A51))</f>
        <v>0</v>
      </c>
      <c r="J51" s="83" t="str">
        <f aca="false">IF($H51=0,"",$I51/$H51)</f>
        <v/>
      </c>
      <c r="K51" s="82" t="n">
        <f aca="false">IF($C$3="Daily",SUMIFS('Daily Log'!$E$4:$E$1503,'Daily Log'!$A$4:$A$1503,$C$4,'Daily Log'!$B$4:$B$1503,$A51),SUMIFS('Monthly Log'!$E$4:$E$303,'Monthly Log'!$A$4:$A$303,$C$4,'Monthly Log'!$B$4:$B$303,$A51))</f>
        <v>0</v>
      </c>
      <c r="L51" s="82" t="n">
        <f aca="false">IF($C$3="Daily",SUMIFS('Daily Log'!$F$4:$F$1503,'Daily Log'!$A$4:$A$1503,$C$4,'Daily Log'!$B$4:$B$1503,$A51),SUMIFS('Monthly Log'!$F$4:$F$303,'Monthly Log'!$A$4:$A$303,$C$4,'Monthly Log'!$B$4:$B$303,$A51))</f>
        <v>0</v>
      </c>
      <c r="M51" s="83" t="str">
        <f aca="false">IF($K51=0,"",$L51/$K51)</f>
        <v/>
      </c>
      <c r="N51" s="82" t="n">
        <f aca="false">IF($C$3="Daily",SUMIFS('Daily Log'!$I$4:$I$1503,'Daily Log'!$A$4:$A$1503,$C$4,'Daily Log'!$B$4:$B$1503,$A51),SUMIFS('Monthly Log'!$I$4:$I$303,'Monthly Log'!$A$4:$A$303,$C$4,'Monthly Log'!$B$4:$B$303,$A51))</f>
        <v>0</v>
      </c>
      <c r="O51" s="82" t="n">
        <f aca="false">IF($C$3="Daily",SUMIFS('Daily Log'!$J$4:$J$1503,'Daily Log'!$A$4:$A$1503,$C$4,'Daily Log'!$B$4:$B$1503,$A51),SUMIFS('Monthly Log'!$J$4:$J$303,'Monthly Log'!$A$4:$A$303,$C$4,'Monthly Log'!$B$4:$B$303,$A51))</f>
        <v>0</v>
      </c>
      <c r="P51" s="82" t="n">
        <f aca="false">IF($C$3="Daily",SUMIFS('Daily Log'!$K$4:$K$1503,'Daily Log'!$A$4:$A$1503,$C$4,'Daily Log'!$B$4:$B$1503,$A51),SUMIFS('Monthly Log'!$K$4:$K$303,'Monthly Log'!$A$4:$A$303,$C$4,'Monthly Log'!$B$4:$B$303,$A51))</f>
        <v>0</v>
      </c>
      <c r="Q51" s="82" t="n">
        <f aca="false">IF($C$3="Daily",SUMIFS('Daily Log'!$L$4:$L$1503,'Daily Log'!$A$4:$A$1503,$C$4,'Daily Log'!$B$4:$B$1503,$A51),SUMIFS('Monthly Log'!$L$4:$L$303,'Monthly Log'!$A$4:$A$303,$C$4,'Monthly Log'!$B$4:$B$303,$A51))</f>
        <v>0</v>
      </c>
      <c r="R51" s="80" t="str">
        <f aca="false">IFERROR(IF($C$3="Daily",INDEX('Daily Log'!$M$4:$M$1503,MATCH(TEXT($C$4,"YYYY-MM-DD")&amp;"|"&amp;$A51,'Daily Log'!$O$4:$O$1503,0)),INDEX('Monthly Log'!$M$4:$M$303,MATCH(TEXT($C$4,"YYYY-MM")&amp;"|"&amp;$A51,'Monthly Log'!$O$4:$O$303,0))),"")</f>
        <v/>
      </c>
      <c r="S51" s="67" t="str">
        <f aca="false">IF($A51="","",IF(AND($H51=0,$K51=0,$E51=0),"Not started",IF(OR(AND($D51&gt;0,$E51/$D51&gt;$C$10),AND($H51&gt;0,$I51/$H51&lt;$C$8),$P51&gt;=$C$11),"Red",IF(OR(AND($D51&gt;0,$E51/$D51&gt;$C$9),AND($H51&gt;0,$I51/$H51&lt;$C$7),AND($K51&gt;0,$L51/$K51&lt;$C$7),$P51&gt;0,$Q51&gt;0),"Amber","Green"))))</f>
        <v/>
      </c>
      <c r="T51" s="84" t="str">
        <f aca="false">IFERROR(IF($C$3="Daily",INDEX('Daily Log'!$N$4:$N$1503,MATCH(TEXT($C$4,"YYYY-MM-DD")&amp;"|"&amp;$A51,'Daily Log'!$O$4:$O$1503,0)),INDEX('Monthly Log'!$N$4:$N$303,MATCH(TEXT($C$4,"YYYY-MM")&amp;"|"&amp;$A51,'Monthly Log'!$O$4:$O$303,0))),"")</f>
        <v/>
      </c>
    </row>
    <row r="52" customFormat="false" ht="15" hidden="false" customHeight="true" outlineLevel="0" collapsed="false">
      <c r="A52" s="80" t="str">
        <f aca="false">IF('TOR Register'!$A40="","",'TOR Register'!$A40)</f>
        <v/>
      </c>
      <c r="B52" s="18" t="str">
        <f aca="false">IFERROR(INDEX('TOR Register'!$B$4:$B$43,MATCH($A52,'TOR Register'!$A$4:$A$43,0)),"")</f>
        <v/>
      </c>
      <c r="C52" s="18" t="str">
        <f aca="false">IFERROR(INDEX('TOR Register'!$E$4:$E$43,MATCH($A52,'TOR Register'!$A$4:$A$43,0)),"")</f>
        <v/>
      </c>
      <c r="D52" s="81" t="str">
        <f aca="false">IFERROR(INDEX('TOR Register'!$I$4:$I$43,MATCH($A52,'TOR Register'!$A$4:$A$43,0)),"")</f>
        <v/>
      </c>
      <c r="E52" s="81" t="n">
        <f aca="false">IF($C$3="Daily",SUMIFS('Daily Log'!$G$4:$G$1503,'Daily Log'!$A$4:$A$1503,$C$4,'Daily Log'!$B$4:$B$1503,$A52),SUMIFS('Monthly Log'!$G$4:$G$303,'Monthly Log'!$A$4:$A$303,$C$4,'Monthly Log'!$B$4:$B$303,$A52))</f>
        <v>0</v>
      </c>
      <c r="F52" s="22" t="str">
        <f aca="false">IF(N($D52)=0,"",$E52/$D52)</f>
        <v/>
      </c>
      <c r="G52" s="21" t="str">
        <f aca="false">IF($A52="","",$D52-$E52)</f>
        <v/>
      </c>
      <c r="H52" s="82" t="n">
        <f aca="false">IF($C$3="Daily",SUMIFS('Daily Log'!$C$4:$C$1503,'Daily Log'!$A$4:$A$1503,$C$4,'Daily Log'!$B$4:$B$1503,$A52),SUMIFS('Monthly Log'!$C$4:$C$303,'Monthly Log'!$A$4:$A$303,$C$4,'Monthly Log'!$B$4:$B$303,$A52))</f>
        <v>0</v>
      </c>
      <c r="I52" s="82" t="n">
        <f aca="false">IF($C$3="Daily",SUMIFS('Daily Log'!$D$4:$D$1503,'Daily Log'!$A$4:$A$1503,$C$4,'Daily Log'!$B$4:$B$1503,$A52),SUMIFS('Monthly Log'!$D$4:$D$303,'Monthly Log'!$A$4:$A$303,$C$4,'Monthly Log'!$B$4:$B$303,$A52))</f>
        <v>0</v>
      </c>
      <c r="J52" s="83" t="str">
        <f aca="false">IF($H52=0,"",$I52/$H52)</f>
        <v/>
      </c>
      <c r="K52" s="82" t="n">
        <f aca="false">IF($C$3="Daily",SUMIFS('Daily Log'!$E$4:$E$1503,'Daily Log'!$A$4:$A$1503,$C$4,'Daily Log'!$B$4:$B$1503,$A52),SUMIFS('Monthly Log'!$E$4:$E$303,'Monthly Log'!$A$4:$A$303,$C$4,'Monthly Log'!$B$4:$B$303,$A52))</f>
        <v>0</v>
      </c>
      <c r="L52" s="82" t="n">
        <f aca="false">IF($C$3="Daily",SUMIFS('Daily Log'!$F$4:$F$1503,'Daily Log'!$A$4:$A$1503,$C$4,'Daily Log'!$B$4:$B$1503,$A52),SUMIFS('Monthly Log'!$F$4:$F$303,'Monthly Log'!$A$4:$A$303,$C$4,'Monthly Log'!$B$4:$B$303,$A52))</f>
        <v>0</v>
      </c>
      <c r="M52" s="83" t="str">
        <f aca="false">IF($K52=0,"",$L52/$K52)</f>
        <v/>
      </c>
      <c r="N52" s="82" t="n">
        <f aca="false">IF($C$3="Daily",SUMIFS('Daily Log'!$I$4:$I$1503,'Daily Log'!$A$4:$A$1503,$C$4,'Daily Log'!$B$4:$B$1503,$A52),SUMIFS('Monthly Log'!$I$4:$I$303,'Monthly Log'!$A$4:$A$303,$C$4,'Monthly Log'!$B$4:$B$303,$A52))</f>
        <v>0</v>
      </c>
      <c r="O52" s="82" t="n">
        <f aca="false">IF($C$3="Daily",SUMIFS('Daily Log'!$J$4:$J$1503,'Daily Log'!$A$4:$A$1503,$C$4,'Daily Log'!$B$4:$B$1503,$A52),SUMIFS('Monthly Log'!$J$4:$J$303,'Monthly Log'!$A$4:$A$303,$C$4,'Monthly Log'!$B$4:$B$303,$A52))</f>
        <v>0</v>
      </c>
      <c r="P52" s="82" t="n">
        <f aca="false">IF($C$3="Daily",SUMIFS('Daily Log'!$K$4:$K$1503,'Daily Log'!$A$4:$A$1503,$C$4,'Daily Log'!$B$4:$B$1503,$A52),SUMIFS('Monthly Log'!$K$4:$K$303,'Monthly Log'!$A$4:$A$303,$C$4,'Monthly Log'!$B$4:$B$303,$A52))</f>
        <v>0</v>
      </c>
      <c r="Q52" s="82" t="n">
        <f aca="false">IF($C$3="Daily",SUMIFS('Daily Log'!$L$4:$L$1503,'Daily Log'!$A$4:$A$1503,$C$4,'Daily Log'!$B$4:$B$1503,$A52),SUMIFS('Monthly Log'!$L$4:$L$303,'Monthly Log'!$A$4:$A$303,$C$4,'Monthly Log'!$B$4:$B$303,$A52))</f>
        <v>0</v>
      </c>
      <c r="R52" s="80" t="str">
        <f aca="false">IFERROR(IF($C$3="Daily",INDEX('Daily Log'!$M$4:$M$1503,MATCH(TEXT($C$4,"YYYY-MM-DD")&amp;"|"&amp;$A52,'Daily Log'!$O$4:$O$1503,0)),INDEX('Monthly Log'!$M$4:$M$303,MATCH(TEXT($C$4,"YYYY-MM")&amp;"|"&amp;$A52,'Monthly Log'!$O$4:$O$303,0))),"")</f>
        <v/>
      </c>
      <c r="S52" s="67" t="str">
        <f aca="false">IF($A52="","",IF(AND($H52=0,$K52=0,$E52=0),"Not started",IF(OR(AND($D52&gt;0,$E52/$D52&gt;$C$10),AND($H52&gt;0,$I52/$H52&lt;$C$8),$P52&gt;=$C$11),"Red",IF(OR(AND($D52&gt;0,$E52/$D52&gt;$C$9),AND($H52&gt;0,$I52/$H52&lt;$C$7),AND($K52&gt;0,$L52/$K52&lt;$C$7),$P52&gt;0,$Q52&gt;0),"Amber","Green"))))</f>
        <v/>
      </c>
      <c r="T52" s="84" t="str">
        <f aca="false">IFERROR(IF($C$3="Daily",INDEX('Daily Log'!$N$4:$N$1503,MATCH(TEXT($C$4,"YYYY-MM-DD")&amp;"|"&amp;$A52,'Daily Log'!$O$4:$O$1503,0)),INDEX('Monthly Log'!$N$4:$N$303,MATCH(TEXT($C$4,"YYYY-MM")&amp;"|"&amp;$A52,'Monthly Log'!$O$4:$O$303,0))),"")</f>
        <v/>
      </c>
    </row>
    <row r="53" customFormat="false" ht="15" hidden="false" customHeight="true" outlineLevel="0" collapsed="false">
      <c r="A53" s="80" t="str">
        <f aca="false">IF('TOR Register'!$A41="","",'TOR Register'!$A41)</f>
        <v/>
      </c>
      <c r="B53" s="18" t="str">
        <f aca="false">IFERROR(INDEX('TOR Register'!$B$4:$B$43,MATCH($A53,'TOR Register'!$A$4:$A$43,0)),"")</f>
        <v/>
      </c>
      <c r="C53" s="18" t="str">
        <f aca="false">IFERROR(INDEX('TOR Register'!$E$4:$E$43,MATCH($A53,'TOR Register'!$A$4:$A$43,0)),"")</f>
        <v/>
      </c>
      <c r="D53" s="81" t="str">
        <f aca="false">IFERROR(INDEX('TOR Register'!$I$4:$I$43,MATCH($A53,'TOR Register'!$A$4:$A$43,0)),"")</f>
        <v/>
      </c>
      <c r="E53" s="81" t="n">
        <f aca="false">IF($C$3="Daily",SUMIFS('Daily Log'!$G$4:$G$1503,'Daily Log'!$A$4:$A$1503,$C$4,'Daily Log'!$B$4:$B$1503,$A53),SUMIFS('Monthly Log'!$G$4:$G$303,'Monthly Log'!$A$4:$A$303,$C$4,'Monthly Log'!$B$4:$B$303,$A53))</f>
        <v>0</v>
      </c>
      <c r="F53" s="22" t="str">
        <f aca="false">IF(N($D53)=0,"",$E53/$D53)</f>
        <v/>
      </c>
      <c r="G53" s="21" t="str">
        <f aca="false">IF($A53="","",$D53-$E53)</f>
        <v/>
      </c>
      <c r="H53" s="82" t="n">
        <f aca="false">IF($C$3="Daily",SUMIFS('Daily Log'!$C$4:$C$1503,'Daily Log'!$A$4:$A$1503,$C$4,'Daily Log'!$B$4:$B$1503,$A53),SUMIFS('Monthly Log'!$C$4:$C$303,'Monthly Log'!$A$4:$A$303,$C$4,'Monthly Log'!$B$4:$B$303,$A53))</f>
        <v>0</v>
      </c>
      <c r="I53" s="82" t="n">
        <f aca="false">IF($C$3="Daily",SUMIFS('Daily Log'!$D$4:$D$1503,'Daily Log'!$A$4:$A$1503,$C$4,'Daily Log'!$B$4:$B$1503,$A53),SUMIFS('Monthly Log'!$D$4:$D$303,'Monthly Log'!$A$4:$A$303,$C$4,'Monthly Log'!$B$4:$B$303,$A53))</f>
        <v>0</v>
      </c>
      <c r="J53" s="83" t="str">
        <f aca="false">IF($H53=0,"",$I53/$H53)</f>
        <v/>
      </c>
      <c r="K53" s="82" t="n">
        <f aca="false">IF($C$3="Daily",SUMIFS('Daily Log'!$E$4:$E$1503,'Daily Log'!$A$4:$A$1503,$C$4,'Daily Log'!$B$4:$B$1503,$A53),SUMIFS('Monthly Log'!$E$4:$E$303,'Monthly Log'!$A$4:$A$303,$C$4,'Monthly Log'!$B$4:$B$303,$A53))</f>
        <v>0</v>
      </c>
      <c r="L53" s="82" t="n">
        <f aca="false">IF($C$3="Daily",SUMIFS('Daily Log'!$F$4:$F$1503,'Daily Log'!$A$4:$A$1503,$C$4,'Daily Log'!$B$4:$B$1503,$A53),SUMIFS('Monthly Log'!$F$4:$F$303,'Monthly Log'!$A$4:$A$303,$C$4,'Monthly Log'!$B$4:$B$303,$A53))</f>
        <v>0</v>
      </c>
      <c r="M53" s="83" t="str">
        <f aca="false">IF($K53=0,"",$L53/$K53)</f>
        <v/>
      </c>
      <c r="N53" s="82" t="n">
        <f aca="false">IF($C$3="Daily",SUMIFS('Daily Log'!$I$4:$I$1503,'Daily Log'!$A$4:$A$1503,$C$4,'Daily Log'!$B$4:$B$1503,$A53),SUMIFS('Monthly Log'!$I$4:$I$303,'Monthly Log'!$A$4:$A$303,$C$4,'Monthly Log'!$B$4:$B$303,$A53))</f>
        <v>0</v>
      </c>
      <c r="O53" s="82" t="n">
        <f aca="false">IF($C$3="Daily",SUMIFS('Daily Log'!$J$4:$J$1503,'Daily Log'!$A$4:$A$1503,$C$4,'Daily Log'!$B$4:$B$1503,$A53),SUMIFS('Monthly Log'!$J$4:$J$303,'Monthly Log'!$A$4:$A$303,$C$4,'Monthly Log'!$B$4:$B$303,$A53))</f>
        <v>0</v>
      </c>
      <c r="P53" s="82" t="n">
        <f aca="false">IF($C$3="Daily",SUMIFS('Daily Log'!$K$4:$K$1503,'Daily Log'!$A$4:$A$1503,$C$4,'Daily Log'!$B$4:$B$1503,$A53),SUMIFS('Monthly Log'!$K$4:$K$303,'Monthly Log'!$A$4:$A$303,$C$4,'Monthly Log'!$B$4:$B$303,$A53))</f>
        <v>0</v>
      </c>
      <c r="Q53" s="82" t="n">
        <f aca="false">IF($C$3="Daily",SUMIFS('Daily Log'!$L$4:$L$1503,'Daily Log'!$A$4:$A$1503,$C$4,'Daily Log'!$B$4:$B$1503,$A53),SUMIFS('Monthly Log'!$L$4:$L$303,'Monthly Log'!$A$4:$A$303,$C$4,'Monthly Log'!$B$4:$B$303,$A53))</f>
        <v>0</v>
      </c>
      <c r="R53" s="80" t="str">
        <f aca="false">IFERROR(IF($C$3="Daily",INDEX('Daily Log'!$M$4:$M$1503,MATCH(TEXT($C$4,"YYYY-MM-DD")&amp;"|"&amp;$A53,'Daily Log'!$O$4:$O$1503,0)),INDEX('Monthly Log'!$M$4:$M$303,MATCH(TEXT($C$4,"YYYY-MM")&amp;"|"&amp;$A53,'Monthly Log'!$O$4:$O$303,0))),"")</f>
        <v/>
      </c>
      <c r="S53" s="67" t="str">
        <f aca="false">IF($A53="","",IF(AND($H53=0,$K53=0,$E53=0),"Not started",IF(OR(AND($D53&gt;0,$E53/$D53&gt;$C$10),AND($H53&gt;0,$I53/$H53&lt;$C$8),$P53&gt;=$C$11),"Red",IF(OR(AND($D53&gt;0,$E53/$D53&gt;$C$9),AND($H53&gt;0,$I53/$H53&lt;$C$7),AND($K53&gt;0,$L53/$K53&lt;$C$7),$P53&gt;0,$Q53&gt;0),"Amber","Green"))))</f>
        <v/>
      </c>
      <c r="T53" s="84" t="str">
        <f aca="false">IFERROR(IF($C$3="Daily",INDEX('Daily Log'!$N$4:$N$1503,MATCH(TEXT($C$4,"YYYY-MM-DD")&amp;"|"&amp;$A53,'Daily Log'!$O$4:$O$1503,0)),INDEX('Monthly Log'!$N$4:$N$303,MATCH(TEXT($C$4,"YYYY-MM")&amp;"|"&amp;$A53,'Monthly Log'!$O$4:$O$303,0))),"")</f>
        <v/>
      </c>
    </row>
    <row r="54" customFormat="false" ht="15" hidden="false" customHeight="true" outlineLevel="0" collapsed="false">
      <c r="A54" s="80" t="str">
        <f aca="false">IF('TOR Register'!$A42="","",'TOR Register'!$A42)</f>
        <v/>
      </c>
      <c r="B54" s="18" t="str">
        <f aca="false">IFERROR(INDEX('TOR Register'!$B$4:$B$43,MATCH($A54,'TOR Register'!$A$4:$A$43,0)),"")</f>
        <v/>
      </c>
      <c r="C54" s="18" t="str">
        <f aca="false">IFERROR(INDEX('TOR Register'!$E$4:$E$43,MATCH($A54,'TOR Register'!$A$4:$A$43,0)),"")</f>
        <v/>
      </c>
      <c r="D54" s="81" t="str">
        <f aca="false">IFERROR(INDEX('TOR Register'!$I$4:$I$43,MATCH($A54,'TOR Register'!$A$4:$A$43,0)),"")</f>
        <v/>
      </c>
      <c r="E54" s="81" t="n">
        <f aca="false">IF($C$3="Daily",SUMIFS('Daily Log'!$G$4:$G$1503,'Daily Log'!$A$4:$A$1503,$C$4,'Daily Log'!$B$4:$B$1503,$A54),SUMIFS('Monthly Log'!$G$4:$G$303,'Monthly Log'!$A$4:$A$303,$C$4,'Monthly Log'!$B$4:$B$303,$A54))</f>
        <v>0</v>
      </c>
      <c r="F54" s="22" t="str">
        <f aca="false">IF(N($D54)=0,"",$E54/$D54)</f>
        <v/>
      </c>
      <c r="G54" s="21" t="str">
        <f aca="false">IF($A54="","",$D54-$E54)</f>
        <v/>
      </c>
      <c r="H54" s="82" t="n">
        <f aca="false">IF($C$3="Daily",SUMIFS('Daily Log'!$C$4:$C$1503,'Daily Log'!$A$4:$A$1503,$C$4,'Daily Log'!$B$4:$B$1503,$A54),SUMIFS('Monthly Log'!$C$4:$C$303,'Monthly Log'!$A$4:$A$303,$C$4,'Monthly Log'!$B$4:$B$303,$A54))</f>
        <v>0</v>
      </c>
      <c r="I54" s="82" t="n">
        <f aca="false">IF($C$3="Daily",SUMIFS('Daily Log'!$D$4:$D$1503,'Daily Log'!$A$4:$A$1503,$C$4,'Daily Log'!$B$4:$B$1503,$A54),SUMIFS('Monthly Log'!$D$4:$D$303,'Monthly Log'!$A$4:$A$303,$C$4,'Monthly Log'!$B$4:$B$303,$A54))</f>
        <v>0</v>
      </c>
      <c r="J54" s="83" t="str">
        <f aca="false">IF($H54=0,"",$I54/$H54)</f>
        <v/>
      </c>
      <c r="K54" s="82" t="n">
        <f aca="false">IF($C$3="Daily",SUMIFS('Daily Log'!$E$4:$E$1503,'Daily Log'!$A$4:$A$1503,$C$4,'Daily Log'!$B$4:$B$1503,$A54),SUMIFS('Monthly Log'!$E$4:$E$303,'Monthly Log'!$A$4:$A$303,$C$4,'Monthly Log'!$B$4:$B$303,$A54))</f>
        <v>0</v>
      </c>
      <c r="L54" s="82" t="n">
        <f aca="false">IF($C$3="Daily",SUMIFS('Daily Log'!$F$4:$F$1503,'Daily Log'!$A$4:$A$1503,$C$4,'Daily Log'!$B$4:$B$1503,$A54),SUMIFS('Monthly Log'!$F$4:$F$303,'Monthly Log'!$A$4:$A$303,$C$4,'Monthly Log'!$B$4:$B$303,$A54))</f>
        <v>0</v>
      </c>
      <c r="M54" s="83" t="str">
        <f aca="false">IF($K54=0,"",$L54/$K54)</f>
        <v/>
      </c>
      <c r="N54" s="82" t="n">
        <f aca="false">IF($C$3="Daily",SUMIFS('Daily Log'!$I$4:$I$1503,'Daily Log'!$A$4:$A$1503,$C$4,'Daily Log'!$B$4:$B$1503,$A54),SUMIFS('Monthly Log'!$I$4:$I$303,'Monthly Log'!$A$4:$A$303,$C$4,'Monthly Log'!$B$4:$B$303,$A54))</f>
        <v>0</v>
      </c>
      <c r="O54" s="82" t="n">
        <f aca="false">IF($C$3="Daily",SUMIFS('Daily Log'!$J$4:$J$1503,'Daily Log'!$A$4:$A$1503,$C$4,'Daily Log'!$B$4:$B$1503,$A54),SUMIFS('Monthly Log'!$J$4:$J$303,'Monthly Log'!$A$4:$A$303,$C$4,'Monthly Log'!$B$4:$B$303,$A54))</f>
        <v>0</v>
      </c>
      <c r="P54" s="82" t="n">
        <f aca="false">IF($C$3="Daily",SUMIFS('Daily Log'!$K$4:$K$1503,'Daily Log'!$A$4:$A$1503,$C$4,'Daily Log'!$B$4:$B$1503,$A54),SUMIFS('Monthly Log'!$K$4:$K$303,'Monthly Log'!$A$4:$A$303,$C$4,'Monthly Log'!$B$4:$B$303,$A54))</f>
        <v>0</v>
      </c>
      <c r="Q54" s="82" t="n">
        <f aca="false">IF($C$3="Daily",SUMIFS('Daily Log'!$L$4:$L$1503,'Daily Log'!$A$4:$A$1503,$C$4,'Daily Log'!$B$4:$B$1503,$A54),SUMIFS('Monthly Log'!$L$4:$L$303,'Monthly Log'!$A$4:$A$303,$C$4,'Monthly Log'!$B$4:$B$303,$A54))</f>
        <v>0</v>
      </c>
      <c r="R54" s="80" t="str">
        <f aca="false">IFERROR(IF($C$3="Daily",INDEX('Daily Log'!$M$4:$M$1503,MATCH(TEXT($C$4,"YYYY-MM-DD")&amp;"|"&amp;$A54,'Daily Log'!$O$4:$O$1503,0)),INDEX('Monthly Log'!$M$4:$M$303,MATCH(TEXT($C$4,"YYYY-MM")&amp;"|"&amp;$A54,'Monthly Log'!$O$4:$O$303,0))),"")</f>
        <v/>
      </c>
      <c r="S54" s="67" t="str">
        <f aca="false">IF($A54="","",IF(AND($H54=0,$K54=0,$E54=0),"Not started",IF(OR(AND($D54&gt;0,$E54/$D54&gt;$C$10),AND($H54&gt;0,$I54/$H54&lt;$C$8),$P54&gt;=$C$11),"Red",IF(OR(AND($D54&gt;0,$E54/$D54&gt;$C$9),AND($H54&gt;0,$I54/$H54&lt;$C$7),AND($K54&gt;0,$L54/$K54&lt;$C$7),$P54&gt;0,$Q54&gt;0),"Amber","Green"))))</f>
        <v/>
      </c>
      <c r="T54" s="84" t="str">
        <f aca="false">IFERROR(IF($C$3="Daily",INDEX('Daily Log'!$N$4:$N$1503,MATCH(TEXT($C$4,"YYYY-MM-DD")&amp;"|"&amp;$A54,'Daily Log'!$O$4:$O$1503,0)),INDEX('Monthly Log'!$N$4:$N$303,MATCH(TEXT($C$4,"YYYY-MM")&amp;"|"&amp;$A54,'Monthly Log'!$O$4:$O$303,0))),"")</f>
        <v/>
      </c>
    </row>
    <row r="55" customFormat="false" ht="15" hidden="false" customHeight="true" outlineLevel="0" collapsed="false">
      <c r="A55" s="80" t="str">
        <f aca="false">IF('TOR Register'!$A43="","",'TOR Register'!$A43)</f>
        <v/>
      </c>
      <c r="B55" s="18" t="str">
        <f aca="false">IFERROR(INDEX('TOR Register'!$B$4:$B$43,MATCH($A55,'TOR Register'!$A$4:$A$43,0)),"")</f>
        <v/>
      </c>
      <c r="C55" s="18" t="str">
        <f aca="false">IFERROR(INDEX('TOR Register'!$E$4:$E$43,MATCH($A55,'TOR Register'!$A$4:$A$43,0)),"")</f>
        <v/>
      </c>
      <c r="D55" s="81" t="str">
        <f aca="false">IFERROR(INDEX('TOR Register'!$I$4:$I$43,MATCH($A55,'TOR Register'!$A$4:$A$43,0)),"")</f>
        <v/>
      </c>
      <c r="E55" s="81" t="n">
        <f aca="false">IF($C$3="Daily",SUMIFS('Daily Log'!$G$4:$G$1503,'Daily Log'!$A$4:$A$1503,$C$4,'Daily Log'!$B$4:$B$1503,$A55),SUMIFS('Monthly Log'!$G$4:$G$303,'Monthly Log'!$A$4:$A$303,$C$4,'Monthly Log'!$B$4:$B$303,$A55))</f>
        <v>0</v>
      </c>
      <c r="F55" s="22" t="str">
        <f aca="false">IF(N($D55)=0,"",$E55/$D55)</f>
        <v/>
      </c>
      <c r="G55" s="21" t="str">
        <f aca="false">IF($A55="","",$D55-$E55)</f>
        <v/>
      </c>
      <c r="H55" s="82" t="n">
        <f aca="false">IF($C$3="Daily",SUMIFS('Daily Log'!$C$4:$C$1503,'Daily Log'!$A$4:$A$1503,$C$4,'Daily Log'!$B$4:$B$1503,$A55),SUMIFS('Monthly Log'!$C$4:$C$303,'Monthly Log'!$A$4:$A$303,$C$4,'Monthly Log'!$B$4:$B$303,$A55))</f>
        <v>0</v>
      </c>
      <c r="I55" s="82" t="n">
        <f aca="false">IF($C$3="Daily",SUMIFS('Daily Log'!$D$4:$D$1503,'Daily Log'!$A$4:$A$1503,$C$4,'Daily Log'!$B$4:$B$1503,$A55),SUMIFS('Monthly Log'!$D$4:$D$303,'Monthly Log'!$A$4:$A$303,$C$4,'Monthly Log'!$B$4:$B$303,$A55))</f>
        <v>0</v>
      </c>
      <c r="J55" s="83" t="str">
        <f aca="false">IF($H55=0,"",$I55/$H55)</f>
        <v/>
      </c>
      <c r="K55" s="82" t="n">
        <f aca="false">IF($C$3="Daily",SUMIFS('Daily Log'!$E$4:$E$1503,'Daily Log'!$A$4:$A$1503,$C$4,'Daily Log'!$B$4:$B$1503,$A55),SUMIFS('Monthly Log'!$E$4:$E$303,'Monthly Log'!$A$4:$A$303,$C$4,'Monthly Log'!$B$4:$B$303,$A55))</f>
        <v>0</v>
      </c>
      <c r="L55" s="82" t="n">
        <f aca="false">IF($C$3="Daily",SUMIFS('Daily Log'!$F$4:$F$1503,'Daily Log'!$A$4:$A$1503,$C$4,'Daily Log'!$B$4:$B$1503,$A55),SUMIFS('Monthly Log'!$F$4:$F$303,'Monthly Log'!$A$4:$A$303,$C$4,'Monthly Log'!$B$4:$B$303,$A55))</f>
        <v>0</v>
      </c>
      <c r="M55" s="83" t="str">
        <f aca="false">IF($K55=0,"",$L55/$K55)</f>
        <v/>
      </c>
      <c r="N55" s="82" t="n">
        <f aca="false">IF($C$3="Daily",SUMIFS('Daily Log'!$I$4:$I$1503,'Daily Log'!$A$4:$A$1503,$C$4,'Daily Log'!$B$4:$B$1503,$A55),SUMIFS('Monthly Log'!$I$4:$I$303,'Monthly Log'!$A$4:$A$303,$C$4,'Monthly Log'!$B$4:$B$303,$A55))</f>
        <v>0</v>
      </c>
      <c r="O55" s="82" t="n">
        <f aca="false">IF($C$3="Daily",SUMIFS('Daily Log'!$J$4:$J$1503,'Daily Log'!$A$4:$A$1503,$C$4,'Daily Log'!$B$4:$B$1503,$A55),SUMIFS('Monthly Log'!$J$4:$J$303,'Monthly Log'!$A$4:$A$303,$C$4,'Monthly Log'!$B$4:$B$303,$A55))</f>
        <v>0</v>
      </c>
      <c r="P55" s="82" t="n">
        <f aca="false">IF($C$3="Daily",SUMIFS('Daily Log'!$K$4:$K$1503,'Daily Log'!$A$4:$A$1503,$C$4,'Daily Log'!$B$4:$B$1503,$A55),SUMIFS('Monthly Log'!$K$4:$K$303,'Monthly Log'!$A$4:$A$303,$C$4,'Monthly Log'!$B$4:$B$303,$A55))</f>
        <v>0</v>
      </c>
      <c r="Q55" s="82" t="n">
        <f aca="false">IF($C$3="Daily",SUMIFS('Daily Log'!$L$4:$L$1503,'Daily Log'!$A$4:$A$1503,$C$4,'Daily Log'!$B$4:$B$1503,$A55),SUMIFS('Monthly Log'!$L$4:$L$303,'Monthly Log'!$A$4:$A$303,$C$4,'Monthly Log'!$B$4:$B$303,$A55))</f>
        <v>0</v>
      </c>
      <c r="R55" s="80" t="str">
        <f aca="false">IFERROR(IF($C$3="Daily",INDEX('Daily Log'!$M$4:$M$1503,MATCH(TEXT($C$4,"YYYY-MM-DD")&amp;"|"&amp;$A55,'Daily Log'!$O$4:$O$1503,0)),INDEX('Monthly Log'!$M$4:$M$303,MATCH(TEXT($C$4,"YYYY-MM")&amp;"|"&amp;$A55,'Monthly Log'!$O$4:$O$303,0))),"")</f>
        <v/>
      </c>
      <c r="S55" s="67" t="str">
        <f aca="false">IF($A55="","",IF(AND($H55=0,$K55=0,$E55=0),"Not started",IF(OR(AND($D55&gt;0,$E55/$D55&gt;$C$10),AND($H55&gt;0,$I55/$H55&lt;$C$8),$P55&gt;=$C$11),"Red",IF(OR(AND($D55&gt;0,$E55/$D55&gt;$C$9),AND($H55&gt;0,$I55/$H55&lt;$C$7),AND($K55&gt;0,$L55/$K55&lt;$C$7),$P55&gt;0,$Q55&gt;0),"Amber","Green"))))</f>
        <v/>
      </c>
      <c r="T55" s="84" t="str">
        <f aca="false">IFERROR(IF($C$3="Daily",INDEX('Daily Log'!$N$4:$N$1503,MATCH(TEXT($C$4,"YYYY-MM-DD")&amp;"|"&amp;$A55,'Daily Log'!$O$4:$O$1503,0)),INDEX('Monthly Log'!$N$4:$N$303,MATCH(TEXT($C$4,"YYYY-MM")&amp;"|"&amp;$A55,'Monthly Log'!$O$4:$O$303,0))),"")</f>
        <v/>
      </c>
    </row>
    <row r="56" customFormat="false" ht="15" hidden="false" customHeight="false" outlineLevel="0" collapsed="false">
      <c r="A56" s="3"/>
      <c r="B56" s="3"/>
      <c r="C56" s="3"/>
      <c r="D56" s="3"/>
      <c r="E56" s="3"/>
      <c r="F56" s="3"/>
      <c r="G56" s="3"/>
      <c r="H56" s="3"/>
      <c r="I56" s="3"/>
      <c r="J56" s="3"/>
      <c r="K56" s="3"/>
      <c r="L56" s="3"/>
      <c r="M56" s="3"/>
      <c r="N56" s="3"/>
      <c r="O56" s="3"/>
      <c r="P56" s="3"/>
      <c r="Q56" s="3"/>
      <c r="R56" s="3"/>
      <c r="S56" s="3"/>
      <c r="T56" s="3"/>
    </row>
    <row r="57" customFormat="false" ht="15" hidden="false" customHeight="false" outlineLevel="0" collapsed="false">
      <c r="A57" s="69" t="s">
        <v>484</v>
      </c>
      <c r="B57" s="3"/>
      <c r="C57" s="3"/>
      <c r="D57" s="3"/>
      <c r="E57" s="3"/>
      <c r="F57" s="3"/>
      <c r="G57" s="3"/>
      <c r="H57" s="3"/>
      <c r="I57" s="3"/>
      <c r="J57" s="3"/>
      <c r="K57" s="3"/>
      <c r="L57" s="3"/>
      <c r="M57" s="3"/>
      <c r="N57" s="3"/>
      <c r="O57" s="3"/>
      <c r="P57" s="3"/>
      <c r="Q57" s="3"/>
      <c r="R57" s="3"/>
      <c r="S57" s="3"/>
      <c r="T57" s="3"/>
    </row>
    <row r="58" customFormat="false" ht="21.75" hidden="false" customHeight="true" outlineLevel="0" collapsed="false">
      <c r="A58" s="66" t="s">
        <v>485</v>
      </c>
      <c r="B58" s="66"/>
      <c r="C58" s="66"/>
      <c r="D58" s="66"/>
      <c r="E58" s="66"/>
      <c r="F58" s="66"/>
      <c r="G58" s="66"/>
      <c r="H58" s="66"/>
      <c r="I58" s="66"/>
      <c r="J58" s="66"/>
      <c r="K58" s="66"/>
      <c r="L58" s="66"/>
      <c r="M58" s="66"/>
      <c r="N58" s="3"/>
      <c r="O58" s="3"/>
      <c r="P58" s="3"/>
      <c r="Q58" s="3"/>
      <c r="R58" s="3"/>
      <c r="S58" s="3"/>
      <c r="T58" s="3"/>
    </row>
    <row r="59" customFormat="false" ht="21.75" hidden="false" customHeight="true" outlineLevel="0" collapsed="false">
      <c r="A59" s="66" t="s">
        <v>486</v>
      </c>
      <c r="B59" s="66"/>
      <c r="C59" s="66"/>
      <c r="D59" s="66"/>
      <c r="E59" s="66"/>
      <c r="F59" s="66"/>
      <c r="G59" s="66"/>
      <c r="H59" s="66"/>
      <c r="I59" s="66"/>
      <c r="J59" s="66"/>
      <c r="K59" s="66"/>
      <c r="L59" s="66"/>
      <c r="M59" s="66"/>
      <c r="N59" s="3"/>
      <c r="O59" s="3"/>
      <c r="P59" s="3"/>
      <c r="Q59" s="3"/>
      <c r="R59" s="3"/>
      <c r="S59" s="3"/>
      <c r="T59" s="3"/>
    </row>
    <row r="60" customFormat="false" ht="21.75" hidden="false" customHeight="true" outlineLevel="0" collapsed="false">
      <c r="A60" s="66" t="s">
        <v>487</v>
      </c>
      <c r="B60" s="66"/>
      <c r="C60" s="66"/>
      <c r="D60" s="66"/>
      <c r="E60" s="66"/>
      <c r="F60" s="66"/>
      <c r="G60" s="66"/>
      <c r="H60" s="66"/>
      <c r="I60" s="66"/>
      <c r="J60" s="66"/>
      <c r="K60" s="66"/>
      <c r="L60" s="66"/>
      <c r="M60" s="66"/>
      <c r="N60" s="3"/>
      <c r="O60" s="3"/>
      <c r="P60" s="3"/>
      <c r="Q60" s="3"/>
      <c r="R60" s="3"/>
      <c r="S60" s="3"/>
      <c r="T60" s="3"/>
    </row>
    <row r="61" customFormat="false" ht="21.75" hidden="false" customHeight="true" outlineLevel="0" collapsed="false">
      <c r="A61" s="66" t="s">
        <v>488</v>
      </c>
      <c r="B61" s="66"/>
      <c r="C61" s="66"/>
      <c r="D61" s="66"/>
      <c r="E61" s="66"/>
      <c r="F61" s="66"/>
      <c r="G61" s="66"/>
      <c r="H61" s="66"/>
      <c r="I61" s="66"/>
      <c r="J61" s="66"/>
      <c r="K61" s="66"/>
      <c r="L61" s="66"/>
      <c r="M61" s="66"/>
      <c r="N61" s="3"/>
      <c r="O61" s="3"/>
      <c r="P61" s="3"/>
      <c r="Q61" s="3"/>
      <c r="R61" s="3"/>
      <c r="S61" s="3"/>
      <c r="T61" s="3"/>
    </row>
    <row r="62" customFormat="false" ht="21.75" hidden="false" customHeight="true" outlineLevel="0" collapsed="false">
      <c r="A62" s="66" t="s">
        <v>489</v>
      </c>
      <c r="B62" s="66"/>
      <c r="C62" s="66"/>
      <c r="D62" s="66"/>
      <c r="E62" s="66"/>
      <c r="F62" s="66"/>
      <c r="G62" s="66"/>
      <c r="H62" s="66"/>
      <c r="I62" s="66"/>
      <c r="J62" s="66"/>
      <c r="K62" s="66"/>
      <c r="L62" s="66"/>
      <c r="M62" s="66"/>
      <c r="N62" s="3"/>
      <c r="O62" s="3"/>
      <c r="P62" s="3"/>
      <c r="Q62" s="3"/>
      <c r="R62" s="3"/>
      <c r="S62" s="3"/>
      <c r="T62" s="3"/>
    </row>
    <row r="63" customFormat="false" ht="21.75" hidden="false" customHeight="true" outlineLevel="0" collapsed="false">
      <c r="A63" s="66" t="s">
        <v>490</v>
      </c>
      <c r="B63" s="66"/>
      <c r="C63" s="66"/>
      <c r="D63" s="66"/>
      <c r="E63" s="66"/>
      <c r="F63" s="66"/>
      <c r="G63" s="66"/>
      <c r="H63" s="66"/>
      <c r="I63" s="66"/>
      <c r="J63" s="66"/>
      <c r="K63" s="66"/>
      <c r="L63" s="66"/>
      <c r="M63" s="66"/>
      <c r="N63" s="3"/>
      <c r="O63" s="3"/>
      <c r="P63" s="3"/>
      <c r="Q63" s="3"/>
      <c r="R63" s="3"/>
      <c r="S63" s="3"/>
      <c r="T63" s="3"/>
    </row>
    <row r="64" customFormat="false" ht="21.75" hidden="false" customHeight="true" outlineLevel="0" collapsed="false">
      <c r="A64" s="66" t="s">
        <v>491</v>
      </c>
      <c r="B64" s="66"/>
      <c r="C64" s="66"/>
      <c r="D64" s="66"/>
      <c r="E64" s="66"/>
      <c r="F64" s="66"/>
      <c r="G64" s="66"/>
      <c r="H64" s="66"/>
      <c r="I64" s="66"/>
      <c r="J64" s="66"/>
      <c r="K64" s="66"/>
      <c r="L64" s="66"/>
      <c r="M64" s="66"/>
      <c r="N64" s="3"/>
      <c r="O64" s="3"/>
      <c r="P64" s="3"/>
      <c r="Q64" s="3"/>
      <c r="R64" s="3"/>
      <c r="S64" s="3"/>
      <c r="T64" s="3"/>
    </row>
    <row r="65" customFormat="false" ht="21.75" hidden="false" customHeight="true" outlineLevel="0" collapsed="false">
      <c r="A65" s="66" t="s">
        <v>492</v>
      </c>
      <c r="B65" s="66"/>
      <c r="C65" s="66"/>
      <c r="D65" s="66"/>
      <c r="E65" s="66"/>
      <c r="F65" s="66"/>
      <c r="G65" s="66"/>
      <c r="H65" s="66"/>
      <c r="I65" s="66"/>
      <c r="J65" s="66"/>
      <c r="K65" s="66"/>
      <c r="L65" s="66"/>
      <c r="M65" s="66"/>
      <c r="N65" s="3"/>
      <c r="O65" s="3"/>
      <c r="P65" s="3"/>
      <c r="Q65" s="3"/>
      <c r="R65" s="3"/>
      <c r="S65" s="3"/>
      <c r="T65" s="3"/>
    </row>
  </sheetData>
  <mergeCells count="34">
    <mergeCell ref="A1:T1"/>
    <mergeCell ref="A2:T2"/>
    <mergeCell ref="G7:H7"/>
    <mergeCell ref="I7:J7"/>
    <mergeCell ref="K7:L7"/>
    <mergeCell ref="M7:N7"/>
    <mergeCell ref="O7:P7"/>
    <mergeCell ref="Q7:R7"/>
    <mergeCell ref="G8:H8"/>
    <mergeCell ref="I8:J8"/>
    <mergeCell ref="K8:L8"/>
    <mergeCell ref="M8:N8"/>
    <mergeCell ref="O8:P8"/>
    <mergeCell ref="Q8:R8"/>
    <mergeCell ref="G10:H10"/>
    <mergeCell ref="I10:J10"/>
    <mergeCell ref="K10:L10"/>
    <mergeCell ref="M10:N10"/>
    <mergeCell ref="O10:P10"/>
    <mergeCell ref="Q10:R10"/>
    <mergeCell ref="G11:H11"/>
    <mergeCell ref="I11:J11"/>
    <mergeCell ref="K11:L11"/>
    <mergeCell ref="M11:N11"/>
    <mergeCell ref="O11:P11"/>
    <mergeCell ref="Q11:R11"/>
    <mergeCell ref="A58:M58"/>
    <mergeCell ref="A59:M59"/>
    <mergeCell ref="A60:M60"/>
    <mergeCell ref="A61:M61"/>
    <mergeCell ref="A62:M62"/>
    <mergeCell ref="A63:M63"/>
    <mergeCell ref="A64:M64"/>
    <mergeCell ref="A65:M65"/>
  </mergeCells>
  <conditionalFormatting sqref="R16:R55">
    <cfRule type="cellIs" priority="2" operator="equal" aboveAverage="0" equalAverage="0" bottom="0" percent="0" rank="0" text="" dxfId="0">
      <formula>"Red"</formula>
    </cfRule>
    <cfRule type="cellIs" priority="3" operator="equal" aboveAverage="0" equalAverage="0" bottom="0" percent="0" rank="0" text="" dxfId="1">
      <formula>"Amber"</formula>
    </cfRule>
    <cfRule type="cellIs" priority="4" operator="equal" aboveAverage="0" equalAverage="0" bottom="0" percent="0" rank="0" text="" dxfId="2">
      <formula>"Green"</formula>
    </cfRule>
  </conditionalFormatting>
  <conditionalFormatting sqref="S16:S55">
    <cfRule type="cellIs" priority="5" operator="equal" aboveAverage="0" equalAverage="0" bottom="0" percent="0" rank="0" text="" dxfId="0">
      <formula>"Red"</formula>
    </cfRule>
    <cfRule type="cellIs" priority="6" operator="equal" aboveAverage="0" equalAverage="0" bottom="0" percent="0" rank="0" text="" dxfId="1">
      <formula>"Amber"</formula>
    </cfRule>
    <cfRule type="cellIs" priority="7" operator="equal" aboveAverage="0" equalAverage="0" bottom="0" percent="0" rank="0" text="" dxfId="2">
      <formula>"Green"</formula>
    </cfRule>
  </conditionalFormatting>
  <dataValidations count="1">
    <dataValidation allowBlank="true" error="Pick a value from the list on the Lists tab." errorStyle="stop" errorTitle="Not a valid entry" operator="between" showDropDown="false" showErrorMessage="true" showInputMessage="false" sqref="C3" type="list">
      <formula1>Lists!$F$4:$F$5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7" min="2" style="0" width="12"/>
    <col collapsed="false" customWidth="true" hidden="false" outlineLevel="0" max="8" min="8" style="0" width="17"/>
    <col collapsed="false" customWidth="true" hidden="false" outlineLevel="0" max="11" min="9" style="0" width="10"/>
  </cols>
  <sheetData>
    <row r="1" customFormat="false" ht="25.5" hidden="false" customHeight="true" outlineLevel="0" collapsed="false">
      <c r="A1" s="1" t="s">
        <v>493</v>
      </c>
      <c r="B1" s="1"/>
      <c r="C1" s="1"/>
      <c r="D1" s="1"/>
      <c r="E1" s="1"/>
      <c r="F1" s="1"/>
      <c r="G1" s="1"/>
      <c r="H1" s="1"/>
      <c r="I1" s="1"/>
      <c r="J1" s="1"/>
      <c r="K1" s="1"/>
      <c r="L1" s="1"/>
    </row>
    <row r="2" customFormat="false" ht="15" hidden="false" customHeight="false" outlineLevel="0" collapsed="false">
      <c r="A2" s="2" t="s">
        <v>494</v>
      </c>
      <c r="B2" s="2"/>
      <c r="C2" s="2"/>
      <c r="D2" s="2"/>
      <c r="E2" s="2"/>
      <c r="F2" s="2"/>
      <c r="G2" s="2"/>
      <c r="H2" s="2"/>
      <c r="I2" s="2"/>
      <c r="J2" s="2"/>
      <c r="K2" s="2"/>
      <c r="L2" s="2"/>
    </row>
    <row r="3" customFormat="false" ht="15" hidden="false" customHeight="false" outlineLevel="0" collapsed="false">
      <c r="A3" s="3"/>
      <c r="B3" s="3"/>
      <c r="C3" s="3"/>
      <c r="D3" s="3"/>
      <c r="E3" s="3"/>
      <c r="F3" s="3"/>
      <c r="G3" s="3"/>
      <c r="H3" s="3"/>
      <c r="I3" s="3"/>
      <c r="J3" s="3"/>
      <c r="K3" s="3"/>
      <c r="L3" s="3"/>
    </row>
    <row r="4" customFormat="false" ht="31.5" hidden="false" customHeight="true" outlineLevel="0" collapsed="false">
      <c r="A4" s="45" t="s">
        <v>495</v>
      </c>
      <c r="B4" s="45" t="s">
        <v>476</v>
      </c>
      <c r="C4" s="45" t="s">
        <v>477</v>
      </c>
      <c r="D4" s="45" t="s">
        <v>478</v>
      </c>
      <c r="E4" s="45" t="s">
        <v>479</v>
      </c>
      <c r="F4" s="45" t="s">
        <v>480</v>
      </c>
      <c r="G4" s="45" t="s">
        <v>481</v>
      </c>
      <c r="H4" s="45" t="s">
        <v>189</v>
      </c>
      <c r="I4" s="45" t="s">
        <v>208</v>
      </c>
      <c r="J4" s="45" t="s">
        <v>209</v>
      </c>
      <c r="K4" s="45" t="s">
        <v>210</v>
      </c>
      <c r="L4" s="3"/>
    </row>
    <row r="5" customFormat="false" ht="15" hidden="false" customHeight="false" outlineLevel="0" collapsed="false">
      <c r="A5" s="63" t="n">
        <v>46082</v>
      </c>
      <c r="B5" s="20" t="n">
        <f aca="false">IF($A5="","",SUMIFS('Monthly Log'!$C$4:$C$303,'Monthly Log'!$A$4:$A$303,$A5))</f>
        <v>7</v>
      </c>
      <c r="C5" s="20" t="n">
        <f aca="false">IF($A5="","",SUMIFS('Monthly Log'!$D$4:$D$303,'Monthly Log'!$A$4:$A$303,$A5))</f>
        <v>7</v>
      </c>
      <c r="D5" s="22" t="n">
        <f aca="false">IF(N($B5)=0,"",$C5/$B5)</f>
        <v>1</v>
      </c>
      <c r="E5" s="20" t="n">
        <f aca="false">IF($A5="","",SUMIFS('Monthly Log'!$E$4:$E$303,'Monthly Log'!$A$4:$A$303,$A5))</f>
        <v>7</v>
      </c>
      <c r="F5" s="20" t="n">
        <f aca="false">IF($A5="","",SUMIFS('Monthly Log'!$F$4:$F$303,'Monthly Log'!$A$4:$A$303,$A5))</f>
        <v>7</v>
      </c>
      <c r="G5" s="22" t="n">
        <f aca="false">IF(N($E5)=0,"",$F5/$E5)</f>
        <v>1</v>
      </c>
      <c r="H5" s="21" t="n">
        <f aca="false">IF($A5="","",SUMIFS('Monthly Log'!$G$4:$G$303,'Monthly Log'!$A$4:$A$303,$A5))</f>
        <v>315000</v>
      </c>
      <c r="I5" s="20" t="n">
        <f aca="false">IF($A5="","",SUMIFS('Monthly Log'!$J$4:$J$303,'Monthly Log'!$A$4:$A$303,$A5))</f>
        <v>17</v>
      </c>
      <c r="J5" s="20" t="n">
        <f aca="false">IF($A5="","",SUMIFS('Monthly Log'!$K$4:$K$303,'Monthly Log'!$A$4:$A$303,$A5))</f>
        <v>2</v>
      </c>
      <c r="K5" s="20" t="n">
        <f aca="false">IF($A5="","",SUMIFS('Monthly Log'!$L$4:$L$303,'Monthly Log'!$A$4:$A$303,$A5))</f>
        <v>4</v>
      </c>
      <c r="L5" s="3"/>
    </row>
    <row r="6" customFormat="false" ht="15" hidden="false" customHeight="false" outlineLevel="0" collapsed="false">
      <c r="A6" s="64" t="n">
        <v>46113</v>
      </c>
      <c r="B6" s="27" t="n">
        <f aca="false">IF($A6="","",SUMIFS('Monthly Log'!$C$4:$C$303,'Monthly Log'!$A$4:$A$303,$A6))</f>
        <v>12</v>
      </c>
      <c r="C6" s="27" t="n">
        <f aca="false">IF($A6="","",SUMIFS('Monthly Log'!$D$4:$D$303,'Monthly Log'!$A$4:$A$303,$A6))</f>
        <v>12</v>
      </c>
      <c r="D6" s="29" t="n">
        <f aca="false">IF(N($B6)=0,"",$C6/$B6)</f>
        <v>1</v>
      </c>
      <c r="E6" s="27" t="n">
        <f aca="false">IF($A6="","",SUMIFS('Monthly Log'!$E$4:$E$303,'Monthly Log'!$A$4:$A$303,$A6))</f>
        <v>14</v>
      </c>
      <c r="F6" s="27" t="n">
        <f aca="false">IF($A6="","",SUMIFS('Monthly Log'!$F$4:$F$303,'Monthly Log'!$A$4:$A$303,$A6))</f>
        <v>14</v>
      </c>
      <c r="G6" s="29" t="n">
        <f aca="false">IF(N($E6)=0,"",$F6/$E6)</f>
        <v>1</v>
      </c>
      <c r="H6" s="28" t="n">
        <f aca="false">IF($A6="","",SUMIFS('Monthly Log'!$G$4:$G$303,'Monthly Log'!$A$4:$A$303,$A6))</f>
        <v>629000</v>
      </c>
      <c r="I6" s="27" t="n">
        <f aca="false">IF($A6="","",SUMIFS('Monthly Log'!$J$4:$J$303,'Monthly Log'!$A$4:$A$303,$A6))</f>
        <v>19</v>
      </c>
      <c r="J6" s="27" t="n">
        <f aca="false">IF($A6="","",SUMIFS('Monthly Log'!$K$4:$K$303,'Monthly Log'!$A$4:$A$303,$A6))</f>
        <v>3</v>
      </c>
      <c r="K6" s="27" t="n">
        <f aca="false">IF($A6="","",SUMIFS('Monthly Log'!$L$4:$L$303,'Monthly Log'!$A$4:$A$303,$A6))</f>
        <v>4</v>
      </c>
      <c r="L6" s="3"/>
    </row>
    <row r="7" customFormat="false" ht="15" hidden="false" customHeight="false" outlineLevel="0" collapsed="false">
      <c r="A7" s="63" t="n">
        <v>46143</v>
      </c>
      <c r="B7" s="20" t="n">
        <f aca="false">IF($A7="","",SUMIFS('Monthly Log'!$C$4:$C$303,'Monthly Log'!$A$4:$A$303,$A7))</f>
        <v>19</v>
      </c>
      <c r="C7" s="20" t="n">
        <f aca="false">IF($A7="","",SUMIFS('Monthly Log'!$D$4:$D$303,'Monthly Log'!$A$4:$A$303,$A7))</f>
        <v>17</v>
      </c>
      <c r="D7" s="22" t="n">
        <f aca="false">IF(N($B7)=0,"",$C7/$B7)</f>
        <v>0.894736842105263</v>
      </c>
      <c r="E7" s="20" t="n">
        <f aca="false">IF($A7="","",SUMIFS('Monthly Log'!$E$4:$E$303,'Monthly Log'!$A$4:$A$303,$A7))</f>
        <v>19</v>
      </c>
      <c r="F7" s="20" t="n">
        <f aca="false">IF($A7="","",SUMIFS('Monthly Log'!$F$4:$F$303,'Monthly Log'!$A$4:$A$303,$A7))</f>
        <v>17</v>
      </c>
      <c r="G7" s="22" t="n">
        <f aca="false">IF(N($E7)=0,"",$F7/$E7)</f>
        <v>0.894736842105263</v>
      </c>
      <c r="H7" s="21" t="n">
        <f aca="false">IF($A7="","",SUMIFS('Monthly Log'!$G$4:$G$303,'Monthly Log'!$A$4:$A$303,$A7))</f>
        <v>958000</v>
      </c>
      <c r="I7" s="20" t="n">
        <f aca="false">IF($A7="","",SUMIFS('Monthly Log'!$J$4:$J$303,'Monthly Log'!$A$4:$A$303,$A7))</f>
        <v>23</v>
      </c>
      <c r="J7" s="20" t="n">
        <f aca="false">IF($A7="","",SUMIFS('Monthly Log'!$K$4:$K$303,'Monthly Log'!$A$4:$A$303,$A7))</f>
        <v>6</v>
      </c>
      <c r="K7" s="20" t="n">
        <f aca="false">IF($A7="","",SUMIFS('Monthly Log'!$L$4:$L$303,'Monthly Log'!$A$4:$A$303,$A7))</f>
        <v>4</v>
      </c>
      <c r="L7" s="3"/>
    </row>
    <row r="8" customFormat="false" ht="15" hidden="false" customHeight="false" outlineLevel="0" collapsed="false">
      <c r="A8" s="64" t="n">
        <v>46174</v>
      </c>
      <c r="B8" s="27" t="n">
        <f aca="false">IF($A8="","",SUMIFS('Monthly Log'!$C$4:$C$303,'Monthly Log'!$A$4:$A$303,$A8))</f>
        <v>26</v>
      </c>
      <c r="C8" s="27" t="n">
        <f aca="false">IF($A8="","",SUMIFS('Monthly Log'!$D$4:$D$303,'Monthly Log'!$A$4:$A$303,$A8))</f>
        <v>23</v>
      </c>
      <c r="D8" s="29" t="n">
        <f aca="false">IF(N($B8)=0,"",$C8/$B8)</f>
        <v>0.884615384615385</v>
      </c>
      <c r="E8" s="27" t="n">
        <f aca="false">IF($A8="","",SUMIFS('Monthly Log'!$E$4:$E$303,'Monthly Log'!$A$4:$A$303,$A8))</f>
        <v>28</v>
      </c>
      <c r="F8" s="27" t="n">
        <f aca="false">IF($A8="","",SUMIFS('Monthly Log'!$F$4:$F$303,'Monthly Log'!$A$4:$A$303,$A8))</f>
        <v>23</v>
      </c>
      <c r="G8" s="29" t="n">
        <f aca="false">IF(N($E8)=0,"",$F8/$E8)</f>
        <v>0.821428571428571</v>
      </c>
      <c r="H8" s="28" t="n">
        <f aca="false">IF($A8="","",SUMIFS('Monthly Log'!$G$4:$G$303,'Monthly Log'!$A$4:$A$303,$A8))</f>
        <v>1354000</v>
      </c>
      <c r="I8" s="27" t="n">
        <f aca="false">IF($A8="","",SUMIFS('Monthly Log'!$J$4:$J$303,'Monthly Log'!$A$4:$A$303,$A8))</f>
        <v>26</v>
      </c>
      <c r="J8" s="27" t="n">
        <f aca="false">IF($A8="","",SUMIFS('Monthly Log'!$K$4:$K$303,'Monthly Log'!$A$4:$A$303,$A8))</f>
        <v>6</v>
      </c>
      <c r="K8" s="27" t="n">
        <f aca="false">IF($A8="","",SUMIFS('Monthly Log'!$L$4:$L$303,'Monthly Log'!$A$4:$A$303,$A8))</f>
        <v>3</v>
      </c>
      <c r="L8" s="3"/>
    </row>
    <row r="9" customFormat="false" ht="15" hidden="false" customHeight="false" outlineLevel="0" collapsed="false">
      <c r="A9" s="63" t="n">
        <v>46204</v>
      </c>
      <c r="B9" s="20" t="n">
        <f aca="false">IF($A9="","",SUMIFS('Monthly Log'!$C$4:$C$303,'Monthly Log'!$A$4:$A$303,$A9))</f>
        <v>35</v>
      </c>
      <c r="C9" s="20" t="n">
        <f aca="false">IF($A9="","",SUMIFS('Monthly Log'!$D$4:$D$303,'Monthly Log'!$A$4:$A$303,$A9))</f>
        <v>29</v>
      </c>
      <c r="D9" s="22" t="n">
        <f aca="false">IF(N($B9)=0,"",$C9/$B9)</f>
        <v>0.828571428571429</v>
      </c>
      <c r="E9" s="20" t="n">
        <f aca="false">IF($A9="","",SUMIFS('Monthly Log'!$E$4:$E$303,'Monthly Log'!$A$4:$A$303,$A9))</f>
        <v>38</v>
      </c>
      <c r="F9" s="20" t="n">
        <f aca="false">IF($A9="","",SUMIFS('Monthly Log'!$F$4:$F$303,'Monthly Log'!$A$4:$A$303,$A9))</f>
        <v>32</v>
      </c>
      <c r="G9" s="22" t="n">
        <f aca="false">IF(N($E9)=0,"",$F9/$E9)</f>
        <v>0.842105263157895</v>
      </c>
      <c r="H9" s="21" t="n">
        <f aca="false">IF($A9="","",SUMIFS('Monthly Log'!$G$4:$G$303,'Monthly Log'!$A$4:$A$303,$A9))</f>
        <v>1728000</v>
      </c>
      <c r="I9" s="20" t="n">
        <f aca="false">IF($A9="","",SUMIFS('Monthly Log'!$J$4:$J$303,'Monthly Log'!$A$4:$A$303,$A9))</f>
        <v>24</v>
      </c>
      <c r="J9" s="20" t="n">
        <f aca="false">IF($A9="","",SUMIFS('Monthly Log'!$K$4:$K$303,'Monthly Log'!$A$4:$A$303,$A9))</f>
        <v>6</v>
      </c>
      <c r="K9" s="20" t="n">
        <f aca="false">IF($A9="","",SUMIFS('Monthly Log'!$L$4:$L$303,'Monthly Log'!$A$4:$A$303,$A9))</f>
        <v>5</v>
      </c>
      <c r="L9" s="3"/>
    </row>
    <row r="10" customFormat="false" ht="15" hidden="false" customHeight="false" outlineLevel="0" collapsed="false">
      <c r="A10" s="64" t="n">
        <v>46235</v>
      </c>
      <c r="B10" s="27" t="n">
        <f aca="false">IF($A10="","",SUMIFS('Monthly Log'!$C$4:$C$303,'Monthly Log'!$A$4:$A$303,$A10))</f>
        <v>42</v>
      </c>
      <c r="C10" s="27" t="n">
        <f aca="false">IF($A10="","",SUMIFS('Monthly Log'!$D$4:$D$303,'Monthly Log'!$A$4:$A$303,$A10))</f>
        <v>35</v>
      </c>
      <c r="D10" s="29" t="n">
        <f aca="false">IF(N($B10)=0,"",$C10/$B10)</f>
        <v>0.833333333333333</v>
      </c>
      <c r="E10" s="27" t="n">
        <f aca="false">IF($A10="","",SUMIFS('Monthly Log'!$E$4:$E$303,'Monthly Log'!$A$4:$A$303,$A10))</f>
        <v>48</v>
      </c>
      <c r="F10" s="27" t="n">
        <f aca="false">IF($A10="","",SUMIFS('Monthly Log'!$F$4:$F$303,'Monthly Log'!$A$4:$A$303,$A10))</f>
        <v>39</v>
      </c>
      <c r="G10" s="29" t="n">
        <f aca="false">IF(N($E10)=0,"",$F10/$E10)</f>
        <v>0.8125</v>
      </c>
      <c r="H10" s="28" t="n">
        <f aca="false">IF($A10="","",SUMIFS('Monthly Log'!$G$4:$G$303,'Monthly Log'!$A$4:$A$303,$A10))</f>
        <v>2092000</v>
      </c>
      <c r="I10" s="27" t="n">
        <f aca="false">IF($A10="","",SUMIFS('Monthly Log'!$J$4:$J$303,'Monthly Log'!$A$4:$A$303,$A10))</f>
        <v>22</v>
      </c>
      <c r="J10" s="27" t="n">
        <f aca="false">IF($A10="","",SUMIFS('Monthly Log'!$K$4:$K$303,'Monthly Log'!$A$4:$A$303,$A10))</f>
        <v>4</v>
      </c>
      <c r="K10" s="27" t="n">
        <f aca="false">IF($A10="","",SUMIFS('Monthly Log'!$L$4:$L$303,'Monthly Log'!$A$4:$A$303,$A10))</f>
        <v>7</v>
      </c>
      <c r="L10" s="3"/>
    </row>
    <row r="11" customFormat="false" ht="15" hidden="false" customHeight="false" outlineLevel="0" collapsed="false">
      <c r="A11" s="63"/>
      <c r="B11" s="20" t="str">
        <f aca="false">IF($A11="","",SUMIFS('Monthly Log'!$C$4:$C$303,'Monthly Log'!$A$4:$A$303,$A11))</f>
        <v/>
      </c>
      <c r="C11" s="20" t="str">
        <f aca="false">IF($A11="","",SUMIFS('Monthly Log'!$D$4:$D$303,'Monthly Log'!$A$4:$A$303,$A11))</f>
        <v/>
      </c>
      <c r="D11" s="22" t="str">
        <f aca="false">IF(N($B11)=0,"",$C11/$B11)</f>
        <v/>
      </c>
      <c r="E11" s="20" t="str">
        <f aca="false">IF($A11="","",SUMIFS('Monthly Log'!$E$4:$E$303,'Monthly Log'!$A$4:$A$303,$A11))</f>
        <v/>
      </c>
      <c r="F11" s="20" t="str">
        <f aca="false">IF($A11="","",SUMIFS('Monthly Log'!$F$4:$F$303,'Monthly Log'!$A$4:$A$303,$A11))</f>
        <v/>
      </c>
      <c r="G11" s="22" t="str">
        <f aca="false">IF(N($E11)=0,"",$F11/$E11)</f>
        <v/>
      </c>
      <c r="H11" s="21" t="str">
        <f aca="false">IF($A11="","",SUMIFS('Monthly Log'!$G$4:$G$303,'Monthly Log'!$A$4:$A$303,$A11))</f>
        <v/>
      </c>
      <c r="I11" s="20" t="str">
        <f aca="false">IF($A11="","",SUMIFS('Monthly Log'!$J$4:$J$303,'Monthly Log'!$A$4:$A$303,$A11))</f>
        <v/>
      </c>
      <c r="J11" s="20" t="str">
        <f aca="false">IF($A11="","",SUMIFS('Monthly Log'!$K$4:$K$303,'Monthly Log'!$A$4:$A$303,$A11))</f>
        <v/>
      </c>
      <c r="K11" s="20" t="str">
        <f aca="false">IF($A11="","",SUMIFS('Monthly Log'!$L$4:$L$303,'Monthly Log'!$A$4:$A$303,$A11))</f>
        <v/>
      </c>
      <c r="L11" s="3"/>
    </row>
    <row r="12" customFormat="false" ht="15" hidden="false" customHeight="false" outlineLevel="0" collapsed="false">
      <c r="A12" s="64"/>
      <c r="B12" s="27" t="str">
        <f aca="false">IF($A12="","",SUMIFS('Monthly Log'!$C$4:$C$303,'Monthly Log'!$A$4:$A$303,$A12))</f>
        <v/>
      </c>
      <c r="C12" s="27" t="str">
        <f aca="false">IF($A12="","",SUMIFS('Monthly Log'!$D$4:$D$303,'Monthly Log'!$A$4:$A$303,$A12))</f>
        <v/>
      </c>
      <c r="D12" s="29" t="str">
        <f aca="false">IF(N($B12)=0,"",$C12/$B12)</f>
        <v/>
      </c>
      <c r="E12" s="27" t="str">
        <f aca="false">IF($A12="","",SUMIFS('Monthly Log'!$E$4:$E$303,'Monthly Log'!$A$4:$A$303,$A12))</f>
        <v/>
      </c>
      <c r="F12" s="27" t="str">
        <f aca="false">IF($A12="","",SUMIFS('Monthly Log'!$F$4:$F$303,'Monthly Log'!$A$4:$A$303,$A12))</f>
        <v/>
      </c>
      <c r="G12" s="29" t="str">
        <f aca="false">IF(N($E12)=0,"",$F12/$E12)</f>
        <v/>
      </c>
      <c r="H12" s="28" t="str">
        <f aca="false">IF($A12="","",SUMIFS('Monthly Log'!$G$4:$G$303,'Monthly Log'!$A$4:$A$303,$A12))</f>
        <v/>
      </c>
      <c r="I12" s="27" t="str">
        <f aca="false">IF($A12="","",SUMIFS('Monthly Log'!$J$4:$J$303,'Monthly Log'!$A$4:$A$303,$A12))</f>
        <v/>
      </c>
      <c r="J12" s="27" t="str">
        <f aca="false">IF($A12="","",SUMIFS('Monthly Log'!$K$4:$K$303,'Monthly Log'!$A$4:$A$303,$A12))</f>
        <v/>
      </c>
      <c r="K12" s="27" t="str">
        <f aca="false">IF($A12="","",SUMIFS('Monthly Log'!$L$4:$L$303,'Monthly Log'!$A$4:$A$303,$A12))</f>
        <v/>
      </c>
      <c r="L12" s="3"/>
    </row>
    <row r="13" customFormat="false" ht="15" hidden="false" customHeight="false" outlineLevel="0" collapsed="false">
      <c r="A13" s="63"/>
      <c r="B13" s="20" t="str">
        <f aca="false">IF($A13="","",SUMIFS('Monthly Log'!$C$4:$C$303,'Monthly Log'!$A$4:$A$303,$A13))</f>
        <v/>
      </c>
      <c r="C13" s="20" t="str">
        <f aca="false">IF($A13="","",SUMIFS('Monthly Log'!$D$4:$D$303,'Monthly Log'!$A$4:$A$303,$A13))</f>
        <v/>
      </c>
      <c r="D13" s="22" t="str">
        <f aca="false">IF(N($B13)=0,"",$C13/$B13)</f>
        <v/>
      </c>
      <c r="E13" s="20" t="str">
        <f aca="false">IF($A13="","",SUMIFS('Monthly Log'!$E$4:$E$303,'Monthly Log'!$A$4:$A$303,$A13))</f>
        <v/>
      </c>
      <c r="F13" s="20" t="str">
        <f aca="false">IF($A13="","",SUMIFS('Monthly Log'!$F$4:$F$303,'Monthly Log'!$A$4:$A$303,$A13))</f>
        <v/>
      </c>
      <c r="G13" s="22" t="str">
        <f aca="false">IF(N($E13)=0,"",$F13/$E13)</f>
        <v/>
      </c>
      <c r="H13" s="21" t="str">
        <f aca="false">IF($A13="","",SUMIFS('Monthly Log'!$G$4:$G$303,'Monthly Log'!$A$4:$A$303,$A13))</f>
        <v/>
      </c>
      <c r="I13" s="20" t="str">
        <f aca="false">IF($A13="","",SUMIFS('Monthly Log'!$J$4:$J$303,'Monthly Log'!$A$4:$A$303,$A13))</f>
        <v/>
      </c>
      <c r="J13" s="20" t="str">
        <f aca="false">IF($A13="","",SUMIFS('Monthly Log'!$K$4:$K$303,'Monthly Log'!$A$4:$A$303,$A13))</f>
        <v/>
      </c>
      <c r="K13" s="20" t="str">
        <f aca="false">IF($A13="","",SUMIFS('Monthly Log'!$L$4:$L$303,'Monthly Log'!$A$4:$A$303,$A13))</f>
        <v/>
      </c>
      <c r="L13" s="3"/>
    </row>
    <row r="14" customFormat="false" ht="15" hidden="false" customHeight="false" outlineLevel="0" collapsed="false">
      <c r="A14" s="64"/>
      <c r="B14" s="27" t="str">
        <f aca="false">IF($A14="","",SUMIFS('Monthly Log'!$C$4:$C$303,'Monthly Log'!$A$4:$A$303,$A14))</f>
        <v/>
      </c>
      <c r="C14" s="27" t="str">
        <f aca="false">IF($A14="","",SUMIFS('Monthly Log'!$D$4:$D$303,'Monthly Log'!$A$4:$A$303,$A14))</f>
        <v/>
      </c>
      <c r="D14" s="29" t="str">
        <f aca="false">IF(N($B14)=0,"",$C14/$B14)</f>
        <v/>
      </c>
      <c r="E14" s="27" t="str">
        <f aca="false">IF($A14="","",SUMIFS('Monthly Log'!$E$4:$E$303,'Monthly Log'!$A$4:$A$303,$A14))</f>
        <v/>
      </c>
      <c r="F14" s="27" t="str">
        <f aca="false">IF($A14="","",SUMIFS('Monthly Log'!$F$4:$F$303,'Monthly Log'!$A$4:$A$303,$A14))</f>
        <v/>
      </c>
      <c r="G14" s="29" t="str">
        <f aca="false">IF(N($E14)=0,"",$F14/$E14)</f>
        <v/>
      </c>
      <c r="H14" s="28" t="str">
        <f aca="false">IF($A14="","",SUMIFS('Monthly Log'!$G$4:$G$303,'Monthly Log'!$A$4:$A$303,$A14))</f>
        <v/>
      </c>
      <c r="I14" s="27" t="str">
        <f aca="false">IF($A14="","",SUMIFS('Monthly Log'!$J$4:$J$303,'Monthly Log'!$A$4:$A$303,$A14))</f>
        <v/>
      </c>
      <c r="J14" s="27" t="str">
        <f aca="false">IF($A14="","",SUMIFS('Monthly Log'!$K$4:$K$303,'Monthly Log'!$A$4:$A$303,$A14))</f>
        <v/>
      </c>
      <c r="K14" s="27" t="str">
        <f aca="false">IF($A14="","",SUMIFS('Monthly Log'!$L$4:$L$303,'Monthly Log'!$A$4:$A$303,$A14))</f>
        <v/>
      </c>
      <c r="L14" s="3"/>
    </row>
    <row r="15" customFormat="false" ht="15" hidden="false" customHeight="false" outlineLevel="0" collapsed="false">
      <c r="A15" s="63"/>
      <c r="B15" s="20" t="str">
        <f aca="false">IF($A15="","",SUMIFS('Monthly Log'!$C$4:$C$303,'Monthly Log'!$A$4:$A$303,$A15))</f>
        <v/>
      </c>
      <c r="C15" s="20" t="str">
        <f aca="false">IF($A15="","",SUMIFS('Monthly Log'!$D$4:$D$303,'Monthly Log'!$A$4:$A$303,$A15))</f>
        <v/>
      </c>
      <c r="D15" s="22" t="str">
        <f aca="false">IF(N($B15)=0,"",$C15/$B15)</f>
        <v/>
      </c>
      <c r="E15" s="20" t="str">
        <f aca="false">IF($A15="","",SUMIFS('Monthly Log'!$E$4:$E$303,'Monthly Log'!$A$4:$A$303,$A15))</f>
        <v/>
      </c>
      <c r="F15" s="20" t="str">
        <f aca="false">IF($A15="","",SUMIFS('Monthly Log'!$F$4:$F$303,'Monthly Log'!$A$4:$A$303,$A15))</f>
        <v/>
      </c>
      <c r="G15" s="22" t="str">
        <f aca="false">IF(N($E15)=0,"",$F15/$E15)</f>
        <v/>
      </c>
      <c r="H15" s="21" t="str">
        <f aca="false">IF($A15="","",SUMIFS('Monthly Log'!$G$4:$G$303,'Monthly Log'!$A$4:$A$303,$A15))</f>
        <v/>
      </c>
      <c r="I15" s="20" t="str">
        <f aca="false">IF($A15="","",SUMIFS('Monthly Log'!$J$4:$J$303,'Monthly Log'!$A$4:$A$303,$A15))</f>
        <v/>
      </c>
      <c r="J15" s="20" t="str">
        <f aca="false">IF($A15="","",SUMIFS('Monthly Log'!$K$4:$K$303,'Monthly Log'!$A$4:$A$303,$A15))</f>
        <v/>
      </c>
      <c r="K15" s="20" t="str">
        <f aca="false">IF($A15="","",SUMIFS('Monthly Log'!$L$4:$L$303,'Monthly Log'!$A$4:$A$303,$A15))</f>
        <v/>
      </c>
      <c r="L15" s="3"/>
    </row>
    <row r="16" customFormat="false" ht="15" hidden="false" customHeight="false" outlineLevel="0" collapsed="false">
      <c r="A16" s="64"/>
      <c r="B16" s="27" t="str">
        <f aca="false">IF($A16="","",SUMIFS('Monthly Log'!$C$4:$C$303,'Monthly Log'!$A$4:$A$303,$A16))</f>
        <v/>
      </c>
      <c r="C16" s="27" t="str">
        <f aca="false">IF($A16="","",SUMIFS('Monthly Log'!$D$4:$D$303,'Monthly Log'!$A$4:$A$303,$A16))</f>
        <v/>
      </c>
      <c r="D16" s="29" t="str">
        <f aca="false">IF(N($B16)=0,"",$C16/$B16)</f>
        <v/>
      </c>
      <c r="E16" s="27" t="str">
        <f aca="false">IF($A16="","",SUMIFS('Monthly Log'!$E$4:$E$303,'Monthly Log'!$A$4:$A$303,$A16))</f>
        <v/>
      </c>
      <c r="F16" s="27" t="str">
        <f aca="false">IF($A16="","",SUMIFS('Monthly Log'!$F$4:$F$303,'Monthly Log'!$A$4:$A$303,$A16))</f>
        <v/>
      </c>
      <c r="G16" s="29" t="str">
        <f aca="false">IF(N($E16)=0,"",$F16/$E16)</f>
        <v/>
      </c>
      <c r="H16" s="28" t="str">
        <f aca="false">IF($A16="","",SUMIFS('Monthly Log'!$G$4:$G$303,'Monthly Log'!$A$4:$A$303,$A16))</f>
        <v/>
      </c>
      <c r="I16" s="27" t="str">
        <f aca="false">IF($A16="","",SUMIFS('Monthly Log'!$J$4:$J$303,'Monthly Log'!$A$4:$A$303,$A16))</f>
        <v/>
      </c>
      <c r="J16" s="27" t="str">
        <f aca="false">IF($A16="","",SUMIFS('Monthly Log'!$K$4:$K$303,'Monthly Log'!$A$4:$A$303,$A16))</f>
        <v/>
      </c>
      <c r="K16" s="27" t="str">
        <f aca="false">IF($A16="","",SUMIFS('Monthly Log'!$L$4:$L$303,'Monthly Log'!$A$4:$A$303,$A16))</f>
        <v/>
      </c>
      <c r="L16" s="3"/>
    </row>
    <row r="17" customFormat="false" ht="15" hidden="false" customHeight="false" outlineLevel="0" collapsed="false">
      <c r="A17" s="63"/>
      <c r="B17" s="20" t="str">
        <f aca="false">IF($A17="","",SUMIFS('Monthly Log'!$C$4:$C$303,'Monthly Log'!$A$4:$A$303,$A17))</f>
        <v/>
      </c>
      <c r="C17" s="20" t="str">
        <f aca="false">IF($A17="","",SUMIFS('Monthly Log'!$D$4:$D$303,'Monthly Log'!$A$4:$A$303,$A17))</f>
        <v/>
      </c>
      <c r="D17" s="22" t="str">
        <f aca="false">IF(N($B17)=0,"",$C17/$B17)</f>
        <v/>
      </c>
      <c r="E17" s="20" t="str">
        <f aca="false">IF($A17="","",SUMIFS('Monthly Log'!$E$4:$E$303,'Monthly Log'!$A$4:$A$303,$A17))</f>
        <v/>
      </c>
      <c r="F17" s="20" t="str">
        <f aca="false">IF($A17="","",SUMIFS('Monthly Log'!$F$4:$F$303,'Monthly Log'!$A$4:$A$303,$A17))</f>
        <v/>
      </c>
      <c r="G17" s="22" t="str">
        <f aca="false">IF(N($E17)=0,"",$F17/$E17)</f>
        <v/>
      </c>
      <c r="H17" s="21" t="str">
        <f aca="false">IF($A17="","",SUMIFS('Monthly Log'!$G$4:$G$303,'Monthly Log'!$A$4:$A$303,$A17))</f>
        <v/>
      </c>
      <c r="I17" s="20" t="str">
        <f aca="false">IF($A17="","",SUMIFS('Monthly Log'!$J$4:$J$303,'Monthly Log'!$A$4:$A$303,$A17))</f>
        <v/>
      </c>
      <c r="J17" s="20" t="str">
        <f aca="false">IF($A17="","",SUMIFS('Monthly Log'!$K$4:$K$303,'Monthly Log'!$A$4:$A$303,$A17))</f>
        <v/>
      </c>
      <c r="K17" s="20" t="str">
        <f aca="false">IF($A17="","",SUMIFS('Monthly Log'!$L$4:$L$303,'Monthly Log'!$A$4:$A$303,$A17))</f>
        <v/>
      </c>
      <c r="L17" s="3"/>
    </row>
    <row r="18" customFormat="false" ht="15" hidden="false" customHeight="false" outlineLevel="0" collapsed="false">
      <c r="A18" s="64"/>
      <c r="B18" s="27" t="str">
        <f aca="false">IF($A18="","",SUMIFS('Monthly Log'!$C$4:$C$303,'Monthly Log'!$A$4:$A$303,$A18))</f>
        <v/>
      </c>
      <c r="C18" s="27" t="str">
        <f aca="false">IF($A18="","",SUMIFS('Monthly Log'!$D$4:$D$303,'Monthly Log'!$A$4:$A$303,$A18))</f>
        <v/>
      </c>
      <c r="D18" s="29" t="str">
        <f aca="false">IF(N($B18)=0,"",$C18/$B18)</f>
        <v/>
      </c>
      <c r="E18" s="27" t="str">
        <f aca="false">IF($A18="","",SUMIFS('Monthly Log'!$E$4:$E$303,'Monthly Log'!$A$4:$A$303,$A18))</f>
        <v/>
      </c>
      <c r="F18" s="27" t="str">
        <f aca="false">IF($A18="","",SUMIFS('Monthly Log'!$F$4:$F$303,'Monthly Log'!$A$4:$A$303,$A18))</f>
        <v/>
      </c>
      <c r="G18" s="29" t="str">
        <f aca="false">IF(N($E18)=0,"",$F18/$E18)</f>
        <v/>
      </c>
      <c r="H18" s="28" t="str">
        <f aca="false">IF($A18="","",SUMIFS('Monthly Log'!$G$4:$G$303,'Monthly Log'!$A$4:$A$303,$A18))</f>
        <v/>
      </c>
      <c r="I18" s="27" t="str">
        <f aca="false">IF($A18="","",SUMIFS('Monthly Log'!$J$4:$J$303,'Monthly Log'!$A$4:$A$303,$A18))</f>
        <v/>
      </c>
      <c r="J18" s="27" t="str">
        <f aca="false">IF($A18="","",SUMIFS('Monthly Log'!$K$4:$K$303,'Monthly Log'!$A$4:$A$303,$A18))</f>
        <v/>
      </c>
      <c r="K18" s="27" t="str">
        <f aca="false">IF($A18="","",SUMIFS('Monthly Log'!$L$4:$L$303,'Monthly Log'!$A$4:$A$303,$A18))</f>
        <v/>
      </c>
      <c r="L18" s="3"/>
    </row>
    <row r="19" customFormat="false" ht="15" hidden="false" customHeight="false" outlineLevel="0" collapsed="false">
      <c r="A19" s="63"/>
      <c r="B19" s="20" t="str">
        <f aca="false">IF($A19="","",SUMIFS('Monthly Log'!$C$4:$C$303,'Monthly Log'!$A$4:$A$303,$A19))</f>
        <v/>
      </c>
      <c r="C19" s="20" t="str">
        <f aca="false">IF($A19="","",SUMIFS('Monthly Log'!$D$4:$D$303,'Monthly Log'!$A$4:$A$303,$A19))</f>
        <v/>
      </c>
      <c r="D19" s="22" t="str">
        <f aca="false">IF(N($B19)=0,"",$C19/$B19)</f>
        <v/>
      </c>
      <c r="E19" s="20" t="str">
        <f aca="false">IF($A19="","",SUMIFS('Monthly Log'!$E$4:$E$303,'Monthly Log'!$A$4:$A$303,$A19))</f>
        <v/>
      </c>
      <c r="F19" s="20" t="str">
        <f aca="false">IF($A19="","",SUMIFS('Monthly Log'!$F$4:$F$303,'Monthly Log'!$A$4:$A$303,$A19))</f>
        <v/>
      </c>
      <c r="G19" s="22" t="str">
        <f aca="false">IF(N($E19)=0,"",$F19/$E19)</f>
        <v/>
      </c>
      <c r="H19" s="21" t="str">
        <f aca="false">IF($A19="","",SUMIFS('Monthly Log'!$G$4:$G$303,'Monthly Log'!$A$4:$A$303,$A19))</f>
        <v/>
      </c>
      <c r="I19" s="20" t="str">
        <f aca="false">IF($A19="","",SUMIFS('Monthly Log'!$J$4:$J$303,'Monthly Log'!$A$4:$A$303,$A19))</f>
        <v/>
      </c>
      <c r="J19" s="20" t="str">
        <f aca="false">IF($A19="","",SUMIFS('Monthly Log'!$K$4:$K$303,'Monthly Log'!$A$4:$A$303,$A19))</f>
        <v/>
      </c>
      <c r="K19" s="20" t="str">
        <f aca="false">IF($A19="","",SUMIFS('Monthly Log'!$L$4:$L$303,'Monthly Log'!$A$4:$A$303,$A19))</f>
        <v/>
      </c>
      <c r="L19" s="3"/>
    </row>
    <row r="20" customFormat="false" ht="15" hidden="false" customHeight="false" outlineLevel="0" collapsed="false">
      <c r="A20" s="64"/>
      <c r="B20" s="27" t="str">
        <f aca="false">IF($A20="","",SUMIFS('Monthly Log'!$C$4:$C$303,'Monthly Log'!$A$4:$A$303,$A20))</f>
        <v/>
      </c>
      <c r="C20" s="27" t="str">
        <f aca="false">IF($A20="","",SUMIFS('Monthly Log'!$D$4:$D$303,'Monthly Log'!$A$4:$A$303,$A20))</f>
        <v/>
      </c>
      <c r="D20" s="29" t="str">
        <f aca="false">IF(N($B20)=0,"",$C20/$B20)</f>
        <v/>
      </c>
      <c r="E20" s="27" t="str">
        <f aca="false">IF($A20="","",SUMIFS('Monthly Log'!$E$4:$E$303,'Monthly Log'!$A$4:$A$303,$A20))</f>
        <v/>
      </c>
      <c r="F20" s="27" t="str">
        <f aca="false">IF($A20="","",SUMIFS('Monthly Log'!$F$4:$F$303,'Monthly Log'!$A$4:$A$303,$A20))</f>
        <v/>
      </c>
      <c r="G20" s="29" t="str">
        <f aca="false">IF(N($E20)=0,"",$F20/$E20)</f>
        <v/>
      </c>
      <c r="H20" s="28" t="str">
        <f aca="false">IF($A20="","",SUMIFS('Monthly Log'!$G$4:$G$303,'Monthly Log'!$A$4:$A$303,$A20))</f>
        <v/>
      </c>
      <c r="I20" s="27" t="str">
        <f aca="false">IF($A20="","",SUMIFS('Monthly Log'!$J$4:$J$303,'Monthly Log'!$A$4:$A$303,$A20))</f>
        <v/>
      </c>
      <c r="J20" s="27" t="str">
        <f aca="false">IF($A20="","",SUMIFS('Monthly Log'!$K$4:$K$303,'Monthly Log'!$A$4:$A$303,$A20))</f>
        <v/>
      </c>
      <c r="K20" s="27" t="str">
        <f aca="false">IF($A20="","",SUMIFS('Monthly Log'!$L$4:$L$303,'Monthly Log'!$A$4:$A$303,$A20))</f>
        <v/>
      </c>
      <c r="L20" s="3"/>
    </row>
    <row r="21" customFormat="false" ht="15" hidden="false" customHeight="false" outlineLevel="0" collapsed="false">
      <c r="A21" s="63"/>
      <c r="B21" s="20" t="str">
        <f aca="false">IF($A21="","",SUMIFS('Monthly Log'!$C$4:$C$303,'Monthly Log'!$A$4:$A$303,$A21))</f>
        <v/>
      </c>
      <c r="C21" s="20" t="str">
        <f aca="false">IF($A21="","",SUMIFS('Monthly Log'!$D$4:$D$303,'Monthly Log'!$A$4:$A$303,$A21))</f>
        <v/>
      </c>
      <c r="D21" s="22" t="str">
        <f aca="false">IF(N($B21)=0,"",$C21/$B21)</f>
        <v/>
      </c>
      <c r="E21" s="20" t="str">
        <f aca="false">IF($A21="","",SUMIFS('Monthly Log'!$E$4:$E$303,'Monthly Log'!$A$4:$A$303,$A21))</f>
        <v/>
      </c>
      <c r="F21" s="20" t="str">
        <f aca="false">IF($A21="","",SUMIFS('Monthly Log'!$F$4:$F$303,'Monthly Log'!$A$4:$A$303,$A21))</f>
        <v/>
      </c>
      <c r="G21" s="22" t="str">
        <f aca="false">IF(N($E21)=0,"",$F21/$E21)</f>
        <v/>
      </c>
      <c r="H21" s="21" t="str">
        <f aca="false">IF($A21="","",SUMIFS('Monthly Log'!$G$4:$G$303,'Monthly Log'!$A$4:$A$303,$A21))</f>
        <v/>
      </c>
      <c r="I21" s="20" t="str">
        <f aca="false">IF($A21="","",SUMIFS('Monthly Log'!$J$4:$J$303,'Monthly Log'!$A$4:$A$303,$A21))</f>
        <v/>
      </c>
      <c r="J21" s="20" t="str">
        <f aca="false">IF($A21="","",SUMIFS('Monthly Log'!$K$4:$K$303,'Monthly Log'!$A$4:$A$303,$A21))</f>
        <v/>
      </c>
      <c r="K21" s="20" t="str">
        <f aca="false">IF($A21="","",SUMIFS('Monthly Log'!$L$4:$L$303,'Monthly Log'!$A$4:$A$303,$A21))</f>
        <v/>
      </c>
      <c r="L21" s="3"/>
    </row>
    <row r="22" customFormat="false" ht="15" hidden="false" customHeight="false" outlineLevel="0" collapsed="false">
      <c r="A22" s="64"/>
      <c r="B22" s="27" t="str">
        <f aca="false">IF($A22="","",SUMIFS('Monthly Log'!$C$4:$C$303,'Monthly Log'!$A$4:$A$303,$A22))</f>
        <v/>
      </c>
      <c r="C22" s="27" t="str">
        <f aca="false">IF($A22="","",SUMIFS('Monthly Log'!$D$4:$D$303,'Monthly Log'!$A$4:$A$303,$A22))</f>
        <v/>
      </c>
      <c r="D22" s="29" t="str">
        <f aca="false">IF(N($B22)=0,"",$C22/$B22)</f>
        <v/>
      </c>
      <c r="E22" s="27" t="str">
        <f aca="false">IF($A22="","",SUMIFS('Monthly Log'!$E$4:$E$303,'Monthly Log'!$A$4:$A$303,$A22))</f>
        <v/>
      </c>
      <c r="F22" s="27" t="str">
        <f aca="false">IF($A22="","",SUMIFS('Monthly Log'!$F$4:$F$303,'Monthly Log'!$A$4:$A$303,$A22))</f>
        <v/>
      </c>
      <c r="G22" s="29" t="str">
        <f aca="false">IF(N($E22)=0,"",$F22/$E22)</f>
        <v/>
      </c>
      <c r="H22" s="28" t="str">
        <f aca="false">IF($A22="","",SUMIFS('Monthly Log'!$G$4:$G$303,'Monthly Log'!$A$4:$A$303,$A22))</f>
        <v/>
      </c>
      <c r="I22" s="27" t="str">
        <f aca="false">IF($A22="","",SUMIFS('Monthly Log'!$J$4:$J$303,'Monthly Log'!$A$4:$A$303,$A22))</f>
        <v/>
      </c>
      <c r="J22" s="27" t="str">
        <f aca="false">IF($A22="","",SUMIFS('Monthly Log'!$K$4:$K$303,'Monthly Log'!$A$4:$A$303,$A22))</f>
        <v/>
      </c>
      <c r="K22" s="27" t="str">
        <f aca="false">IF($A22="","",SUMIFS('Monthly Log'!$L$4:$L$303,'Monthly Log'!$A$4:$A$303,$A22))</f>
        <v/>
      </c>
      <c r="L22" s="3"/>
    </row>
    <row r="23" customFormat="false" ht="15" hidden="false" customHeight="false" outlineLevel="0" collapsed="false">
      <c r="A23" s="63"/>
      <c r="B23" s="20" t="str">
        <f aca="false">IF($A23="","",SUMIFS('Monthly Log'!$C$4:$C$303,'Monthly Log'!$A$4:$A$303,$A23))</f>
        <v/>
      </c>
      <c r="C23" s="20" t="str">
        <f aca="false">IF($A23="","",SUMIFS('Monthly Log'!$D$4:$D$303,'Monthly Log'!$A$4:$A$303,$A23))</f>
        <v/>
      </c>
      <c r="D23" s="22" t="str">
        <f aca="false">IF(N($B23)=0,"",$C23/$B23)</f>
        <v/>
      </c>
      <c r="E23" s="20" t="str">
        <f aca="false">IF($A23="","",SUMIFS('Monthly Log'!$E$4:$E$303,'Monthly Log'!$A$4:$A$303,$A23))</f>
        <v/>
      </c>
      <c r="F23" s="20" t="str">
        <f aca="false">IF($A23="","",SUMIFS('Monthly Log'!$F$4:$F$303,'Monthly Log'!$A$4:$A$303,$A23))</f>
        <v/>
      </c>
      <c r="G23" s="22" t="str">
        <f aca="false">IF(N($E23)=0,"",$F23/$E23)</f>
        <v/>
      </c>
      <c r="H23" s="21" t="str">
        <f aca="false">IF($A23="","",SUMIFS('Monthly Log'!$G$4:$G$303,'Monthly Log'!$A$4:$A$303,$A23))</f>
        <v/>
      </c>
      <c r="I23" s="20" t="str">
        <f aca="false">IF($A23="","",SUMIFS('Monthly Log'!$J$4:$J$303,'Monthly Log'!$A$4:$A$303,$A23))</f>
        <v/>
      </c>
      <c r="J23" s="20" t="str">
        <f aca="false">IF($A23="","",SUMIFS('Monthly Log'!$K$4:$K$303,'Monthly Log'!$A$4:$A$303,$A23))</f>
        <v/>
      </c>
      <c r="K23" s="20" t="str">
        <f aca="false">IF($A23="","",SUMIFS('Monthly Log'!$L$4:$L$303,'Monthly Log'!$A$4:$A$303,$A23))</f>
        <v/>
      </c>
      <c r="L23" s="3"/>
    </row>
    <row r="24" customFormat="false" ht="15" hidden="false" customHeight="false" outlineLevel="0" collapsed="false">
      <c r="A24" s="64"/>
      <c r="B24" s="27" t="str">
        <f aca="false">IF($A24="","",SUMIFS('Monthly Log'!$C$4:$C$303,'Monthly Log'!$A$4:$A$303,$A24))</f>
        <v/>
      </c>
      <c r="C24" s="27" t="str">
        <f aca="false">IF($A24="","",SUMIFS('Monthly Log'!$D$4:$D$303,'Monthly Log'!$A$4:$A$303,$A24))</f>
        <v/>
      </c>
      <c r="D24" s="29" t="str">
        <f aca="false">IF(N($B24)=0,"",$C24/$B24)</f>
        <v/>
      </c>
      <c r="E24" s="27" t="str">
        <f aca="false">IF($A24="","",SUMIFS('Monthly Log'!$E$4:$E$303,'Monthly Log'!$A$4:$A$303,$A24))</f>
        <v/>
      </c>
      <c r="F24" s="27" t="str">
        <f aca="false">IF($A24="","",SUMIFS('Monthly Log'!$F$4:$F$303,'Monthly Log'!$A$4:$A$303,$A24))</f>
        <v/>
      </c>
      <c r="G24" s="29" t="str">
        <f aca="false">IF(N($E24)=0,"",$F24/$E24)</f>
        <v/>
      </c>
      <c r="H24" s="28" t="str">
        <f aca="false">IF($A24="","",SUMIFS('Monthly Log'!$G$4:$G$303,'Monthly Log'!$A$4:$A$303,$A24))</f>
        <v/>
      </c>
      <c r="I24" s="27" t="str">
        <f aca="false">IF($A24="","",SUMIFS('Monthly Log'!$J$4:$J$303,'Monthly Log'!$A$4:$A$303,$A24))</f>
        <v/>
      </c>
      <c r="J24" s="27" t="str">
        <f aca="false">IF($A24="","",SUMIFS('Monthly Log'!$K$4:$K$303,'Monthly Log'!$A$4:$A$303,$A24))</f>
        <v/>
      </c>
      <c r="K24" s="27" t="str">
        <f aca="false">IF($A24="","",SUMIFS('Monthly Log'!$L$4:$L$303,'Monthly Log'!$A$4:$A$303,$A24))</f>
        <v/>
      </c>
      <c r="L24" s="3"/>
    </row>
    <row r="25" customFormat="false" ht="15" hidden="false" customHeight="false" outlineLevel="0" collapsed="false">
      <c r="A25" s="63"/>
      <c r="B25" s="20" t="str">
        <f aca="false">IF($A25="","",SUMIFS('Monthly Log'!$C$4:$C$303,'Monthly Log'!$A$4:$A$303,$A25))</f>
        <v/>
      </c>
      <c r="C25" s="20" t="str">
        <f aca="false">IF($A25="","",SUMIFS('Monthly Log'!$D$4:$D$303,'Monthly Log'!$A$4:$A$303,$A25))</f>
        <v/>
      </c>
      <c r="D25" s="22" t="str">
        <f aca="false">IF(N($B25)=0,"",$C25/$B25)</f>
        <v/>
      </c>
      <c r="E25" s="20" t="str">
        <f aca="false">IF($A25="","",SUMIFS('Monthly Log'!$E$4:$E$303,'Monthly Log'!$A$4:$A$303,$A25))</f>
        <v/>
      </c>
      <c r="F25" s="20" t="str">
        <f aca="false">IF($A25="","",SUMIFS('Monthly Log'!$F$4:$F$303,'Monthly Log'!$A$4:$A$303,$A25))</f>
        <v/>
      </c>
      <c r="G25" s="22" t="str">
        <f aca="false">IF(N($E25)=0,"",$F25/$E25)</f>
        <v/>
      </c>
      <c r="H25" s="21" t="str">
        <f aca="false">IF($A25="","",SUMIFS('Monthly Log'!$G$4:$G$303,'Monthly Log'!$A$4:$A$303,$A25))</f>
        <v/>
      </c>
      <c r="I25" s="20" t="str">
        <f aca="false">IF($A25="","",SUMIFS('Monthly Log'!$J$4:$J$303,'Monthly Log'!$A$4:$A$303,$A25))</f>
        <v/>
      </c>
      <c r="J25" s="20" t="str">
        <f aca="false">IF($A25="","",SUMIFS('Monthly Log'!$K$4:$K$303,'Monthly Log'!$A$4:$A$303,$A25))</f>
        <v/>
      </c>
      <c r="K25" s="20" t="str">
        <f aca="false">IF($A25="","",SUMIFS('Monthly Log'!$L$4:$L$303,'Monthly Log'!$A$4:$A$303,$A25))</f>
        <v/>
      </c>
      <c r="L25" s="3"/>
    </row>
    <row r="26" customFormat="false" ht="15" hidden="false" customHeight="false" outlineLevel="0" collapsed="false">
      <c r="A26" s="64"/>
      <c r="B26" s="27" t="str">
        <f aca="false">IF($A26="","",SUMIFS('Monthly Log'!$C$4:$C$303,'Monthly Log'!$A$4:$A$303,$A26))</f>
        <v/>
      </c>
      <c r="C26" s="27" t="str">
        <f aca="false">IF($A26="","",SUMIFS('Monthly Log'!$D$4:$D$303,'Monthly Log'!$A$4:$A$303,$A26))</f>
        <v/>
      </c>
      <c r="D26" s="29" t="str">
        <f aca="false">IF(N($B26)=0,"",$C26/$B26)</f>
        <v/>
      </c>
      <c r="E26" s="27" t="str">
        <f aca="false">IF($A26="","",SUMIFS('Monthly Log'!$E$4:$E$303,'Monthly Log'!$A$4:$A$303,$A26))</f>
        <v/>
      </c>
      <c r="F26" s="27" t="str">
        <f aca="false">IF($A26="","",SUMIFS('Monthly Log'!$F$4:$F$303,'Monthly Log'!$A$4:$A$303,$A26))</f>
        <v/>
      </c>
      <c r="G26" s="29" t="str">
        <f aca="false">IF(N($E26)=0,"",$F26/$E26)</f>
        <v/>
      </c>
      <c r="H26" s="28" t="str">
        <f aca="false">IF($A26="","",SUMIFS('Monthly Log'!$G$4:$G$303,'Monthly Log'!$A$4:$A$303,$A26))</f>
        <v/>
      </c>
      <c r="I26" s="27" t="str">
        <f aca="false">IF($A26="","",SUMIFS('Monthly Log'!$J$4:$J$303,'Monthly Log'!$A$4:$A$303,$A26))</f>
        <v/>
      </c>
      <c r="J26" s="27" t="str">
        <f aca="false">IF($A26="","",SUMIFS('Monthly Log'!$K$4:$K$303,'Monthly Log'!$A$4:$A$303,$A26))</f>
        <v/>
      </c>
      <c r="K26" s="27" t="str">
        <f aca="false">IF($A26="","",SUMIFS('Monthly Log'!$L$4:$L$303,'Monthly Log'!$A$4:$A$303,$A26))</f>
        <v/>
      </c>
      <c r="L26" s="3"/>
    </row>
    <row r="27" customFormat="false" ht="15" hidden="false" customHeight="false" outlineLevel="0" collapsed="false">
      <c r="A27" s="63"/>
      <c r="B27" s="20" t="str">
        <f aca="false">IF($A27="","",SUMIFS('Monthly Log'!$C$4:$C$303,'Monthly Log'!$A$4:$A$303,$A27))</f>
        <v/>
      </c>
      <c r="C27" s="20" t="str">
        <f aca="false">IF($A27="","",SUMIFS('Monthly Log'!$D$4:$D$303,'Monthly Log'!$A$4:$A$303,$A27))</f>
        <v/>
      </c>
      <c r="D27" s="22" t="str">
        <f aca="false">IF(N($B27)=0,"",$C27/$B27)</f>
        <v/>
      </c>
      <c r="E27" s="20" t="str">
        <f aca="false">IF($A27="","",SUMIFS('Monthly Log'!$E$4:$E$303,'Monthly Log'!$A$4:$A$303,$A27))</f>
        <v/>
      </c>
      <c r="F27" s="20" t="str">
        <f aca="false">IF($A27="","",SUMIFS('Monthly Log'!$F$4:$F$303,'Monthly Log'!$A$4:$A$303,$A27))</f>
        <v/>
      </c>
      <c r="G27" s="22" t="str">
        <f aca="false">IF(N($E27)=0,"",$F27/$E27)</f>
        <v/>
      </c>
      <c r="H27" s="21" t="str">
        <f aca="false">IF($A27="","",SUMIFS('Monthly Log'!$G$4:$G$303,'Monthly Log'!$A$4:$A$303,$A27))</f>
        <v/>
      </c>
      <c r="I27" s="20" t="str">
        <f aca="false">IF($A27="","",SUMIFS('Monthly Log'!$J$4:$J$303,'Monthly Log'!$A$4:$A$303,$A27))</f>
        <v/>
      </c>
      <c r="J27" s="20" t="str">
        <f aca="false">IF($A27="","",SUMIFS('Monthly Log'!$K$4:$K$303,'Monthly Log'!$A$4:$A$303,$A27))</f>
        <v/>
      </c>
      <c r="K27" s="20" t="str">
        <f aca="false">IF($A27="","",SUMIFS('Monthly Log'!$L$4:$L$303,'Monthly Log'!$A$4:$A$303,$A27))</f>
        <v/>
      </c>
      <c r="L27" s="3"/>
    </row>
    <row r="28" customFormat="false" ht="15" hidden="false" customHeight="false" outlineLevel="0" collapsed="false">
      <c r="A28" s="64"/>
      <c r="B28" s="27" t="str">
        <f aca="false">IF($A28="","",SUMIFS('Monthly Log'!$C$4:$C$303,'Monthly Log'!$A$4:$A$303,$A28))</f>
        <v/>
      </c>
      <c r="C28" s="27" t="str">
        <f aca="false">IF($A28="","",SUMIFS('Monthly Log'!$D$4:$D$303,'Monthly Log'!$A$4:$A$303,$A28))</f>
        <v/>
      </c>
      <c r="D28" s="29" t="str">
        <f aca="false">IF(N($B28)=0,"",$C28/$B28)</f>
        <v/>
      </c>
      <c r="E28" s="27" t="str">
        <f aca="false">IF($A28="","",SUMIFS('Monthly Log'!$E$4:$E$303,'Monthly Log'!$A$4:$A$303,$A28))</f>
        <v/>
      </c>
      <c r="F28" s="27" t="str">
        <f aca="false">IF($A28="","",SUMIFS('Monthly Log'!$F$4:$F$303,'Monthly Log'!$A$4:$A$303,$A28))</f>
        <v/>
      </c>
      <c r="G28" s="29" t="str">
        <f aca="false">IF(N($E28)=0,"",$F28/$E28)</f>
        <v/>
      </c>
      <c r="H28" s="28" t="str">
        <f aca="false">IF($A28="","",SUMIFS('Monthly Log'!$G$4:$G$303,'Monthly Log'!$A$4:$A$303,$A28))</f>
        <v/>
      </c>
      <c r="I28" s="27" t="str">
        <f aca="false">IF($A28="","",SUMIFS('Monthly Log'!$J$4:$J$303,'Monthly Log'!$A$4:$A$303,$A28))</f>
        <v/>
      </c>
      <c r="J28" s="27" t="str">
        <f aca="false">IF($A28="","",SUMIFS('Monthly Log'!$K$4:$K$303,'Monthly Log'!$A$4:$A$303,$A28))</f>
        <v/>
      </c>
      <c r="K28" s="27" t="str">
        <f aca="false">IF($A28="","",SUMIFS('Monthly Log'!$L$4:$L$303,'Monthly Log'!$A$4:$A$303,$A28))</f>
        <v/>
      </c>
      <c r="L28" s="3"/>
    </row>
    <row r="29" customFormat="false" ht="15" hidden="false" customHeight="false" outlineLevel="0" collapsed="false">
      <c r="A29" s="3"/>
      <c r="B29" s="3"/>
      <c r="C29" s="3"/>
      <c r="D29" s="3"/>
      <c r="E29" s="3"/>
      <c r="F29" s="3"/>
      <c r="G29" s="3"/>
      <c r="H29" s="3"/>
      <c r="I29" s="3"/>
      <c r="J29" s="3"/>
      <c r="K29" s="3"/>
      <c r="L29" s="3"/>
    </row>
    <row r="30" customFormat="false" ht="15" hidden="false" customHeight="false" outlineLevel="0" collapsed="false">
      <c r="A30" s="69" t="s">
        <v>496</v>
      </c>
      <c r="B30" s="3"/>
      <c r="C30" s="3"/>
      <c r="D30" s="3"/>
      <c r="E30" s="3"/>
      <c r="F30" s="3"/>
      <c r="G30" s="3"/>
      <c r="H30" s="3"/>
      <c r="I30" s="3"/>
      <c r="J30" s="3"/>
      <c r="K30" s="3"/>
      <c r="L30" s="3"/>
    </row>
    <row r="31" customFormat="false" ht="31.5" hidden="false" customHeight="true" outlineLevel="0" collapsed="false">
      <c r="A31" s="45" t="s">
        <v>87</v>
      </c>
      <c r="B31" s="45" t="s">
        <v>472</v>
      </c>
      <c r="C31" s="45" t="s">
        <v>473</v>
      </c>
      <c r="D31" s="45" t="s">
        <v>478</v>
      </c>
      <c r="E31" s="45" t="s">
        <v>481</v>
      </c>
      <c r="F31" s="3"/>
      <c r="G31" s="3"/>
      <c r="H31" s="3"/>
      <c r="I31" s="3"/>
      <c r="J31" s="3"/>
      <c r="K31" s="3"/>
      <c r="L31" s="3"/>
    </row>
    <row r="32" customFormat="false" ht="15" hidden="false" customHeight="false" outlineLevel="0" collapsed="false">
      <c r="A32" s="18" t="str">
        <f aca="false">IF(Dashboard!$B16="","",Dashboard!$B16)</f>
        <v>Client Portal Rebuild</v>
      </c>
      <c r="B32" s="81" t="n">
        <f aca="false">Dashboard!$D16</f>
        <v>500000</v>
      </c>
      <c r="C32" s="81" t="n">
        <f aca="false">Dashboard!$E16</f>
        <v>412000</v>
      </c>
      <c r="D32" s="85" t="n">
        <f aca="false">IF(Dashboard!$J16="","",Dashboard!$J16)</f>
        <v>0.777777777777778</v>
      </c>
      <c r="E32" s="85" t="n">
        <f aca="false">IF(Dashboard!$M16="","",Dashboard!$M16)</f>
        <v>0.818181818181818</v>
      </c>
      <c r="F32" s="3"/>
      <c r="G32" s="3"/>
      <c r="H32" s="3"/>
      <c r="I32" s="3"/>
      <c r="J32" s="3"/>
      <c r="K32" s="3"/>
      <c r="L32" s="3"/>
    </row>
    <row r="33" customFormat="false" ht="15" hidden="false" customHeight="false" outlineLevel="0" collapsed="false">
      <c r="A33" s="18" t="str">
        <f aca="false">IF(Dashboard!$B17="","",Dashboard!$B17)</f>
        <v>Data Platform Migration</v>
      </c>
      <c r="B33" s="81" t="n">
        <f aca="false">Dashboard!$D17</f>
        <v>820000</v>
      </c>
      <c r="C33" s="81" t="n">
        <f aca="false">Dashboard!$E17</f>
        <v>690000</v>
      </c>
      <c r="D33" s="85" t="n">
        <f aca="false">IF(Dashboard!$J17="","",Dashboard!$J17)</f>
        <v>0.9</v>
      </c>
      <c r="E33" s="85" t="n">
        <f aca="false">IF(Dashboard!$M17="","",Dashboard!$M17)</f>
        <v>0.9</v>
      </c>
      <c r="F33" s="3"/>
      <c r="G33" s="3"/>
      <c r="H33" s="3"/>
      <c r="I33" s="3"/>
      <c r="J33" s="3"/>
      <c r="K33" s="3"/>
      <c r="L33" s="3"/>
    </row>
    <row r="34" customFormat="false" ht="15" hidden="false" customHeight="false" outlineLevel="0" collapsed="false">
      <c r="A34" s="18" t="str">
        <f aca="false">IF(Dashboard!$B18="","",Dashboard!$B18)</f>
        <v>Regulatory Reporting Uplift</v>
      </c>
      <c r="B34" s="81" t="n">
        <f aca="false">Dashboard!$D18</f>
        <v>340000</v>
      </c>
      <c r="C34" s="81" t="n">
        <f aca="false">Dashboard!$E18</f>
        <v>351000</v>
      </c>
      <c r="D34" s="85" t="n">
        <f aca="false">IF(Dashboard!$J18="","",Dashboard!$J18)</f>
        <v>0.625</v>
      </c>
      <c r="E34" s="85" t="n">
        <f aca="false">IF(Dashboard!$M18="","",Dashboard!$M18)</f>
        <v>0.6</v>
      </c>
      <c r="F34" s="3"/>
      <c r="G34" s="3"/>
      <c r="H34" s="3"/>
      <c r="I34" s="3"/>
      <c r="J34" s="3"/>
      <c r="K34" s="3"/>
      <c r="L34" s="3"/>
    </row>
    <row r="35" customFormat="false" ht="15" hidden="false" customHeight="false" outlineLevel="0" collapsed="false">
      <c r="A35" s="18" t="str">
        <f aca="false">IF(Dashboard!$B19="","",Dashboard!$B19)</f>
        <v>Market Expansion - APAC</v>
      </c>
      <c r="B35" s="81" t="n">
        <f aca="false">Dashboard!$D19</f>
        <v>610000</v>
      </c>
      <c r="C35" s="81" t="n">
        <f aca="false">Dashboard!$E19</f>
        <v>415000</v>
      </c>
      <c r="D35" s="85" t="n">
        <f aca="false">IF(Dashboard!$J19="","",Dashboard!$J19)</f>
        <v>1</v>
      </c>
      <c r="E35" s="85" t="n">
        <f aca="false">IF(Dashboard!$M19="","",Dashboard!$M19)</f>
        <v>1</v>
      </c>
      <c r="F35" s="3"/>
      <c r="G35" s="3"/>
      <c r="H35" s="3"/>
      <c r="I35" s="3"/>
      <c r="J35" s="3"/>
      <c r="K35" s="3"/>
      <c r="L35" s="3"/>
    </row>
    <row r="36" customFormat="false" ht="15" hidden="false" customHeight="false" outlineLevel="0" collapsed="false">
      <c r="A36" s="18" t="str">
        <f aca="false">IF(Dashboard!$B20="","",Dashboard!$B20)</f>
        <v>Cost-to-Serve Optimisation</v>
      </c>
      <c r="B36" s="81" t="n">
        <f aca="false">Dashboard!$D20</f>
        <v>275000</v>
      </c>
      <c r="C36" s="81" t="n">
        <f aca="false">Dashboard!$E20</f>
        <v>224000</v>
      </c>
      <c r="D36" s="85" t="n">
        <f aca="false">IF(Dashboard!$J20="","",Dashboard!$J20)</f>
        <v>0.857142857142857</v>
      </c>
      <c r="E36" s="85" t="n">
        <f aca="false">IF(Dashboard!$M20="","",Dashboard!$M20)</f>
        <v>0.777777777777778</v>
      </c>
      <c r="F36" s="3"/>
      <c r="G36" s="3"/>
      <c r="H36" s="3"/>
      <c r="I36" s="3"/>
      <c r="J36" s="3"/>
      <c r="K36" s="3"/>
      <c r="L36" s="3"/>
    </row>
    <row r="37" customFormat="false" ht="15" hidden="false" customHeight="false" outlineLevel="0" collapsed="false">
      <c r="A37" s="3"/>
      <c r="B37" s="3"/>
      <c r="C37" s="3"/>
      <c r="D37" s="3"/>
      <c r="E37" s="3"/>
      <c r="F37" s="3"/>
      <c r="G37" s="3"/>
      <c r="H37" s="3"/>
      <c r="I37" s="3"/>
      <c r="J37" s="3"/>
      <c r="K37" s="3"/>
      <c r="L37" s="3"/>
    </row>
    <row r="38" customFormat="false" ht="15" hidden="false" customHeight="false" outlineLevel="0" collapsed="false">
      <c r="A38" s="69" t="s">
        <v>497</v>
      </c>
      <c r="B38" s="3"/>
      <c r="C38" s="3"/>
      <c r="D38" s="3"/>
      <c r="E38" s="3"/>
      <c r="F38" s="3"/>
      <c r="G38" s="3"/>
      <c r="H38" s="3"/>
      <c r="I38" s="3"/>
      <c r="J38" s="3"/>
      <c r="K38" s="3"/>
      <c r="L38" s="3"/>
    </row>
    <row r="39" customFormat="false" ht="31.5" hidden="false" customHeight="true" outlineLevel="0" collapsed="false">
      <c r="A39" s="45" t="s">
        <v>184</v>
      </c>
      <c r="B39" s="45" t="s">
        <v>476</v>
      </c>
      <c r="C39" s="45" t="s">
        <v>477</v>
      </c>
      <c r="D39" s="45" t="s">
        <v>478</v>
      </c>
      <c r="E39" s="45" t="s">
        <v>479</v>
      </c>
      <c r="F39" s="45" t="s">
        <v>480</v>
      </c>
      <c r="G39" s="45" t="s">
        <v>481</v>
      </c>
      <c r="H39" s="45" t="s">
        <v>189</v>
      </c>
      <c r="I39" s="45" t="s">
        <v>208</v>
      </c>
      <c r="J39" s="45" t="s">
        <v>209</v>
      </c>
      <c r="K39" s="45" t="s">
        <v>210</v>
      </c>
      <c r="L39" s="3"/>
    </row>
    <row r="40" customFormat="false" ht="15" hidden="false" customHeight="false" outlineLevel="0" collapsed="false">
      <c r="A40" s="48" t="n">
        <v>46237</v>
      </c>
      <c r="B40" s="20" t="n">
        <f aca="false">IF($A40="","",SUMIFS('Daily Log'!$C$4:$C$1503,'Daily Log'!$A$4:$A$1503,$A40))</f>
        <v>35</v>
      </c>
      <c r="C40" s="20" t="n">
        <f aca="false">IF($A40="","",SUMIFS('Daily Log'!$D$4:$D$1503,'Daily Log'!$A$4:$A$1503,$A40))</f>
        <v>29</v>
      </c>
      <c r="D40" s="22" t="n">
        <f aca="false">IF(N($B40)=0,"",$C40/$B40)</f>
        <v>0.828571428571429</v>
      </c>
      <c r="E40" s="20" t="n">
        <f aca="false">IF($A40="","",SUMIFS('Daily Log'!$E$4:$E$1503,'Daily Log'!$A$4:$A$1503,$A40))</f>
        <v>38</v>
      </c>
      <c r="F40" s="20" t="n">
        <f aca="false">IF($A40="","",SUMIFS('Daily Log'!$F$4:$F$1503,'Daily Log'!$A$4:$A$1503,$A40))</f>
        <v>32</v>
      </c>
      <c r="G40" s="22" t="n">
        <f aca="false">IF(N($E40)=0,"",$F40/$E40)</f>
        <v>0.842105263157895</v>
      </c>
      <c r="H40" s="21" t="n">
        <f aca="false">IF($A40="","",SUMIFS('Daily Log'!$G$4:$G$1503,'Daily Log'!$A$4:$A$1503,$A40))</f>
        <v>1745332</v>
      </c>
      <c r="I40" s="20" t="n">
        <f aca="false">IF($A40="","",SUMIFS('Daily Log'!$J$4:$J$1503,'Daily Log'!$A$4:$A$1503,$A40))</f>
        <v>24</v>
      </c>
      <c r="J40" s="20" t="n">
        <f aca="false">IF($A40="","",SUMIFS('Daily Log'!$K$4:$K$1503,'Daily Log'!$A$4:$A$1503,$A40))</f>
        <v>6</v>
      </c>
      <c r="K40" s="20" t="n">
        <f aca="false">IF($A40="","",SUMIFS('Daily Log'!$L$4:$L$1503,'Daily Log'!$A$4:$A$1503,$A40))</f>
        <v>5</v>
      </c>
      <c r="L40" s="3"/>
    </row>
    <row r="41" customFormat="false" ht="15" hidden="false" customHeight="false" outlineLevel="0" collapsed="false">
      <c r="A41" s="54" t="n">
        <v>46238</v>
      </c>
      <c r="B41" s="27" t="n">
        <f aca="false">IF($A41="","",SUMIFS('Daily Log'!$C$4:$C$1503,'Daily Log'!$A$4:$A$1503,$A41))</f>
        <v>35</v>
      </c>
      <c r="C41" s="27" t="n">
        <f aca="false">IF($A41="","",SUMIFS('Daily Log'!$D$4:$D$1503,'Daily Log'!$A$4:$A$1503,$A41))</f>
        <v>29</v>
      </c>
      <c r="D41" s="29" t="n">
        <f aca="false">IF(N($B41)=0,"",$C41/$B41)</f>
        <v>0.828571428571429</v>
      </c>
      <c r="E41" s="27" t="n">
        <f aca="false">IF($A41="","",SUMIFS('Daily Log'!$E$4:$E$1503,'Daily Log'!$A$4:$A$1503,$A41))</f>
        <v>38</v>
      </c>
      <c r="F41" s="27" t="n">
        <f aca="false">IF($A41="","",SUMIFS('Daily Log'!$F$4:$F$1503,'Daily Log'!$A$4:$A$1503,$A41))</f>
        <v>32</v>
      </c>
      <c r="G41" s="29" t="n">
        <f aca="false">IF(N($E41)=0,"",$F41/$E41)</f>
        <v>0.842105263157895</v>
      </c>
      <c r="H41" s="28" t="n">
        <f aca="false">IF($A41="","",SUMIFS('Daily Log'!$G$4:$G$1503,'Daily Log'!$A$4:$A$1503,$A41))</f>
        <v>1762666</v>
      </c>
      <c r="I41" s="27" t="n">
        <f aca="false">IF($A41="","",SUMIFS('Daily Log'!$J$4:$J$1503,'Daily Log'!$A$4:$A$1503,$A41))</f>
        <v>24</v>
      </c>
      <c r="J41" s="27" t="n">
        <f aca="false">IF($A41="","",SUMIFS('Daily Log'!$K$4:$K$1503,'Daily Log'!$A$4:$A$1503,$A41))</f>
        <v>6</v>
      </c>
      <c r="K41" s="27" t="n">
        <f aca="false">IF($A41="","",SUMIFS('Daily Log'!$L$4:$L$1503,'Daily Log'!$A$4:$A$1503,$A41))</f>
        <v>5</v>
      </c>
      <c r="L41" s="3"/>
    </row>
    <row r="42" customFormat="false" ht="15" hidden="false" customHeight="false" outlineLevel="0" collapsed="false">
      <c r="A42" s="48" t="n">
        <v>46239</v>
      </c>
      <c r="B42" s="20" t="n">
        <f aca="false">IF($A42="","",SUMIFS('Daily Log'!$C$4:$C$1503,'Daily Log'!$A$4:$A$1503,$A42))</f>
        <v>35</v>
      </c>
      <c r="C42" s="20" t="n">
        <f aca="false">IF($A42="","",SUMIFS('Daily Log'!$D$4:$D$1503,'Daily Log'!$A$4:$A$1503,$A42))</f>
        <v>29</v>
      </c>
      <c r="D42" s="22" t="n">
        <f aca="false">IF(N($B42)=0,"",$C42/$B42)</f>
        <v>0.828571428571429</v>
      </c>
      <c r="E42" s="20" t="n">
        <f aca="false">IF($A42="","",SUMIFS('Daily Log'!$E$4:$E$1503,'Daily Log'!$A$4:$A$1503,$A42))</f>
        <v>38</v>
      </c>
      <c r="F42" s="20" t="n">
        <f aca="false">IF($A42="","",SUMIFS('Daily Log'!$F$4:$F$1503,'Daily Log'!$A$4:$A$1503,$A42))</f>
        <v>32</v>
      </c>
      <c r="G42" s="22" t="n">
        <f aca="false">IF(N($E42)=0,"",$F42/$E42)</f>
        <v>0.842105263157895</v>
      </c>
      <c r="H42" s="21" t="n">
        <f aca="false">IF($A42="","",SUMIFS('Daily Log'!$G$4:$G$1503,'Daily Log'!$A$4:$A$1503,$A42))</f>
        <v>1779999</v>
      </c>
      <c r="I42" s="20" t="n">
        <f aca="false">IF($A42="","",SUMIFS('Daily Log'!$J$4:$J$1503,'Daily Log'!$A$4:$A$1503,$A42))</f>
        <v>24</v>
      </c>
      <c r="J42" s="20" t="n">
        <f aca="false">IF($A42="","",SUMIFS('Daily Log'!$K$4:$K$1503,'Daily Log'!$A$4:$A$1503,$A42))</f>
        <v>6</v>
      </c>
      <c r="K42" s="20" t="n">
        <f aca="false">IF($A42="","",SUMIFS('Daily Log'!$L$4:$L$1503,'Daily Log'!$A$4:$A$1503,$A42))</f>
        <v>5</v>
      </c>
      <c r="L42" s="3"/>
    </row>
    <row r="43" customFormat="false" ht="15" hidden="false" customHeight="false" outlineLevel="0" collapsed="false">
      <c r="A43" s="54" t="n">
        <v>46240</v>
      </c>
      <c r="B43" s="27" t="n">
        <f aca="false">IF($A43="","",SUMIFS('Daily Log'!$C$4:$C$1503,'Daily Log'!$A$4:$A$1503,$A43))</f>
        <v>35</v>
      </c>
      <c r="C43" s="27" t="n">
        <f aca="false">IF($A43="","",SUMIFS('Daily Log'!$D$4:$D$1503,'Daily Log'!$A$4:$A$1503,$A43))</f>
        <v>29</v>
      </c>
      <c r="D43" s="29" t="n">
        <f aca="false">IF(N($B43)=0,"",$C43/$B43)</f>
        <v>0.828571428571429</v>
      </c>
      <c r="E43" s="27" t="n">
        <f aca="false">IF($A43="","",SUMIFS('Daily Log'!$E$4:$E$1503,'Daily Log'!$A$4:$A$1503,$A43))</f>
        <v>38</v>
      </c>
      <c r="F43" s="27" t="n">
        <f aca="false">IF($A43="","",SUMIFS('Daily Log'!$F$4:$F$1503,'Daily Log'!$A$4:$A$1503,$A43))</f>
        <v>32</v>
      </c>
      <c r="G43" s="29" t="n">
        <f aca="false">IF(N($E43)=0,"",$F43/$E43)</f>
        <v>0.842105263157895</v>
      </c>
      <c r="H43" s="28" t="n">
        <f aca="false">IF($A43="","",SUMIFS('Daily Log'!$G$4:$G$1503,'Daily Log'!$A$4:$A$1503,$A43))</f>
        <v>1797334</v>
      </c>
      <c r="I43" s="27" t="n">
        <f aca="false">IF($A43="","",SUMIFS('Daily Log'!$J$4:$J$1503,'Daily Log'!$A$4:$A$1503,$A43))</f>
        <v>24</v>
      </c>
      <c r="J43" s="27" t="n">
        <f aca="false">IF($A43="","",SUMIFS('Daily Log'!$K$4:$K$1503,'Daily Log'!$A$4:$A$1503,$A43))</f>
        <v>6</v>
      </c>
      <c r="K43" s="27" t="n">
        <f aca="false">IF($A43="","",SUMIFS('Daily Log'!$L$4:$L$1503,'Daily Log'!$A$4:$A$1503,$A43))</f>
        <v>5</v>
      </c>
      <c r="L43" s="3"/>
    </row>
    <row r="44" customFormat="false" ht="15" hidden="false" customHeight="false" outlineLevel="0" collapsed="false">
      <c r="A44" s="48" t="n">
        <v>46241</v>
      </c>
      <c r="B44" s="20" t="n">
        <f aca="false">IF($A44="","",SUMIFS('Daily Log'!$C$4:$C$1503,'Daily Log'!$A$4:$A$1503,$A44))</f>
        <v>35</v>
      </c>
      <c r="C44" s="20" t="n">
        <f aca="false">IF($A44="","",SUMIFS('Daily Log'!$D$4:$D$1503,'Daily Log'!$A$4:$A$1503,$A44))</f>
        <v>29</v>
      </c>
      <c r="D44" s="22" t="n">
        <f aca="false">IF(N($B44)=0,"",$C44/$B44)</f>
        <v>0.828571428571429</v>
      </c>
      <c r="E44" s="20" t="n">
        <f aca="false">IF($A44="","",SUMIFS('Daily Log'!$E$4:$E$1503,'Daily Log'!$A$4:$A$1503,$A44))</f>
        <v>38</v>
      </c>
      <c r="F44" s="20" t="n">
        <f aca="false">IF($A44="","",SUMIFS('Daily Log'!$F$4:$F$1503,'Daily Log'!$A$4:$A$1503,$A44))</f>
        <v>32</v>
      </c>
      <c r="G44" s="22" t="n">
        <f aca="false">IF(N($E44)=0,"",$F44/$E44)</f>
        <v>0.842105263157895</v>
      </c>
      <c r="H44" s="21" t="n">
        <f aca="false">IF($A44="","",SUMIFS('Daily Log'!$G$4:$G$1503,'Daily Log'!$A$4:$A$1503,$A44))</f>
        <v>1814666</v>
      </c>
      <c r="I44" s="20" t="n">
        <f aca="false">IF($A44="","",SUMIFS('Daily Log'!$J$4:$J$1503,'Daily Log'!$A$4:$A$1503,$A44))</f>
        <v>24</v>
      </c>
      <c r="J44" s="20" t="n">
        <f aca="false">IF($A44="","",SUMIFS('Daily Log'!$K$4:$K$1503,'Daily Log'!$A$4:$A$1503,$A44))</f>
        <v>6</v>
      </c>
      <c r="K44" s="20" t="n">
        <f aca="false">IF($A44="","",SUMIFS('Daily Log'!$L$4:$L$1503,'Daily Log'!$A$4:$A$1503,$A44))</f>
        <v>5</v>
      </c>
      <c r="L44" s="3"/>
    </row>
    <row r="45" customFormat="false" ht="15" hidden="false" customHeight="false" outlineLevel="0" collapsed="false">
      <c r="A45" s="54" t="n">
        <v>46244</v>
      </c>
      <c r="B45" s="27" t="n">
        <f aca="false">IF($A45="","",SUMIFS('Daily Log'!$C$4:$C$1503,'Daily Log'!$A$4:$A$1503,$A45))</f>
        <v>37</v>
      </c>
      <c r="C45" s="27" t="n">
        <f aca="false">IF($A45="","",SUMIFS('Daily Log'!$D$4:$D$1503,'Daily Log'!$A$4:$A$1503,$A45))</f>
        <v>31</v>
      </c>
      <c r="D45" s="29" t="n">
        <f aca="false">IF(N($B45)=0,"",$C45/$B45)</f>
        <v>0.837837837837838</v>
      </c>
      <c r="E45" s="27" t="n">
        <f aca="false">IF($A45="","",SUMIFS('Daily Log'!$E$4:$E$1503,'Daily Log'!$A$4:$A$1503,$A45))</f>
        <v>43</v>
      </c>
      <c r="F45" s="27" t="n">
        <f aca="false">IF($A45="","",SUMIFS('Daily Log'!$F$4:$F$1503,'Daily Log'!$A$4:$A$1503,$A45))</f>
        <v>34</v>
      </c>
      <c r="G45" s="29" t="n">
        <f aca="false">IF(N($E45)=0,"",$F45/$E45)</f>
        <v>0.790697674418605</v>
      </c>
      <c r="H45" s="28" t="n">
        <f aca="false">IF($A45="","",SUMIFS('Daily Log'!$G$4:$G$1503,'Daily Log'!$A$4:$A$1503,$A45))</f>
        <v>1832000</v>
      </c>
      <c r="I45" s="27" t="n">
        <f aca="false">IF($A45="","",SUMIFS('Daily Log'!$J$4:$J$1503,'Daily Log'!$A$4:$A$1503,$A45))</f>
        <v>24</v>
      </c>
      <c r="J45" s="27" t="n">
        <f aca="false">IF($A45="","",SUMIFS('Daily Log'!$K$4:$K$1503,'Daily Log'!$A$4:$A$1503,$A45))</f>
        <v>6</v>
      </c>
      <c r="K45" s="27" t="n">
        <f aca="false">IF($A45="","",SUMIFS('Daily Log'!$L$4:$L$1503,'Daily Log'!$A$4:$A$1503,$A45))</f>
        <v>5</v>
      </c>
      <c r="L45" s="3"/>
    </row>
    <row r="46" customFormat="false" ht="15" hidden="false" customHeight="false" outlineLevel="0" collapsed="false">
      <c r="A46" s="48" t="n">
        <v>46245</v>
      </c>
      <c r="B46" s="20" t="n">
        <f aca="false">IF($A46="","",SUMIFS('Daily Log'!$C$4:$C$1503,'Daily Log'!$A$4:$A$1503,$A46))</f>
        <v>37</v>
      </c>
      <c r="C46" s="20" t="n">
        <f aca="false">IF($A46="","",SUMIFS('Daily Log'!$D$4:$D$1503,'Daily Log'!$A$4:$A$1503,$A46))</f>
        <v>31</v>
      </c>
      <c r="D46" s="22" t="n">
        <f aca="false">IF(N($B46)=0,"",$C46/$B46)</f>
        <v>0.837837837837838</v>
      </c>
      <c r="E46" s="20" t="n">
        <f aca="false">IF($A46="","",SUMIFS('Daily Log'!$E$4:$E$1503,'Daily Log'!$A$4:$A$1503,$A46))</f>
        <v>43</v>
      </c>
      <c r="F46" s="20" t="n">
        <f aca="false">IF($A46="","",SUMIFS('Daily Log'!$F$4:$F$1503,'Daily Log'!$A$4:$A$1503,$A46))</f>
        <v>34</v>
      </c>
      <c r="G46" s="22" t="n">
        <f aca="false">IF(N($E46)=0,"",$F46/$E46)</f>
        <v>0.790697674418605</v>
      </c>
      <c r="H46" s="21" t="n">
        <f aca="false">IF($A46="","",SUMIFS('Daily Log'!$G$4:$G$1503,'Daily Log'!$A$4:$A$1503,$A46))</f>
        <v>1849333</v>
      </c>
      <c r="I46" s="20" t="n">
        <f aca="false">IF($A46="","",SUMIFS('Daily Log'!$J$4:$J$1503,'Daily Log'!$A$4:$A$1503,$A46))</f>
        <v>24</v>
      </c>
      <c r="J46" s="20" t="n">
        <f aca="false">IF($A46="","",SUMIFS('Daily Log'!$K$4:$K$1503,'Daily Log'!$A$4:$A$1503,$A46))</f>
        <v>6</v>
      </c>
      <c r="K46" s="20" t="n">
        <f aca="false">IF($A46="","",SUMIFS('Daily Log'!$L$4:$L$1503,'Daily Log'!$A$4:$A$1503,$A46))</f>
        <v>5</v>
      </c>
      <c r="L46" s="3"/>
    </row>
    <row r="47" customFormat="false" ht="15" hidden="false" customHeight="false" outlineLevel="0" collapsed="false">
      <c r="A47" s="54" t="n">
        <v>46246</v>
      </c>
      <c r="B47" s="27" t="n">
        <f aca="false">IF($A47="","",SUMIFS('Daily Log'!$C$4:$C$1503,'Daily Log'!$A$4:$A$1503,$A47))</f>
        <v>37</v>
      </c>
      <c r="C47" s="27" t="n">
        <f aca="false">IF($A47="","",SUMIFS('Daily Log'!$D$4:$D$1503,'Daily Log'!$A$4:$A$1503,$A47))</f>
        <v>31</v>
      </c>
      <c r="D47" s="29" t="n">
        <f aca="false">IF(N($B47)=0,"",$C47/$B47)</f>
        <v>0.837837837837838</v>
      </c>
      <c r="E47" s="27" t="n">
        <f aca="false">IF($A47="","",SUMIFS('Daily Log'!$E$4:$E$1503,'Daily Log'!$A$4:$A$1503,$A47))</f>
        <v>43</v>
      </c>
      <c r="F47" s="27" t="n">
        <f aca="false">IF($A47="","",SUMIFS('Daily Log'!$F$4:$F$1503,'Daily Log'!$A$4:$A$1503,$A47))</f>
        <v>34</v>
      </c>
      <c r="G47" s="29" t="n">
        <f aca="false">IF(N($E47)=0,"",$F47/$E47)</f>
        <v>0.790697674418605</v>
      </c>
      <c r="H47" s="28" t="n">
        <f aca="false">IF($A47="","",SUMIFS('Daily Log'!$G$4:$G$1503,'Daily Log'!$A$4:$A$1503,$A47))</f>
        <v>1866666</v>
      </c>
      <c r="I47" s="27" t="n">
        <f aca="false">IF($A47="","",SUMIFS('Daily Log'!$J$4:$J$1503,'Daily Log'!$A$4:$A$1503,$A47))</f>
        <v>24</v>
      </c>
      <c r="J47" s="27" t="n">
        <f aca="false">IF($A47="","",SUMIFS('Daily Log'!$K$4:$K$1503,'Daily Log'!$A$4:$A$1503,$A47))</f>
        <v>6</v>
      </c>
      <c r="K47" s="27" t="n">
        <f aca="false">IF($A47="","",SUMIFS('Daily Log'!$L$4:$L$1503,'Daily Log'!$A$4:$A$1503,$A47))</f>
        <v>5</v>
      </c>
      <c r="L47" s="3"/>
    </row>
    <row r="48" customFormat="false" ht="15" hidden="false" customHeight="false" outlineLevel="0" collapsed="false">
      <c r="A48" s="48" t="n">
        <v>46247</v>
      </c>
      <c r="B48" s="20" t="n">
        <f aca="false">IF($A48="","",SUMIFS('Daily Log'!$C$4:$C$1503,'Daily Log'!$A$4:$A$1503,$A48))</f>
        <v>37</v>
      </c>
      <c r="C48" s="20" t="n">
        <f aca="false">IF($A48="","",SUMIFS('Daily Log'!$D$4:$D$1503,'Daily Log'!$A$4:$A$1503,$A48))</f>
        <v>31</v>
      </c>
      <c r="D48" s="22" t="n">
        <f aca="false">IF(N($B48)=0,"",$C48/$B48)</f>
        <v>0.837837837837838</v>
      </c>
      <c r="E48" s="20" t="n">
        <f aca="false">IF($A48="","",SUMIFS('Daily Log'!$E$4:$E$1503,'Daily Log'!$A$4:$A$1503,$A48))</f>
        <v>43</v>
      </c>
      <c r="F48" s="20" t="n">
        <f aca="false">IF($A48="","",SUMIFS('Daily Log'!$F$4:$F$1503,'Daily Log'!$A$4:$A$1503,$A48))</f>
        <v>34</v>
      </c>
      <c r="G48" s="22" t="n">
        <f aca="false">IF(N($E48)=0,"",$F48/$E48)</f>
        <v>0.790697674418605</v>
      </c>
      <c r="H48" s="21" t="n">
        <f aca="false">IF($A48="","",SUMIFS('Daily Log'!$G$4:$G$1503,'Daily Log'!$A$4:$A$1503,$A48))</f>
        <v>1883999</v>
      </c>
      <c r="I48" s="20" t="n">
        <f aca="false">IF($A48="","",SUMIFS('Daily Log'!$J$4:$J$1503,'Daily Log'!$A$4:$A$1503,$A48))</f>
        <v>24</v>
      </c>
      <c r="J48" s="20" t="n">
        <f aca="false">IF($A48="","",SUMIFS('Daily Log'!$K$4:$K$1503,'Daily Log'!$A$4:$A$1503,$A48))</f>
        <v>6</v>
      </c>
      <c r="K48" s="20" t="n">
        <f aca="false">IF($A48="","",SUMIFS('Daily Log'!$L$4:$L$1503,'Daily Log'!$A$4:$A$1503,$A48))</f>
        <v>5</v>
      </c>
      <c r="L48" s="3"/>
    </row>
    <row r="49" customFormat="false" ht="15" hidden="false" customHeight="false" outlineLevel="0" collapsed="false">
      <c r="A49" s="54" t="n">
        <v>46248</v>
      </c>
      <c r="B49" s="27" t="n">
        <f aca="false">IF($A49="","",SUMIFS('Daily Log'!$C$4:$C$1503,'Daily Log'!$A$4:$A$1503,$A49))</f>
        <v>37</v>
      </c>
      <c r="C49" s="27" t="n">
        <f aca="false">IF($A49="","",SUMIFS('Daily Log'!$D$4:$D$1503,'Daily Log'!$A$4:$A$1503,$A49))</f>
        <v>31</v>
      </c>
      <c r="D49" s="29" t="n">
        <f aca="false">IF(N($B49)=0,"",$C49/$B49)</f>
        <v>0.837837837837838</v>
      </c>
      <c r="E49" s="27" t="n">
        <f aca="false">IF($A49="","",SUMIFS('Daily Log'!$E$4:$E$1503,'Daily Log'!$A$4:$A$1503,$A49))</f>
        <v>43</v>
      </c>
      <c r="F49" s="27" t="n">
        <f aca="false">IF($A49="","",SUMIFS('Daily Log'!$F$4:$F$1503,'Daily Log'!$A$4:$A$1503,$A49))</f>
        <v>34</v>
      </c>
      <c r="G49" s="29" t="n">
        <f aca="false">IF(N($E49)=0,"",$F49/$E49)</f>
        <v>0.790697674418605</v>
      </c>
      <c r="H49" s="28" t="n">
        <f aca="false">IF($A49="","",SUMIFS('Daily Log'!$G$4:$G$1503,'Daily Log'!$A$4:$A$1503,$A49))</f>
        <v>1901332</v>
      </c>
      <c r="I49" s="27" t="n">
        <f aca="false">IF($A49="","",SUMIFS('Daily Log'!$J$4:$J$1503,'Daily Log'!$A$4:$A$1503,$A49))</f>
        <v>24</v>
      </c>
      <c r="J49" s="27" t="n">
        <f aca="false">IF($A49="","",SUMIFS('Daily Log'!$K$4:$K$1503,'Daily Log'!$A$4:$A$1503,$A49))</f>
        <v>6</v>
      </c>
      <c r="K49" s="27" t="n">
        <f aca="false">IF($A49="","",SUMIFS('Daily Log'!$L$4:$L$1503,'Daily Log'!$A$4:$A$1503,$A49))</f>
        <v>5</v>
      </c>
      <c r="L49" s="3"/>
    </row>
    <row r="50" customFormat="false" ht="15" hidden="false" customHeight="false" outlineLevel="0" collapsed="false">
      <c r="A50" s="48" t="n">
        <v>46251</v>
      </c>
      <c r="B50" s="20" t="n">
        <f aca="false">IF($A50="","",SUMIFS('Daily Log'!$C$4:$C$1503,'Daily Log'!$A$4:$A$1503,$A50))</f>
        <v>40</v>
      </c>
      <c r="C50" s="20" t="n">
        <f aca="false">IF($A50="","",SUMIFS('Daily Log'!$D$4:$D$1503,'Daily Log'!$A$4:$A$1503,$A50))</f>
        <v>33</v>
      </c>
      <c r="D50" s="22" t="n">
        <f aca="false">IF(N($B50)=0,"",$C50/$B50)</f>
        <v>0.825</v>
      </c>
      <c r="E50" s="20" t="n">
        <f aca="false">IF($A50="","",SUMIFS('Daily Log'!$E$4:$E$1503,'Daily Log'!$A$4:$A$1503,$A50))</f>
        <v>43</v>
      </c>
      <c r="F50" s="20" t="n">
        <f aca="false">IF($A50="","",SUMIFS('Daily Log'!$F$4:$F$1503,'Daily Log'!$A$4:$A$1503,$A50))</f>
        <v>37</v>
      </c>
      <c r="G50" s="22" t="n">
        <f aca="false">IF(N($E50)=0,"",$F50/$E50)</f>
        <v>0.86046511627907</v>
      </c>
      <c r="H50" s="21" t="n">
        <f aca="false">IF($A50="","",SUMIFS('Daily Log'!$G$4:$G$1503,'Daily Log'!$A$4:$A$1503,$A50))</f>
        <v>1918668</v>
      </c>
      <c r="I50" s="20" t="n">
        <f aca="false">IF($A50="","",SUMIFS('Daily Log'!$J$4:$J$1503,'Daily Log'!$A$4:$A$1503,$A50))</f>
        <v>22</v>
      </c>
      <c r="J50" s="20" t="n">
        <f aca="false">IF($A50="","",SUMIFS('Daily Log'!$K$4:$K$1503,'Daily Log'!$A$4:$A$1503,$A50))</f>
        <v>4</v>
      </c>
      <c r="K50" s="20" t="n">
        <f aca="false">IF($A50="","",SUMIFS('Daily Log'!$L$4:$L$1503,'Daily Log'!$A$4:$A$1503,$A50))</f>
        <v>7</v>
      </c>
      <c r="L50" s="3"/>
    </row>
    <row r="51" customFormat="false" ht="15" hidden="false" customHeight="false" outlineLevel="0" collapsed="false">
      <c r="A51" s="54" t="n">
        <v>46252</v>
      </c>
      <c r="B51" s="27" t="n">
        <f aca="false">IF($A51="","",SUMIFS('Daily Log'!$C$4:$C$1503,'Daily Log'!$A$4:$A$1503,$A51))</f>
        <v>40</v>
      </c>
      <c r="C51" s="27" t="n">
        <f aca="false">IF($A51="","",SUMIFS('Daily Log'!$D$4:$D$1503,'Daily Log'!$A$4:$A$1503,$A51))</f>
        <v>33</v>
      </c>
      <c r="D51" s="29" t="n">
        <f aca="false">IF(N($B51)=0,"",$C51/$B51)</f>
        <v>0.825</v>
      </c>
      <c r="E51" s="27" t="n">
        <f aca="false">IF($A51="","",SUMIFS('Daily Log'!$E$4:$E$1503,'Daily Log'!$A$4:$A$1503,$A51))</f>
        <v>43</v>
      </c>
      <c r="F51" s="27" t="n">
        <f aca="false">IF($A51="","",SUMIFS('Daily Log'!$F$4:$F$1503,'Daily Log'!$A$4:$A$1503,$A51))</f>
        <v>37</v>
      </c>
      <c r="G51" s="29" t="n">
        <f aca="false">IF(N($E51)=0,"",$F51/$E51)</f>
        <v>0.86046511627907</v>
      </c>
      <c r="H51" s="28" t="n">
        <f aca="false">IF($A51="","",SUMIFS('Daily Log'!$G$4:$G$1503,'Daily Log'!$A$4:$A$1503,$A51))</f>
        <v>1936001</v>
      </c>
      <c r="I51" s="27" t="n">
        <f aca="false">IF($A51="","",SUMIFS('Daily Log'!$J$4:$J$1503,'Daily Log'!$A$4:$A$1503,$A51))</f>
        <v>22</v>
      </c>
      <c r="J51" s="27" t="n">
        <f aca="false">IF($A51="","",SUMIFS('Daily Log'!$K$4:$K$1503,'Daily Log'!$A$4:$A$1503,$A51))</f>
        <v>4</v>
      </c>
      <c r="K51" s="27" t="n">
        <f aca="false">IF($A51="","",SUMIFS('Daily Log'!$L$4:$L$1503,'Daily Log'!$A$4:$A$1503,$A51))</f>
        <v>7</v>
      </c>
      <c r="L51" s="3"/>
    </row>
    <row r="52" customFormat="false" ht="15" hidden="false" customHeight="false" outlineLevel="0" collapsed="false">
      <c r="A52" s="48" t="n">
        <v>46253</v>
      </c>
      <c r="B52" s="20" t="n">
        <f aca="false">IF($A52="","",SUMIFS('Daily Log'!$C$4:$C$1503,'Daily Log'!$A$4:$A$1503,$A52))</f>
        <v>40</v>
      </c>
      <c r="C52" s="20" t="n">
        <f aca="false">IF($A52="","",SUMIFS('Daily Log'!$D$4:$D$1503,'Daily Log'!$A$4:$A$1503,$A52))</f>
        <v>33</v>
      </c>
      <c r="D52" s="22" t="n">
        <f aca="false">IF(N($B52)=0,"",$C52/$B52)</f>
        <v>0.825</v>
      </c>
      <c r="E52" s="20" t="n">
        <f aca="false">IF($A52="","",SUMIFS('Daily Log'!$E$4:$E$1503,'Daily Log'!$A$4:$A$1503,$A52))</f>
        <v>43</v>
      </c>
      <c r="F52" s="20" t="n">
        <f aca="false">IF($A52="","",SUMIFS('Daily Log'!$F$4:$F$1503,'Daily Log'!$A$4:$A$1503,$A52))</f>
        <v>37</v>
      </c>
      <c r="G52" s="22" t="n">
        <f aca="false">IF(N($E52)=0,"",$F52/$E52)</f>
        <v>0.86046511627907</v>
      </c>
      <c r="H52" s="21" t="n">
        <f aca="false">IF($A52="","",SUMIFS('Daily Log'!$G$4:$G$1503,'Daily Log'!$A$4:$A$1503,$A52))</f>
        <v>1953334</v>
      </c>
      <c r="I52" s="20" t="n">
        <f aca="false">IF($A52="","",SUMIFS('Daily Log'!$J$4:$J$1503,'Daily Log'!$A$4:$A$1503,$A52))</f>
        <v>22</v>
      </c>
      <c r="J52" s="20" t="n">
        <f aca="false">IF($A52="","",SUMIFS('Daily Log'!$K$4:$K$1503,'Daily Log'!$A$4:$A$1503,$A52))</f>
        <v>4</v>
      </c>
      <c r="K52" s="20" t="n">
        <f aca="false">IF($A52="","",SUMIFS('Daily Log'!$L$4:$L$1503,'Daily Log'!$A$4:$A$1503,$A52))</f>
        <v>7</v>
      </c>
      <c r="L52" s="3"/>
    </row>
    <row r="53" customFormat="false" ht="15" hidden="false" customHeight="false" outlineLevel="0" collapsed="false">
      <c r="A53" s="54" t="n">
        <v>46254</v>
      </c>
      <c r="B53" s="27" t="n">
        <f aca="false">IF($A53="","",SUMIFS('Daily Log'!$C$4:$C$1503,'Daily Log'!$A$4:$A$1503,$A53))</f>
        <v>40</v>
      </c>
      <c r="C53" s="27" t="n">
        <f aca="false">IF($A53="","",SUMIFS('Daily Log'!$D$4:$D$1503,'Daily Log'!$A$4:$A$1503,$A53))</f>
        <v>33</v>
      </c>
      <c r="D53" s="29" t="n">
        <f aca="false">IF(N($B53)=0,"",$C53/$B53)</f>
        <v>0.825</v>
      </c>
      <c r="E53" s="27" t="n">
        <f aca="false">IF($A53="","",SUMIFS('Daily Log'!$E$4:$E$1503,'Daily Log'!$A$4:$A$1503,$A53))</f>
        <v>43</v>
      </c>
      <c r="F53" s="27" t="n">
        <f aca="false">IF($A53="","",SUMIFS('Daily Log'!$F$4:$F$1503,'Daily Log'!$A$4:$A$1503,$A53))</f>
        <v>37</v>
      </c>
      <c r="G53" s="29" t="n">
        <f aca="false">IF(N($E53)=0,"",$F53/$E53)</f>
        <v>0.86046511627907</v>
      </c>
      <c r="H53" s="28" t="n">
        <f aca="false">IF($A53="","",SUMIFS('Daily Log'!$G$4:$G$1503,'Daily Log'!$A$4:$A$1503,$A53))</f>
        <v>1970667</v>
      </c>
      <c r="I53" s="27" t="n">
        <f aca="false">IF($A53="","",SUMIFS('Daily Log'!$J$4:$J$1503,'Daily Log'!$A$4:$A$1503,$A53))</f>
        <v>22</v>
      </c>
      <c r="J53" s="27" t="n">
        <f aca="false">IF($A53="","",SUMIFS('Daily Log'!$K$4:$K$1503,'Daily Log'!$A$4:$A$1503,$A53))</f>
        <v>4</v>
      </c>
      <c r="K53" s="27" t="n">
        <f aca="false">IF($A53="","",SUMIFS('Daily Log'!$L$4:$L$1503,'Daily Log'!$A$4:$A$1503,$A53))</f>
        <v>7</v>
      </c>
      <c r="L53" s="3"/>
    </row>
    <row r="54" customFormat="false" ht="15" hidden="false" customHeight="false" outlineLevel="0" collapsed="false">
      <c r="A54" s="48" t="n">
        <v>46255</v>
      </c>
      <c r="B54" s="20" t="n">
        <f aca="false">IF($A54="","",SUMIFS('Daily Log'!$C$4:$C$1503,'Daily Log'!$A$4:$A$1503,$A54))</f>
        <v>40</v>
      </c>
      <c r="C54" s="20" t="n">
        <f aca="false">IF($A54="","",SUMIFS('Daily Log'!$D$4:$D$1503,'Daily Log'!$A$4:$A$1503,$A54))</f>
        <v>33</v>
      </c>
      <c r="D54" s="22" t="n">
        <f aca="false">IF(N($B54)=0,"",$C54/$B54)</f>
        <v>0.825</v>
      </c>
      <c r="E54" s="20" t="n">
        <f aca="false">IF($A54="","",SUMIFS('Daily Log'!$E$4:$E$1503,'Daily Log'!$A$4:$A$1503,$A54))</f>
        <v>43</v>
      </c>
      <c r="F54" s="20" t="n">
        <f aca="false">IF($A54="","",SUMIFS('Daily Log'!$F$4:$F$1503,'Daily Log'!$A$4:$A$1503,$A54))</f>
        <v>37</v>
      </c>
      <c r="G54" s="22" t="n">
        <f aca="false">IF(N($E54)=0,"",$F54/$E54)</f>
        <v>0.86046511627907</v>
      </c>
      <c r="H54" s="21" t="n">
        <f aca="false">IF($A54="","",SUMIFS('Daily Log'!$G$4:$G$1503,'Daily Log'!$A$4:$A$1503,$A54))</f>
        <v>1988000</v>
      </c>
      <c r="I54" s="20" t="n">
        <f aca="false">IF($A54="","",SUMIFS('Daily Log'!$J$4:$J$1503,'Daily Log'!$A$4:$A$1503,$A54))</f>
        <v>22</v>
      </c>
      <c r="J54" s="20" t="n">
        <f aca="false">IF($A54="","",SUMIFS('Daily Log'!$K$4:$K$1503,'Daily Log'!$A$4:$A$1503,$A54))</f>
        <v>4</v>
      </c>
      <c r="K54" s="20" t="n">
        <f aca="false">IF($A54="","",SUMIFS('Daily Log'!$L$4:$L$1503,'Daily Log'!$A$4:$A$1503,$A54))</f>
        <v>7</v>
      </c>
      <c r="L54" s="3"/>
    </row>
    <row r="55" customFormat="false" ht="15" hidden="false" customHeight="false" outlineLevel="0" collapsed="false">
      <c r="A55" s="54" t="n">
        <v>46258</v>
      </c>
      <c r="B55" s="27" t="n">
        <f aca="false">IF($A55="","",SUMIFS('Daily Log'!$C$4:$C$1503,'Daily Log'!$A$4:$A$1503,$A55))</f>
        <v>42</v>
      </c>
      <c r="C55" s="27" t="n">
        <f aca="false">IF($A55="","",SUMIFS('Daily Log'!$D$4:$D$1503,'Daily Log'!$A$4:$A$1503,$A55))</f>
        <v>35</v>
      </c>
      <c r="D55" s="29" t="n">
        <f aca="false">IF(N($B55)=0,"",$C55/$B55)</f>
        <v>0.833333333333333</v>
      </c>
      <c r="E55" s="27" t="n">
        <f aca="false">IF($A55="","",SUMIFS('Daily Log'!$E$4:$E$1503,'Daily Log'!$A$4:$A$1503,$A55))</f>
        <v>48</v>
      </c>
      <c r="F55" s="27" t="n">
        <f aca="false">IF($A55="","",SUMIFS('Daily Log'!$F$4:$F$1503,'Daily Log'!$A$4:$A$1503,$A55))</f>
        <v>39</v>
      </c>
      <c r="G55" s="29" t="n">
        <f aca="false">IF(N($E55)=0,"",$F55/$E55)</f>
        <v>0.8125</v>
      </c>
      <c r="H55" s="28" t="n">
        <f aca="false">IF($A55="","",SUMIFS('Daily Log'!$G$4:$G$1503,'Daily Log'!$A$4:$A$1503,$A55))</f>
        <v>2005334</v>
      </c>
      <c r="I55" s="27" t="n">
        <f aca="false">IF($A55="","",SUMIFS('Daily Log'!$J$4:$J$1503,'Daily Log'!$A$4:$A$1503,$A55))</f>
        <v>22</v>
      </c>
      <c r="J55" s="27" t="n">
        <f aca="false">IF($A55="","",SUMIFS('Daily Log'!$K$4:$K$1503,'Daily Log'!$A$4:$A$1503,$A55))</f>
        <v>4</v>
      </c>
      <c r="K55" s="27" t="n">
        <f aca="false">IF($A55="","",SUMIFS('Daily Log'!$L$4:$L$1503,'Daily Log'!$A$4:$A$1503,$A55))</f>
        <v>7</v>
      </c>
      <c r="L55" s="3"/>
    </row>
    <row r="56" customFormat="false" ht="15" hidden="false" customHeight="false" outlineLevel="0" collapsed="false">
      <c r="A56" s="48" t="n">
        <v>46259</v>
      </c>
      <c r="B56" s="20" t="n">
        <f aca="false">IF($A56="","",SUMIFS('Daily Log'!$C$4:$C$1503,'Daily Log'!$A$4:$A$1503,$A56))</f>
        <v>42</v>
      </c>
      <c r="C56" s="20" t="n">
        <f aca="false">IF($A56="","",SUMIFS('Daily Log'!$D$4:$D$1503,'Daily Log'!$A$4:$A$1503,$A56))</f>
        <v>35</v>
      </c>
      <c r="D56" s="22" t="n">
        <f aca="false">IF(N($B56)=0,"",$C56/$B56)</f>
        <v>0.833333333333333</v>
      </c>
      <c r="E56" s="20" t="n">
        <f aca="false">IF($A56="","",SUMIFS('Daily Log'!$E$4:$E$1503,'Daily Log'!$A$4:$A$1503,$A56))</f>
        <v>48</v>
      </c>
      <c r="F56" s="20" t="n">
        <f aca="false">IF($A56="","",SUMIFS('Daily Log'!$F$4:$F$1503,'Daily Log'!$A$4:$A$1503,$A56))</f>
        <v>39</v>
      </c>
      <c r="G56" s="22" t="n">
        <f aca="false">IF(N($E56)=0,"",$F56/$E56)</f>
        <v>0.8125</v>
      </c>
      <c r="H56" s="21" t="n">
        <f aca="false">IF($A56="","",SUMIFS('Daily Log'!$G$4:$G$1503,'Daily Log'!$A$4:$A$1503,$A56))</f>
        <v>2022666</v>
      </c>
      <c r="I56" s="20" t="n">
        <f aca="false">IF($A56="","",SUMIFS('Daily Log'!$J$4:$J$1503,'Daily Log'!$A$4:$A$1503,$A56))</f>
        <v>22</v>
      </c>
      <c r="J56" s="20" t="n">
        <f aca="false">IF($A56="","",SUMIFS('Daily Log'!$K$4:$K$1503,'Daily Log'!$A$4:$A$1503,$A56))</f>
        <v>4</v>
      </c>
      <c r="K56" s="20" t="n">
        <f aca="false">IF($A56="","",SUMIFS('Daily Log'!$L$4:$L$1503,'Daily Log'!$A$4:$A$1503,$A56))</f>
        <v>7</v>
      </c>
      <c r="L56" s="3"/>
    </row>
    <row r="57" customFormat="false" ht="15" hidden="false" customHeight="false" outlineLevel="0" collapsed="false">
      <c r="A57" s="54" t="n">
        <v>46260</v>
      </c>
      <c r="B57" s="27" t="n">
        <f aca="false">IF($A57="","",SUMIFS('Daily Log'!$C$4:$C$1503,'Daily Log'!$A$4:$A$1503,$A57))</f>
        <v>42</v>
      </c>
      <c r="C57" s="27" t="n">
        <f aca="false">IF($A57="","",SUMIFS('Daily Log'!$D$4:$D$1503,'Daily Log'!$A$4:$A$1503,$A57))</f>
        <v>35</v>
      </c>
      <c r="D57" s="29" t="n">
        <f aca="false">IF(N($B57)=0,"",$C57/$B57)</f>
        <v>0.833333333333333</v>
      </c>
      <c r="E57" s="27" t="n">
        <f aca="false">IF($A57="","",SUMIFS('Daily Log'!$E$4:$E$1503,'Daily Log'!$A$4:$A$1503,$A57))</f>
        <v>48</v>
      </c>
      <c r="F57" s="27" t="n">
        <f aca="false">IF($A57="","",SUMIFS('Daily Log'!$F$4:$F$1503,'Daily Log'!$A$4:$A$1503,$A57))</f>
        <v>39</v>
      </c>
      <c r="G57" s="29" t="n">
        <f aca="false">IF(N($E57)=0,"",$F57/$E57)</f>
        <v>0.8125</v>
      </c>
      <c r="H57" s="28" t="n">
        <f aca="false">IF($A57="","",SUMIFS('Daily Log'!$G$4:$G$1503,'Daily Log'!$A$4:$A$1503,$A57))</f>
        <v>2040001</v>
      </c>
      <c r="I57" s="27" t="n">
        <f aca="false">IF($A57="","",SUMIFS('Daily Log'!$J$4:$J$1503,'Daily Log'!$A$4:$A$1503,$A57))</f>
        <v>22</v>
      </c>
      <c r="J57" s="27" t="n">
        <f aca="false">IF($A57="","",SUMIFS('Daily Log'!$K$4:$K$1503,'Daily Log'!$A$4:$A$1503,$A57))</f>
        <v>4</v>
      </c>
      <c r="K57" s="27" t="n">
        <f aca="false">IF($A57="","",SUMIFS('Daily Log'!$L$4:$L$1503,'Daily Log'!$A$4:$A$1503,$A57))</f>
        <v>7</v>
      </c>
      <c r="L57" s="3"/>
    </row>
    <row r="58" customFormat="false" ht="15" hidden="false" customHeight="false" outlineLevel="0" collapsed="false">
      <c r="A58" s="48" t="n">
        <v>46261</v>
      </c>
      <c r="B58" s="20" t="n">
        <f aca="false">IF($A58="","",SUMIFS('Daily Log'!$C$4:$C$1503,'Daily Log'!$A$4:$A$1503,$A58))</f>
        <v>42</v>
      </c>
      <c r="C58" s="20" t="n">
        <f aca="false">IF($A58="","",SUMIFS('Daily Log'!$D$4:$D$1503,'Daily Log'!$A$4:$A$1503,$A58))</f>
        <v>35</v>
      </c>
      <c r="D58" s="22" t="n">
        <f aca="false">IF(N($B58)=0,"",$C58/$B58)</f>
        <v>0.833333333333333</v>
      </c>
      <c r="E58" s="20" t="n">
        <f aca="false">IF($A58="","",SUMIFS('Daily Log'!$E$4:$E$1503,'Daily Log'!$A$4:$A$1503,$A58))</f>
        <v>48</v>
      </c>
      <c r="F58" s="20" t="n">
        <f aca="false">IF($A58="","",SUMIFS('Daily Log'!$F$4:$F$1503,'Daily Log'!$A$4:$A$1503,$A58))</f>
        <v>39</v>
      </c>
      <c r="G58" s="22" t="n">
        <f aca="false">IF(N($E58)=0,"",$F58/$E58)</f>
        <v>0.8125</v>
      </c>
      <c r="H58" s="21" t="n">
        <f aca="false">IF($A58="","",SUMIFS('Daily Log'!$G$4:$G$1503,'Daily Log'!$A$4:$A$1503,$A58))</f>
        <v>2057334</v>
      </c>
      <c r="I58" s="20" t="n">
        <f aca="false">IF($A58="","",SUMIFS('Daily Log'!$J$4:$J$1503,'Daily Log'!$A$4:$A$1503,$A58))</f>
        <v>22</v>
      </c>
      <c r="J58" s="20" t="n">
        <f aca="false">IF($A58="","",SUMIFS('Daily Log'!$K$4:$K$1503,'Daily Log'!$A$4:$A$1503,$A58))</f>
        <v>4</v>
      </c>
      <c r="K58" s="20" t="n">
        <f aca="false">IF($A58="","",SUMIFS('Daily Log'!$L$4:$L$1503,'Daily Log'!$A$4:$A$1503,$A58))</f>
        <v>7</v>
      </c>
      <c r="L58" s="3"/>
    </row>
    <row r="59" customFormat="false" ht="15" hidden="false" customHeight="false" outlineLevel="0" collapsed="false">
      <c r="A59" s="54" t="n">
        <v>46262</v>
      </c>
      <c r="B59" s="27" t="n">
        <f aca="false">IF($A59="","",SUMIFS('Daily Log'!$C$4:$C$1503,'Daily Log'!$A$4:$A$1503,$A59))</f>
        <v>42</v>
      </c>
      <c r="C59" s="27" t="n">
        <f aca="false">IF($A59="","",SUMIFS('Daily Log'!$D$4:$D$1503,'Daily Log'!$A$4:$A$1503,$A59))</f>
        <v>35</v>
      </c>
      <c r="D59" s="29" t="n">
        <f aca="false">IF(N($B59)=0,"",$C59/$B59)</f>
        <v>0.833333333333333</v>
      </c>
      <c r="E59" s="27" t="n">
        <f aca="false">IF($A59="","",SUMIFS('Daily Log'!$E$4:$E$1503,'Daily Log'!$A$4:$A$1503,$A59))</f>
        <v>48</v>
      </c>
      <c r="F59" s="27" t="n">
        <f aca="false">IF($A59="","",SUMIFS('Daily Log'!$F$4:$F$1503,'Daily Log'!$A$4:$A$1503,$A59))</f>
        <v>39</v>
      </c>
      <c r="G59" s="29" t="n">
        <f aca="false">IF(N($E59)=0,"",$F59/$E59)</f>
        <v>0.8125</v>
      </c>
      <c r="H59" s="28" t="n">
        <f aca="false">IF($A59="","",SUMIFS('Daily Log'!$G$4:$G$1503,'Daily Log'!$A$4:$A$1503,$A59))</f>
        <v>2074668</v>
      </c>
      <c r="I59" s="27" t="n">
        <f aca="false">IF($A59="","",SUMIFS('Daily Log'!$J$4:$J$1503,'Daily Log'!$A$4:$A$1503,$A59))</f>
        <v>22</v>
      </c>
      <c r="J59" s="27" t="n">
        <f aca="false">IF($A59="","",SUMIFS('Daily Log'!$K$4:$K$1503,'Daily Log'!$A$4:$A$1503,$A59))</f>
        <v>4</v>
      </c>
      <c r="K59" s="27" t="n">
        <f aca="false">IF($A59="","",SUMIFS('Daily Log'!$L$4:$L$1503,'Daily Log'!$A$4:$A$1503,$A59))</f>
        <v>7</v>
      </c>
      <c r="L59" s="3"/>
    </row>
    <row r="60" customFormat="false" ht="15" hidden="false" customHeight="false" outlineLevel="0" collapsed="false">
      <c r="A60" s="48" t="n">
        <v>46265</v>
      </c>
      <c r="B60" s="20" t="n">
        <f aca="false">IF($A60="","",SUMIFS('Daily Log'!$C$4:$C$1503,'Daily Log'!$A$4:$A$1503,$A60))</f>
        <v>42</v>
      </c>
      <c r="C60" s="20" t="n">
        <f aca="false">IF($A60="","",SUMIFS('Daily Log'!$D$4:$D$1503,'Daily Log'!$A$4:$A$1503,$A60))</f>
        <v>35</v>
      </c>
      <c r="D60" s="22" t="n">
        <f aca="false">IF(N($B60)=0,"",$C60/$B60)</f>
        <v>0.833333333333333</v>
      </c>
      <c r="E60" s="20" t="n">
        <f aca="false">IF($A60="","",SUMIFS('Daily Log'!$E$4:$E$1503,'Daily Log'!$A$4:$A$1503,$A60))</f>
        <v>48</v>
      </c>
      <c r="F60" s="20" t="n">
        <f aca="false">IF($A60="","",SUMIFS('Daily Log'!$F$4:$F$1503,'Daily Log'!$A$4:$A$1503,$A60))</f>
        <v>39</v>
      </c>
      <c r="G60" s="22" t="n">
        <f aca="false">IF(N($E60)=0,"",$F60/$E60)</f>
        <v>0.8125</v>
      </c>
      <c r="H60" s="21" t="n">
        <f aca="false">IF($A60="","",SUMIFS('Daily Log'!$G$4:$G$1503,'Daily Log'!$A$4:$A$1503,$A60))</f>
        <v>2092000</v>
      </c>
      <c r="I60" s="20" t="n">
        <f aca="false">IF($A60="","",SUMIFS('Daily Log'!$J$4:$J$1503,'Daily Log'!$A$4:$A$1503,$A60))</f>
        <v>22</v>
      </c>
      <c r="J60" s="20" t="n">
        <f aca="false">IF($A60="","",SUMIFS('Daily Log'!$K$4:$K$1503,'Daily Log'!$A$4:$A$1503,$A60))</f>
        <v>4</v>
      </c>
      <c r="K60" s="20" t="n">
        <f aca="false">IF($A60="","",SUMIFS('Daily Log'!$L$4:$L$1503,'Daily Log'!$A$4:$A$1503,$A60))</f>
        <v>7</v>
      </c>
      <c r="L60" s="3"/>
    </row>
    <row r="61" customFormat="false" ht="15" hidden="false" customHeight="false" outlineLevel="0" collapsed="false">
      <c r="A61" s="54"/>
      <c r="B61" s="27" t="str">
        <f aca="false">IF($A61="","",SUMIFS('Daily Log'!$C$4:$C$1503,'Daily Log'!$A$4:$A$1503,$A61))</f>
        <v/>
      </c>
      <c r="C61" s="27" t="str">
        <f aca="false">IF($A61="","",SUMIFS('Daily Log'!$D$4:$D$1503,'Daily Log'!$A$4:$A$1503,$A61))</f>
        <v/>
      </c>
      <c r="D61" s="29" t="str">
        <f aca="false">IF(N($B61)=0,"",$C61/$B61)</f>
        <v/>
      </c>
      <c r="E61" s="27" t="str">
        <f aca="false">IF($A61="","",SUMIFS('Daily Log'!$E$4:$E$1503,'Daily Log'!$A$4:$A$1503,$A61))</f>
        <v/>
      </c>
      <c r="F61" s="27" t="str">
        <f aca="false">IF($A61="","",SUMIFS('Daily Log'!$F$4:$F$1503,'Daily Log'!$A$4:$A$1503,$A61))</f>
        <v/>
      </c>
      <c r="G61" s="29" t="str">
        <f aca="false">IF(N($E61)=0,"",$F61/$E61)</f>
        <v/>
      </c>
      <c r="H61" s="28" t="str">
        <f aca="false">IF($A61="","",SUMIFS('Daily Log'!$G$4:$G$1503,'Daily Log'!$A$4:$A$1503,$A61))</f>
        <v/>
      </c>
      <c r="I61" s="27" t="str">
        <f aca="false">IF($A61="","",SUMIFS('Daily Log'!$J$4:$J$1503,'Daily Log'!$A$4:$A$1503,$A61))</f>
        <v/>
      </c>
      <c r="J61" s="27" t="str">
        <f aca="false">IF($A61="","",SUMIFS('Daily Log'!$K$4:$K$1503,'Daily Log'!$A$4:$A$1503,$A61))</f>
        <v/>
      </c>
      <c r="K61" s="27" t="str">
        <f aca="false">IF($A61="","",SUMIFS('Daily Log'!$L$4:$L$1503,'Daily Log'!$A$4:$A$1503,$A61))</f>
        <v/>
      </c>
      <c r="L61" s="3"/>
    </row>
    <row r="62" customFormat="false" ht="15" hidden="false" customHeight="false" outlineLevel="0" collapsed="false">
      <c r="A62" s="48"/>
      <c r="B62" s="20" t="str">
        <f aca="false">IF($A62="","",SUMIFS('Daily Log'!$C$4:$C$1503,'Daily Log'!$A$4:$A$1503,$A62))</f>
        <v/>
      </c>
      <c r="C62" s="20" t="str">
        <f aca="false">IF($A62="","",SUMIFS('Daily Log'!$D$4:$D$1503,'Daily Log'!$A$4:$A$1503,$A62))</f>
        <v/>
      </c>
      <c r="D62" s="22" t="str">
        <f aca="false">IF(N($B62)=0,"",$C62/$B62)</f>
        <v/>
      </c>
      <c r="E62" s="20" t="str">
        <f aca="false">IF($A62="","",SUMIFS('Daily Log'!$E$4:$E$1503,'Daily Log'!$A$4:$A$1503,$A62))</f>
        <v/>
      </c>
      <c r="F62" s="20" t="str">
        <f aca="false">IF($A62="","",SUMIFS('Daily Log'!$F$4:$F$1503,'Daily Log'!$A$4:$A$1503,$A62))</f>
        <v/>
      </c>
      <c r="G62" s="22" t="str">
        <f aca="false">IF(N($E62)=0,"",$F62/$E62)</f>
        <v/>
      </c>
      <c r="H62" s="21" t="str">
        <f aca="false">IF($A62="","",SUMIFS('Daily Log'!$G$4:$G$1503,'Daily Log'!$A$4:$A$1503,$A62))</f>
        <v/>
      </c>
      <c r="I62" s="20" t="str">
        <f aca="false">IF($A62="","",SUMIFS('Daily Log'!$J$4:$J$1503,'Daily Log'!$A$4:$A$1503,$A62))</f>
        <v/>
      </c>
      <c r="J62" s="20" t="str">
        <f aca="false">IF($A62="","",SUMIFS('Daily Log'!$K$4:$K$1503,'Daily Log'!$A$4:$A$1503,$A62))</f>
        <v/>
      </c>
      <c r="K62" s="20" t="str">
        <f aca="false">IF($A62="","",SUMIFS('Daily Log'!$L$4:$L$1503,'Daily Log'!$A$4:$A$1503,$A62))</f>
        <v/>
      </c>
      <c r="L62" s="3"/>
    </row>
    <row r="63" customFormat="false" ht="15" hidden="false" customHeight="false" outlineLevel="0" collapsed="false">
      <c r="A63" s="54"/>
      <c r="B63" s="27" t="str">
        <f aca="false">IF($A63="","",SUMIFS('Daily Log'!$C$4:$C$1503,'Daily Log'!$A$4:$A$1503,$A63))</f>
        <v/>
      </c>
      <c r="C63" s="27" t="str">
        <f aca="false">IF($A63="","",SUMIFS('Daily Log'!$D$4:$D$1503,'Daily Log'!$A$4:$A$1503,$A63))</f>
        <v/>
      </c>
      <c r="D63" s="29" t="str">
        <f aca="false">IF(N($B63)=0,"",$C63/$B63)</f>
        <v/>
      </c>
      <c r="E63" s="27" t="str">
        <f aca="false">IF($A63="","",SUMIFS('Daily Log'!$E$4:$E$1503,'Daily Log'!$A$4:$A$1503,$A63))</f>
        <v/>
      </c>
      <c r="F63" s="27" t="str">
        <f aca="false">IF($A63="","",SUMIFS('Daily Log'!$F$4:$F$1503,'Daily Log'!$A$4:$A$1503,$A63))</f>
        <v/>
      </c>
      <c r="G63" s="29" t="str">
        <f aca="false">IF(N($E63)=0,"",$F63/$E63)</f>
        <v/>
      </c>
      <c r="H63" s="28" t="str">
        <f aca="false">IF($A63="","",SUMIFS('Daily Log'!$G$4:$G$1503,'Daily Log'!$A$4:$A$1503,$A63))</f>
        <v/>
      </c>
      <c r="I63" s="27" t="str">
        <f aca="false">IF($A63="","",SUMIFS('Daily Log'!$J$4:$J$1503,'Daily Log'!$A$4:$A$1503,$A63))</f>
        <v/>
      </c>
      <c r="J63" s="27" t="str">
        <f aca="false">IF($A63="","",SUMIFS('Daily Log'!$K$4:$K$1503,'Daily Log'!$A$4:$A$1503,$A63))</f>
        <v/>
      </c>
      <c r="K63" s="27" t="str">
        <f aca="false">IF($A63="","",SUMIFS('Daily Log'!$L$4:$L$1503,'Daily Log'!$A$4:$A$1503,$A63))</f>
        <v/>
      </c>
      <c r="L63" s="3"/>
    </row>
    <row r="64" customFormat="false" ht="15" hidden="false" customHeight="false" outlineLevel="0" collapsed="false">
      <c r="A64" s="48"/>
      <c r="B64" s="20" t="str">
        <f aca="false">IF($A64="","",SUMIFS('Daily Log'!$C$4:$C$1503,'Daily Log'!$A$4:$A$1503,$A64))</f>
        <v/>
      </c>
      <c r="C64" s="20" t="str">
        <f aca="false">IF($A64="","",SUMIFS('Daily Log'!$D$4:$D$1503,'Daily Log'!$A$4:$A$1503,$A64))</f>
        <v/>
      </c>
      <c r="D64" s="22" t="str">
        <f aca="false">IF(N($B64)=0,"",$C64/$B64)</f>
        <v/>
      </c>
      <c r="E64" s="20" t="str">
        <f aca="false">IF($A64="","",SUMIFS('Daily Log'!$E$4:$E$1503,'Daily Log'!$A$4:$A$1503,$A64))</f>
        <v/>
      </c>
      <c r="F64" s="20" t="str">
        <f aca="false">IF($A64="","",SUMIFS('Daily Log'!$F$4:$F$1503,'Daily Log'!$A$4:$A$1503,$A64))</f>
        <v/>
      </c>
      <c r="G64" s="22" t="str">
        <f aca="false">IF(N($E64)=0,"",$F64/$E64)</f>
        <v/>
      </c>
      <c r="H64" s="21" t="str">
        <f aca="false">IF($A64="","",SUMIFS('Daily Log'!$G$4:$G$1503,'Daily Log'!$A$4:$A$1503,$A64))</f>
        <v/>
      </c>
      <c r="I64" s="20" t="str">
        <f aca="false">IF($A64="","",SUMIFS('Daily Log'!$J$4:$J$1503,'Daily Log'!$A$4:$A$1503,$A64))</f>
        <v/>
      </c>
      <c r="J64" s="20" t="str">
        <f aca="false">IF($A64="","",SUMIFS('Daily Log'!$K$4:$K$1503,'Daily Log'!$A$4:$A$1503,$A64))</f>
        <v/>
      </c>
      <c r="K64" s="20" t="str">
        <f aca="false">IF($A64="","",SUMIFS('Daily Log'!$L$4:$L$1503,'Daily Log'!$A$4:$A$1503,$A64))</f>
        <v/>
      </c>
      <c r="L64" s="3"/>
    </row>
    <row r="65" customFormat="false" ht="15" hidden="false" customHeight="false" outlineLevel="0" collapsed="false">
      <c r="A65" s="54"/>
      <c r="B65" s="27" t="str">
        <f aca="false">IF($A65="","",SUMIFS('Daily Log'!$C$4:$C$1503,'Daily Log'!$A$4:$A$1503,$A65))</f>
        <v/>
      </c>
      <c r="C65" s="27" t="str">
        <f aca="false">IF($A65="","",SUMIFS('Daily Log'!$D$4:$D$1503,'Daily Log'!$A$4:$A$1503,$A65))</f>
        <v/>
      </c>
      <c r="D65" s="29" t="str">
        <f aca="false">IF(N($B65)=0,"",$C65/$B65)</f>
        <v/>
      </c>
      <c r="E65" s="27" t="str">
        <f aca="false">IF($A65="","",SUMIFS('Daily Log'!$E$4:$E$1503,'Daily Log'!$A$4:$A$1503,$A65))</f>
        <v/>
      </c>
      <c r="F65" s="27" t="str">
        <f aca="false">IF($A65="","",SUMIFS('Daily Log'!$F$4:$F$1503,'Daily Log'!$A$4:$A$1503,$A65))</f>
        <v/>
      </c>
      <c r="G65" s="29" t="str">
        <f aca="false">IF(N($E65)=0,"",$F65/$E65)</f>
        <v/>
      </c>
      <c r="H65" s="28" t="str">
        <f aca="false">IF($A65="","",SUMIFS('Daily Log'!$G$4:$G$1503,'Daily Log'!$A$4:$A$1503,$A65))</f>
        <v/>
      </c>
      <c r="I65" s="27" t="str">
        <f aca="false">IF($A65="","",SUMIFS('Daily Log'!$J$4:$J$1503,'Daily Log'!$A$4:$A$1503,$A65))</f>
        <v/>
      </c>
      <c r="J65" s="27" t="str">
        <f aca="false">IF($A65="","",SUMIFS('Daily Log'!$K$4:$K$1503,'Daily Log'!$A$4:$A$1503,$A65))</f>
        <v/>
      </c>
      <c r="K65" s="27" t="str">
        <f aca="false">IF($A65="","",SUMIFS('Daily Log'!$L$4:$L$1503,'Daily Log'!$A$4:$A$1503,$A65))</f>
        <v/>
      </c>
      <c r="L65" s="3"/>
    </row>
    <row r="66" customFormat="false" ht="15" hidden="false" customHeight="false" outlineLevel="0" collapsed="false">
      <c r="A66" s="48"/>
      <c r="B66" s="20" t="str">
        <f aca="false">IF($A66="","",SUMIFS('Daily Log'!$C$4:$C$1503,'Daily Log'!$A$4:$A$1503,$A66))</f>
        <v/>
      </c>
      <c r="C66" s="20" t="str">
        <f aca="false">IF($A66="","",SUMIFS('Daily Log'!$D$4:$D$1503,'Daily Log'!$A$4:$A$1503,$A66))</f>
        <v/>
      </c>
      <c r="D66" s="22" t="str">
        <f aca="false">IF(N($B66)=0,"",$C66/$B66)</f>
        <v/>
      </c>
      <c r="E66" s="20" t="str">
        <f aca="false">IF($A66="","",SUMIFS('Daily Log'!$E$4:$E$1503,'Daily Log'!$A$4:$A$1503,$A66))</f>
        <v/>
      </c>
      <c r="F66" s="20" t="str">
        <f aca="false">IF($A66="","",SUMIFS('Daily Log'!$F$4:$F$1503,'Daily Log'!$A$4:$A$1503,$A66))</f>
        <v/>
      </c>
      <c r="G66" s="22" t="str">
        <f aca="false">IF(N($E66)=0,"",$F66/$E66)</f>
        <v/>
      </c>
      <c r="H66" s="21" t="str">
        <f aca="false">IF($A66="","",SUMIFS('Daily Log'!$G$4:$G$1503,'Daily Log'!$A$4:$A$1503,$A66))</f>
        <v/>
      </c>
      <c r="I66" s="20" t="str">
        <f aca="false">IF($A66="","",SUMIFS('Daily Log'!$J$4:$J$1503,'Daily Log'!$A$4:$A$1503,$A66))</f>
        <v/>
      </c>
      <c r="J66" s="20" t="str">
        <f aca="false">IF($A66="","",SUMIFS('Daily Log'!$K$4:$K$1503,'Daily Log'!$A$4:$A$1503,$A66))</f>
        <v/>
      </c>
      <c r="K66" s="20" t="str">
        <f aca="false">IF($A66="","",SUMIFS('Daily Log'!$L$4:$L$1503,'Daily Log'!$A$4:$A$1503,$A66))</f>
        <v/>
      </c>
      <c r="L66" s="3"/>
    </row>
    <row r="67" customFormat="false" ht="15" hidden="false" customHeight="false" outlineLevel="0" collapsed="false">
      <c r="A67" s="54"/>
      <c r="B67" s="27" t="str">
        <f aca="false">IF($A67="","",SUMIFS('Daily Log'!$C$4:$C$1503,'Daily Log'!$A$4:$A$1503,$A67))</f>
        <v/>
      </c>
      <c r="C67" s="27" t="str">
        <f aca="false">IF($A67="","",SUMIFS('Daily Log'!$D$4:$D$1503,'Daily Log'!$A$4:$A$1503,$A67))</f>
        <v/>
      </c>
      <c r="D67" s="29" t="str">
        <f aca="false">IF(N($B67)=0,"",$C67/$B67)</f>
        <v/>
      </c>
      <c r="E67" s="27" t="str">
        <f aca="false">IF($A67="","",SUMIFS('Daily Log'!$E$4:$E$1503,'Daily Log'!$A$4:$A$1503,$A67))</f>
        <v/>
      </c>
      <c r="F67" s="27" t="str">
        <f aca="false">IF($A67="","",SUMIFS('Daily Log'!$F$4:$F$1503,'Daily Log'!$A$4:$A$1503,$A67))</f>
        <v/>
      </c>
      <c r="G67" s="29" t="str">
        <f aca="false">IF(N($E67)=0,"",$F67/$E67)</f>
        <v/>
      </c>
      <c r="H67" s="28" t="str">
        <f aca="false">IF($A67="","",SUMIFS('Daily Log'!$G$4:$G$1503,'Daily Log'!$A$4:$A$1503,$A67))</f>
        <v/>
      </c>
      <c r="I67" s="27" t="str">
        <f aca="false">IF($A67="","",SUMIFS('Daily Log'!$J$4:$J$1503,'Daily Log'!$A$4:$A$1503,$A67))</f>
        <v/>
      </c>
      <c r="J67" s="27" t="str">
        <f aca="false">IF($A67="","",SUMIFS('Daily Log'!$K$4:$K$1503,'Daily Log'!$A$4:$A$1503,$A67))</f>
        <v/>
      </c>
      <c r="K67" s="27" t="str">
        <f aca="false">IF($A67="","",SUMIFS('Daily Log'!$L$4:$L$1503,'Daily Log'!$A$4:$A$1503,$A67))</f>
        <v/>
      </c>
      <c r="L67" s="3"/>
    </row>
    <row r="68" customFormat="false" ht="15" hidden="false" customHeight="false" outlineLevel="0" collapsed="false">
      <c r="A68" s="48"/>
      <c r="B68" s="20" t="str">
        <f aca="false">IF($A68="","",SUMIFS('Daily Log'!$C$4:$C$1503,'Daily Log'!$A$4:$A$1503,$A68))</f>
        <v/>
      </c>
      <c r="C68" s="20" t="str">
        <f aca="false">IF($A68="","",SUMIFS('Daily Log'!$D$4:$D$1503,'Daily Log'!$A$4:$A$1503,$A68))</f>
        <v/>
      </c>
      <c r="D68" s="22" t="str">
        <f aca="false">IF(N($B68)=0,"",$C68/$B68)</f>
        <v/>
      </c>
      <c r="E68" s="20" t="str">
        <f aca="false">IF($A68="","",SUMIFS('Daily Log'!$E$4:$E$1503,'Daily Log'!$A$4:$A$1503,$A68))</f>
        <v/>
      </c>
      <c r="F68" s="20" t="str">
        <f aca="false">IF($A68="","",SUMIFS('Daily Log'!$F$4:$F$1503,'Daily Log'!$A$4:$A$1503,$A68))</f>
        <v/>
      </c>
      <c r="G68" s="22" t="str">
        <f aca="false">IF(N($E68)=0,"",$F68/$E68)</f>
        <v/>
      </c>
      <c r="H68" s="21" t="str">
        <f aca="false">IF($A68="","",SUMIFS('Daily Log'!$G$4:$G$1503,'Daily Log'!$A$4:$A$1503,$A68))</f>
        <v/>
      </c>
      <c r="I68" s="20" t="str">
        <f aca="false">IF($A68="","",SUMIFS('Daily Log'!$J$4:$J$1503,'Daily Log'!$A$4:$A$1503,$A68))</f>
        <v/>
      </c>
      <c r="J68" s="20" t="str">
        <f aca="false">IF($A68="","",SUMIFS('Daily Log'!$K$4:$K$1503,'Daily Log'!$A$4:$A$1503,$A68))</f>
        <v/>
      </c>
      <c r="K68" s="20" t="str">
        <f aca="false">IF($A68="","",SUMIFS('Daily Log'!$L$4:$L$1503,'Daily Log'!$A$4:$A$1503,$A68))</f>
        <v/>
      </c>
      <c r="L68" s="3"/>
    </row>
    <row r="69" customFormat="false" ht="15" hidden="false" customHeight="false" outlineLevel="0" collapsed="false">
      <c r="A69" s="54"/>
      <c r="B69" s="27" t="str">
        <f aca="false">IF($A69="","",SUMIFS('Daily Log'!$C$4:$C$1503,'Daily Log'!$A$4:$A$1503,$A69))</f>
        <v/>
      </c>
      <c r="C69" s="27" t="str">
        <f aca="false">IF($A69="","",SUMIFS('Daily Log'!$D$4:$D$1503,'Daily Log'!$A$4:$A$1503,$A69))</f>
        <v/>
      </c>
      <c r="D69" s="29" t="str">
        <f aca="false">IF(N($B69)=0,"",$C69/$B69)</f>
        <v/>
      </c>
      <c r="E69" s="27" t="str">
        <f aca="false">IF($A69="","",SUMIFS('Daily Log'!$E$4:$E$1503,'Daily Log'!$A$4:$A$1503,$A69))</f>
        <v/>
      </c>
      <c r="F69" s="27" t="str">
        <f aca="false">IF($A69="","",SUMIFS('Daily Log'!$F$4:$F$1503,'Daily Log'!$A$4:$A$1503,$A69))</f>
        <v/>
      </c>
      <c r="G69" s="29" t="str">
        <f aca="false">IF(N($E69)=0,"",$F69/$E69)</f>
        <v/>
      </c>
      <c r="H69" s="28" t="str">
        <f aca="false">IF($A69="","",SUMIFS('Daily Log'!$G$4:$G$1503,'Daily Log'!$A$4:$A$1503,$A69))</f>
        <v/>
      </c>
      <c r="I69" s="27" t="str">
        <f aca="false">IF($A69="","",SUMIFS('Daily Log'!$J$4:$J$1503,'Daily Log'!$A$4:$A$1503,$A69))</f>
        <v/>
      </c>
      <c r="J69" s="27" t="str">
        <f aca="false">IF($A69="","",SUMIFS('Daily Log'!$K$4:$K$1503,'Daily Log'!$A$4:$A$1503,$A69))</f>
        <v/>
      </c>
      <c r="K69" s="27" t="str">
        <f aca="false">IF($A69="","",SUMIFS('Daily Log'!$L$4:$L$1503,'Daily Log'!$A$4:$A$1503,$A69))</f>
        <v/>
      </c>
      <c r="L69" s="3"/>
    </row>
    <row r="70" customFormat="false" ht="15" hidden="false" customHeight="false" outlineLevel="0" collapsed="false">
      <c r="A70" s="48"/>
      <c r="B70" s="20" t="str">
        <f aca="false">IF($A70="","",SUMIFS('Daily Log'!$C$4:$C$1503,'Daily Log'!$A$4:$A$1503,$A70))</f>
        <v/>
      </c>
      <c r="C70" s="20" t="str">
        <f aca="false">IF($A70="","",SUMIFS('Daily Log'!$D$4:$D$1503,'Daily Log'!$A$4:$A$1503,$A70))</f>
        <v/>
      </c>
      <c r="D70" s="22" t="str">
        <f aca="false">IF(N($B70)=0,"",$C70/$B70)</f>
        <v/>
      </c>
      <c r="E70" s="20" t="str">
        <f aca="false">IF($A70="","",SUMIFS('Daily Log'!$E$4:$E$1503,'Daily Log'!$A$4:$A$1503,$A70))</f>
        <v/>
      </c>
      <c r="F70" s="20" t="str">
        <f aca="false">IF($A70="","",SUMIFS('Daily Log'!$F$4:$F$1503,'Daily Log'!$A$4:$A$1503,$A70))</f>
        <v/>
      </c>
      <c r="G70" s="22" t="str">
        <f aca="false">IF(N($E70)=0,"",$F70/$E70)</f>
        <v/>
      </c>
      <c r="H70" s="21" t="str">
        <f aca="false">IF($A70="","",SUMIFS('Daily Log'!$G$4:$G$1503,'Daily Log'!$A$4:$A$1503,$A70))</f>
        <v/>
      </c>
      <c r="I70" s="20" t="str">
        <f aca="false">IF($A70="","",SUMIFS('Daily Log'!$J$4:$J$1503,'Daily Log'!$A$4:$A$1503,$A70))</f>
        <v/>
      </c>
      <c r="J70" s="20" t="str">
        <f aca="false">IF($A70="","",SUMIFS('Daily Log'!$K$4:$K$1503,'Daily Log'!$A$4:$A$1503,$A70))</f>
        <v/>
      </c>
      <c r="K70" s="20" t="str">
        <f aca="false">IF($A70="","",SUMIFS('Daily Log'!$L$4:$L$1503,'Daily Log'!$A$4:$A$1503,$A70))</f>
        <v/>
      </c>
      <c r="L70" s="3"/>
    </row>
    <row r="71" customFormat="false" ht="15" hidden="false" customHeight="false" outlineLevel="0" collapsed="false">
      <c r="A71" s="54"/>
      <c r="B71" s="27" t="str">
        <f aca="false">IF($A71="","",SUMIFS('Daily Log'!$C$4:$C$1503,'Daily Log'!$A$4:$A$1503,$A71))</f>
        <v/>
      </c>
      <c r="C71" s="27" t="str">
        <f aca="false">IF($A71="","",SUMIFS('Daily Log'!$D$4:$D$1503,'Daily Log'!$A$4:$A$1503,$A71))</f>
        <v/>
      </c>
      <c r="D71" s="29" t="str">
        <f aca="false">IF(N($B71)=0,"",$C71/$B71)</f>
        <v/>
      </c>
      <c r="E71" s="27" t="str">
        <f aca="false">IF($A71="","",SUMIFS('Daily Log'!$E$4:$E$1503,'Daily Log'!$A$4:$A$1503,$A71))</f>
        <v/>
      </c>
      <c r="F71" s="27" t="str">
        <f aca="false">IF($A71="","",SUMIFS('Daily Log'!$F$4:$F$1503,'Daily Log'!$A$4:$A$1503,$A71))</f>
        <v/>
      </c>
      <c r="G71" s="29" t="str">
        <f aca="false">IF(N($E71)=0,"",$F71/$E71)</f>
        <v/>
      </c>
      <c r="H71" s="28" t="str">
        <f aca="false">IF($A71="","",SUMIFS('Daily Log'!$G$4:$G$1503,'Daily Log'!$A$4:$A$1503,$A71))</f>
        <v/>
      </c>
      <c r="I71" s="27" t="str">
        <f aca="false">IF($A71="","",SUMIFS('Daily Log'!$J$4:$J$1503,'Daily Log'!$A$4:$A$1503,$A71))</f>
        <v/>
      </c>
      <c r="J71" s="27" t="str">
        <f aca="false">IF($A71="","",SUMIFS('Daily Log'!$K$4:$K$1503,'Daily Log'!$A$4:$A$1503,$A71))</f>
        <v/>
      </c>
      <c r="K71" s="27" t="str">
        <f aca="false">IF($A71="","",SUMIFS('Daily Log'!$L$4:$L$1503,'Daily Log'!$A$4:$A$1503,$A71))</f>
        <v/>
      </c>
      <c r="L71" s="3"/>
    </row>
    <row r="72" customFormat="false" ht="15" hidden="false" customHeight="false" outlineLevel="0" collapsed="false">
      <c r="A72" s="48"/>
      <c r="B72" s="20" t="str">
        <f aca="false">IF($A72="","",SUMIFS('Daily Log'!$C$4:$C$1503,'Daily Log'!$A$4:$A$1503,$A72))</f>
        <v/>
      </c>
      <c r="C72" s="20" t="str">
        <f aca="false">IF($A72="","",SUMIFS('Daily Log'!$D$4:$D$1503,'Daily Log'!$A$4:$A$1503,$A72))</f>
        <v/>
      </c>
      <c r="D72" s="22" t="str">
        <f aca="false">IF(N($B72)=0,"",$C72/$B72)</f>
        <v/>
      </c>
      <c r="E72" s="20" t="str">
        <f aca="false">IF($A72="","",SUMIFS('Daily Log'!$E$4:$E$1503,'Daily Log'!$A$4:$A$1503,$A72))</f>
        <v/>
      </c>
      <c r="F72" s="20" t="str">
        <f aca="false">IF($A72="","",SUMIFS('Daily Log'!$F$4:$F$1503,'Daily Log'!$A$4:$A$1503,$A72))</f>
        <v/>
      </c>
      <c r="G72" s="22" t="str">
        <f aca="false">IF(N($E72)=0,"",$F72/$E72)</f>
        <v/>
      </c>
      <c r="H72" s="21" t="str">
        <f aca="false">IF($A72="","",SUMIFS('Daily Log'!$G$4:$G$1503,'Daily Log'!$A$4:$A$1503,$A72))</f>
        <v/>
      </c>
      <c r="I72" s="20" t="str">
        <f aca="false">IF($A72="","",SUMIFS('Daily Log'!$J$4:$J$1503,'Daily Log'!$A$4:$A$1503,$A72))</f>
        <v/>
      </c>
      <c r="J72" s="20" t="str">
        <f aca="false">IF($A72="","",SUMIFS('Daily Log'!$K$4:$K$1503,'Daily Log'!$A$4:$A$1503,$A72))</f>
        <v/>
      </c>
      <c r="K72" s="20" t="str">
        <f aca="false">IF($A72="","",SUMIFS('Daily Log'!$L$4:$L$1503,'Daily Log'!$A$4:$A$1503,$A72))</f>
        <v/>
      </c>
      <c r="L72" s="3"/>
    </row>
    <row r="73" customFormat="false" ht="15" hidden="false" customHeight="false" outlineLevel="0" collapsed="false">
      <c r="A73" s="54"/>
      <c r="B73" s="27" t="str">
        <f aca="false">IF($A73="","",SUMIFS('Daily Log'!$C$4:$C$1503,'Daily Log'!$A$4:$A$1503,$A73))</f>
        <v/>
      </c>
      <c r="C73" s="27" t="str">
        <f aca="false">IF($A73="","",SUMIFS('Daily Log'!$D$4:$D$1503,'Daily Log'!$A$4:$A$1503,$A73))</f>
        <v/>
      </c>
      <c r="D73" s="29" t="str">
        <f aca="false">IF(N($B73)=0,"",$C73/$B73)</f>
        <v/>
      </c>
      <c r="E73" s="27" t="str">
        <f aca="false">IF($A73="","",SUMIFS('Daily Log'!$E$4:$E$1503,'Daily Log'!$A$4:$A$1503,$A73))</f>
        <v/>
      </c>
      <c r="F73" s="27" t="str">
        <f aca="false">IF($A73="","",SUMIFS('Daily Log'!$F$4:$F$1503,'Daily Log'!$A$4:$A$1503,$A73))</f>
        <v/>
      </c>
      <c r="G73" s="29" t="str">
        <f aca="false">IF(N($E73)=0,"",$F73/$E73)</f>
        <v/>
      </c>
      <c r="H73" s="28" t="str">
        <f aca="false">IF($A73="","",SUMIFS('Daily Log'!$G$4:$G$1503,'Daily Log'!$A$4:$A$1503,$A73))</f>
        <v/>
      </c>
      <c r="I73" s="27" t="str">
        <f aca="false">IF($A73="","",SUMIFS('Daily Log'!$J$4:$J$1503,'Daily Log'!$A$4:$A$1503,$A73))</f>
        <v/>
      </c>
      <c r="J73" s="27" t="str">
        <f aca="false">IF($A73="","",SUMIFS('Daily Log'!$K$4:$K$1503,'Daily Log'!$A$4:$A$1503,$A73))</f>
        <v/>
      </c>
      <c r="K73" s="27" t="str">
        <f aca="false">IF($A73="","",SUMIFS('Daily Log'!$L$4:$L$1503,'Daily Log'!$A$4:$A$1503,$A73))</f>
        <v/>
      </c>
      <c r="L73" s="3"/>
    </row>
    <row r="74" customFormat="false" ht="15" hidden="false" customHeight="false" outlineLevel="0" collapsed="false">
      <c r="A74" s="48"/>
      <c r="B74" s="20" t="str">
        <f aca="false">IF($A74="","",SUMIFS('Daily Log'!$C$4:$C$1503,'Daily Log'!$A$4:$A$1503,$A74))</f>
        <v/>
      </c>
      <c r="C74" s="20" t="str">
        <f aca="false">IF($A74="","",SUMIFS('Daily Log'!$D$4:$D$1503,'Daily Log'!$A$4:$A$1503,$A74))</f>
        <v/>
      </c>
      <c r="D74" s="22" t="str">
        <f aca="false">IF(N($B74)=0,"",$C74/$B74)</f>
        <v/>
      </c>
      <c r="E74" s="20" t="str">
        <f aca="false">IF($A74="","",SUMIFS('Daily Log'!$E$4:$E$1503,'Daily Log'!$A$4:$A$1503,$A74))</f>
        <v/>
      </c>
      <c r="F74" s="20" t="str">
        <f aca="false">IF($A74="","",SUMIFS('Daily Log'!$F$4:$F$1503,'Daily Log'!$A$4:$A$1503,$A74))</f>
        <v/>
      </c>
      <c r="G74" s="22" t="str">
        <f aca="false">IF(N($E74)=0,"",$F74/$E74)</f>
        <v/>
      </c>
      <c r="H74" s="21" t="str">
        <f aca="false">IF($A74="","",SUMIFS('Daily Log'!$G$4:$G$1503,'Daily Log'!$A$4:$A$1503,$A74))</f>
        <v/>
      </c>
      <c r="I74" s="20" t="str">
        <f aca="false">IF($A74="","",SUMIFS('Daily Log'!$J$4:$J$1503,'Daily Log'!$A$4:$A$1503,$A74))</f>
        <v/>
      </c>
      <c r="J74" s="20" t="str">
        <f aca="false">IF($A74="","",SUMIFS('Daily Log'!$K$4:$K$1503,'Daily Log'!$A$4:$A$1503,$A74))</f>
        <v/>
      </c>
      <c r="K74" s="20" t="str">
        <f aca="false">IF($A74="","",SUMIFS('Daily Log'!$L$4:$L$1503,'Daily Log'!$A$4:$A$1503,$A74))</f>
        <v/>
      </c>
      <c r="L74" s="3"/>
    </row>
    <row r="75" customFormat="false" ht="15" hidden="false" customHeight="false" outlineLevel="0" collapsed="false">
      <c r="A75" s="54"/>
      <c r="B75" s="27" t="str">
        <f aca="false">IF($A75="","",SUMIFS('Daily Log'!$C$4:$C$1503,'Daily Log'!$A$4:$A$1503,$A75))</f>
        <v/>
      </c>
      <c r="C75" s="27" t="str">
        <f aca="false">IF($A75="","",SUMIFS('Daily Log'!$D$4:$D$1503,'Daily Log'!$A$4:$A$1503,$A75))</f>
        <v/>
      </c>
      <c r="D75" s="29" t="str">
        <f aca="false">IF(N($B75)=0,"",$C75/$B75)</f>
        <v/>
      </c>
      <c r="E75" s="27" t="str">
        <f aca="false">IF($A75="","",SUMIFS('Daily Log'!$E$4:$E$1503,'Daily Log'!$A$4:$A$1503,$A75))</f>
        <v/>
      </c>
      <c r="F75" s="27" t="str">
        <f aca="false">IF($A75="","",SUMIFS('Daily Log'!$F$4:$F$1503,'Daily Log'!$A$4:$A$1503,$A75))</f>
        <v/>
      </c>
      <c r="G75" s="29" t="str">
        <f aca="false">IF(N($E75)=0,"",$F75/$E75)</f>
        <v/>
      </c>
      <c r="H75" s="28" t="str">
        <f aca="false">IF($A75="","",SUMIFS('Daily Log'!$G$4:$G$1503,'Daily Log'!$A$4:$A$1503,$A75))</f>
        <v/>
      </c>
      <c r="I75" s="27" t="str">
        <f aca="false">IF($A75="","",SUMIFS('Daily Log'!$J$4:$J$1503,'Daily Log'!$A$4:$A$1503,$A75))</f>
        <v/>
      </c>
      <c r="J75" s="27" t="str">
        <f aca="false">IF($A75="","",SUMIFS('Daily Log'!$K$4:$K$1503,'Daily Log'!$A$4:$A$1503,$A75))</f>
        <v/>
      </c>
      <c r="K75" s="27" t="str">
        <f aca="false">IF($A75="","",SUMIFS('Daily Log'!$L$4:$L$1503,'Daily Log'!$A$4:$A$1503,$A75))</f>
        <v/>
      </c>
      <c r="L75" s="3"/>
    </row>
    <row r="76" customFormat="false" ht="15" hidden="false" customHeight="false" outlineLevel="0" collapsed="false">
      <c r="A76" s="48"/>
      <c r="B76" s="20" t="str">
        <f aca="false">IF($A76="","",SUMIFS('Daily Log'!$C$4:$C$1503,'Daily Log'!$A$4:$A$1503,$A76))</f>
        <v/>
      </c>
      <c r="C76" s="20" t="str">
        <f aca="false">IF($A76="","",SUMIFS('Daily Log'!$D$4:$D$1503,'Daily Log'!$A$4:$A$1503,$A76))</f>
        <v/>
      </c>
      <c r="D76" s="22" t="str">
        <f aca="false">IF(N($B76)=0,"",$C76/$B76)</f>
        <v/>
      </c>
      <c r="E76" s="20" t="str">
        <f aca="false">IF($A76="","",SUMIFS('Daily Log'!$E$4:$E$1503,'Daily Log'!$A$4:$A$1503,$A76))</f>
        <v/>
      </c>
      <c r="F76" s="20" t="str">
        <f aca="false">IF($A76="","",SUMIFS('Daily Log'!$F$4:$F$1503,'Daily Log'!$A$4:$A$1503,$A76))</f>
        <v/>
      </c>
      <c r="G76" s="22" t="str">
        <f aca="false">IF(N($E76)=0,"",$F76/$E76)</f>
        <v/>
      </c>
      <c r="H76" s="21" t="str">
        <f aca="false">IF($A76="","",SUMIFS('Daily Log'!$G$4:$G$1503,'Daily Log'!$A$4:$A$1503,$A76))</f>
        <v/>
      </c>
      <c r="I76" s="20" t="str">
        <f aca="false">IF($A76="","",SUMIFS('Daily Log'!$J$4:$J$1503,'Daily Log'!$A$4:$A$1503,$A76))</f>
        <v/>
      </c>
      <c r="J76" s="20" t="str">
        <f aca="false">IF($A76="","",SUMIFS('Daily Log'!$K$4:$K$1503,'Daily Log'!$A$4:$A$1503,$A76))</f>
        <v/>
      </c>
      <c r="K76" s="20" t="str">
        <f aca="false">IF($A76="","",SUMIFS('Daily Log'!$L$4:$L$1503,'Daily Log'!$A$4:$A$1503,$A76))</f>
        <v/>
      </c>
      <c r="L76" s="3"/>
    </row>
    <row r="77" customFormat="false" ht="15" hidden="false" customHeight="false" outlineLevel="0" collapsed="false">
      <c r="A77" s="54"/>
      <c r="B77" s="27" t="str">
        <f aca="false">IF($A77="","",SUMIFS('Daily Log'!$C$4:$C$1503,'Daily Log'!$A$4:$A$1503,$A77))</f>
        <v/>
      </c>
      <c r="C77" s="27" t="str">
        <f aca="false">IF($A77="","",SUMIFS('Daily Log'!$D$4:$D$1503,'Daily Log'!$A$4:$A$1503,$A77))</f>
        <v/>
      </c>
      <c r="D77" s="29" t="str">
        <f aca="false">IF(N($B77)=0,"",$C77/$B77)</f>
        <v/>
      </c>
      <c r="E77" s="27" t="str">
        <f aca="false">IF($A77="","",SUMIFS('Daily Log'!$E$4:$E$1503,'Daily Log'!$A$4:$A$1503,$A77))</f>
        <v/>
      </c>
      <c r="F77" s="27" t="str">
        <f aca="false">IF($A77="","",SUMIFS('Daily Log'!$F$4:$F$1503,'Daily Log'!$A$4:$A$1503,$A77))</f>
        <v/>
      </c>
      <c r="G77" s="29" t="str">
        <f aca="false">IF(N($E77)=0,"",$F77/$E77)</f>
        <v/>
      </c>
      <c r="H77" s="28" t="str">
        <f aca="false">IF($A77="","",SUMIFS('Daily Log'!$G$4:$G$1503,'Daily Log'!$A$4:$A$1503,$A77))</f>
        <v/>
      </c>
      <c r="I77" s="27" t="str">
        <f aca="false">IF($A77="","",SUMIFS('Daily Log'!$J$4:$J$1503,'Daily Log'!$A$4:$A$1503,$A77))</f>
        <v/>
      </c>
      <c r="J77" s="27" t="str">
        <f aca="false">IF($A77="","",SUMIFS('Daily Log'!$K$4:$K$1503,'Daily Log'!$A$4:$A$1503,$A77))</f>
        <v/>
      </c>
      <c r="K77" s="27" t="str">
        <f aca="false">IF($A77="","",SUMIFS('Daily Log'!$L$4:$L$1503,'Daily Log'!$A$4:$A$1503,$A77))</f>
        <v/>
      </c>
      <c r="L77" s="3"/>
    </row>
    <row r="78" customFormat="false" ht="15" hidden="false" customHeight="false" outlineLevel="0" collapsed="false">
      <c r="A78" s="48"/>
      <c r="B78" s="20" t="str">
        <f aca="false">IF($A78="","",SUMIFS('Daily Log'!$C$4:$C$1503,'Daily Log'!$A$4:$A$1503,$A78))</f>
        <v/>
      </c>
      <c r="C78" s="20" t="str">
        <f aca="false">IF($A78="","",SUMIFS('Daily Log'!$D$4:$D$1503,'Daily Log'!$A$4:$A$1503,$A78))</f>
        <v/>
      </c>
      <c r="D78" s="22" t="str">
        <f aca="false">IF(N($B78)=0,"",$C78/$B78)</f>
        <v/>
      </c>
      <c r="E78" s="20" t="str">
        <f aca="false">IF($A78="","",SUMIFS('Daily Log'!$E$4:$E$1503,'Daily Log'!$A$4:$A$1503,$A78))</f>
        <v/>
      </c>
      <c r="F78" s="20" t="str">
        <f aca="false">IF($A78="","",SUMIFS('Daily Log'!$F$4:$F$1503,'Daily Log'!$A$4:$A$1503,$A78))</f>
        <v/>
      </c>
      <c r="G78" s="22" t="str">
        <f aca="false">IF(N($E78)=0,"",$F78/$E78)</f>
        <v/>
      </c>
      <c r="H78" s="21" t="str">
        <f aca="false">IF($A78="","",SUMIFS('Daily Log'!$G$4:$G$1503,'Daily Log'!$A$4:$A$1503,$A78))</f>
        <v/>
      </c>
      <c r="I78" s="20" t="str">
        <f aca="false">IF($A78="","",SUMIFS('Daily Log'!$J$4:$J$1503,'Daily Log'!$A$4:$A$1503,$A78))</f>
        <v/>
      </c>
      <c r="J78" s="20" t="str">
        <f aca="false">IF($A78="","",SUMIFS('Daily Log'!$K$4:$K$1503,'Daily Log'!$A$4:$A$1503,$A78))</f>
        <v/>
      </c>
      <c r="K78" s="20" t="str">
        <f aca="false">IF($A78="","",SUMIFS('Daily Log'!$L$4:$L$1503,'Daily Log'!$A$4:$A$1503,$A78))</f>
        <v/>
      </c>
      <c r="L78" s="3"/>
    </row>
    <row r="79" customFormat="false" ht="15" hidden="false" customHeight="false" outlineLevel="0" collapsed="false">
      <c r="A79" s="54"/>
      <c r="B79" s="27" t="str">
        <f aca="false">IF($A79="","",SUMIFS('Daily Log'!$C$4:$C$1503,'Daily Log'!$A$4:$A$1503,$A79))</f>
        <v/>
      </c>
      <c r="C79" s="27" t="str">
        <f aca="false">IF($A79="","",SUMIFS('Daily Log'!$D$4:$D$1503,'Daily Log'!$A$4:$A$1503,$A79))</f>
        <v/>
      </c>
      <c r="D79" s="29" t="str">
        <f aca="false">IF(N($B79)=0,"",$C79/$B79)</f>
        <v/>
      </c>
      <c r="E79" s="27" t="str">
        <f aca="false">IF($A79="","",SUMIFS('Daily Log'!$E$4:$E$1503,'Daily Log'!$A$4:$A$1503,$A79))</f>
        <v/>
      </c>
      <c r="F79" s="27" t="str">
        <f aca="false">IF($A79="","",SUMIFS('Daily Log'!$F$4:$F$1503,'Daily Log'!$A$4:$A$1503,$A79))</f>
        <v/>
      </c>
      <c r="G79" s="29" t="str">
        <f aca="false">IF(N($E79)=0,"",$F79/$E79)</f>
        <v/>
      </c>
      <c r="H79" s="28" t="str">
        <f aca="false">IF($A79="","",SUMIFS('Daily Log'!$G$4:$G$1503,'Daily Log'!$A$4:$A$1503,$A79))</f>
        <v/>
      </c>
      <c r="I79" s="27" t="str">
        <f aca="false">IF($A79="","",SUMIFS('Daily Log'!$J$4:$J$1503,'Daily Log'!$A$4:$A$1503,$A79))</f>
        <v/>
      </c>
      <c r="J79" s="27" t="str">
        <f aca="false">IF($A79="","",SUMIFS('Daily Log'!$K$4:$K$1503,'Daily Log'!$A$4:$A$1503,$A79))</f>
        <v/>
      </c>
      <c r="K79" s="27" t="str">
        <f aca="false">IF($A79="","",SUMIFS('Daily Log'!$L$4:$L$1503,'Daily Log'!$A$4:$A$1503,$A79))</f>
        <v/>
      </c>
      <c r="L79" s="3"/>
    </row>
    <row r="80" customFormat="false" ht="15" hidden="false" customHeight="false" outlineLevel="0" collapsed="false">
      <c r="A80" s="48"/>
      <c r="B80" s="20" t="str">
        <f aca="false">IF($A80="","",SUMIFS('Daily Log'!$C$4:$C$1503,'Daily Log'!$A$4:$A$1503,$A80))</f>
        <v/>
      </c>
      <c r="C80" s="20" t="str">
        <f aca="false">IF($A80="","",SUMIFS('Daily Log'!$D$4:$D$1503,'Daily Log'!$A$4:$A$1503,$A80))</f>
        <v/>
      </c>
      <c r="D80" s="22" t="str">
        <f aca="false">IF(N($B80)=0,"",$C80/$B80)</f>
        <v/>
      </c>
      <c r="E80" s="20" t="str">
        <f aca="false">IF($A80="","",SUMIFS('Daily Log'!$E$4:$E$1503,'Daily Log'!$A$4:$A$1503,$A80))</f>
        <v/>
      </c>
      <c r="F80" s="20" t="str">
        <f aca="false">IF($A80="","",SUMIFS('Daily Log'!$F$4:$F$1503,'Daily Log'!$A$4:$A$1503,$A80))</f>
        <v/>
      </c>
      <c r="G80" s="22" t="str">
        <f aca="false">IF(N($E80)=0,"",$F80/$E80)</f>
        <v/>
      </c>
      <c r="H80" s="21" t="str">
        <f aca="false">IF($A80="","",SUMIFS('Daily Log'!$G$4:$G$1503,'Daily Log'!$A$4:$A$1503,$A80))</f>
        <v/>
      </c>
      <c r="I80" s="20" t="str">
        <f aca="false">IF($A80="","",SUMIFS('Daily Log'!$J$4:$J$1503,'Daily Log'!$A$4:$A$1503,$A80))</f>
        <v/>
      </c>
      <c r="J80" s="20" t="str">
        <f aca="false">IF($A80="","",SUMIFS('Daily Log'!$K$4:$K$1503,'Daily Log'!$A$4:$A$1503,$A80))</f>
        <v/>
      </c>
      <c r="K80" s="20" t="str">
        <f aca="false">IF($A80="","",SUMIFS('Daily Log'!$L$4:$L$1503,'Daily Log'!$A$4:$A$1503,$A80))</f>
        <v/>
      </c>
      <c r="L80" s="3"/>
    </row>
    <row r="81" customFormat="false" ht="15" hidden="false" customHeight="false" outlineLevel="0" collapsed="false">
      <c r="A81" s="54"/>
      <c r="B81" s="27" t="str">
        <f aca="false">IF($A81="","",SUMIFS('Daily Log'!$C$4:$C$1503,'Daily Log'!$A$4:$A$1503,$A81))</f>
        <v/>
      </c>
      <c r="C81" s="27" t="str">
        <f aca="false">IF($A81="","",SUMIFS('Daily Log'!$D$4:$D$1503,'Daily Log'!$A$4:$A$1503,$A81))</f>
        <v/>
      </c>
      <c r="D81" s="29" t="str">
        <f aca="false">IF(N($B81)=0,"",$C81/$B81)</f>
        <v/>
      </c>
      <c r="E81" s="27" t="str">
        <f aca="false">IF($A81="","",SUMIFS('Daily Log'!$E$4:$E$1503,'Daily Log'!$A$4:$A$1503,$A81))</f>
        <v/>
      </c>
      <c r="F81" s="27" t="str">
        <f aca="false">IF($A81="","",SUMIFS('Daily Log'!$F$4:$F$1503,'Daily Log'!$A$4:$A$1503,$A81))</f>
        <v/>
      </c>
      <c r="G81" s="29" t="str">
        <f aca="false">IF(N($E81)=0,"",$F81/$E81)</f>
        <v/>
      </c>
      <c r="H81" s="28" t="str">
        <f aca="false">IF($A81="","",SUMIFS('Daily Log'!$G$4:$G$1503,'Daily Log'!$A$4:$A$1503,$A81))</f>
        <v/>
      </c>
      <c r="I81" s="27" t="str">
        <f aca="false">IF($A81="","",SUMIFS('Daily Log'!$J$4:$J$1503,'Daily Log'!$A$4:$A$1503,$A81))</f>
        <v/>
      </c>
      <c r="J81" s="27" t="str">
        <f aca="false">IF($A81="","",SUMIFS('Daily Log'!$K$4:$K$1503,'Daily Log'!$A$4:$A$1503,$A81))</f>
        <v/>
      </c>
      <c r="K81" s="27" t="str">
        <f aca="false">IF($A81="","",SUMIFS('Daily Log'!$L$4:$L$1503,'Daily Log'!$A$4:$A$1503,$A81))</f>
        <v/>
      </c>
      <c r="L81" s="3"/>
    </row>
    <row r="82" customFormat="false" ht="15" hidden="false" customHeight="false" outlineLevel="0" collapsed="false">
      <c r="A82" s="48"/>
      <c r="B82" s="20" t="str">
        <f aca="false">IF($A82="","",SUMIFS('Daily Log'!$C$4:$C$1503,'Daily Log'!$A$4:$A$1503,$A82))</f>
        <v/>
      </c>
      <c r="C82" s="20" t="str">
        <f aca="false">IF($A82="","",SUMIFS('Daily Log'!$D$4:$D$1503,'Daily Log'!$A$4:$A$1503,$A82))</f>
        <v/>
      </c>
      <c r="D82" s="22" t="str">
        <f aca="false">IF(N($B82)=0,"",$C82/$B82)</f>
        <v/>
      </c>
      <c r="E82" s="20" t="str">
        <f aca="false">IF($A82="","",SUMIFS('Daily Log'!$E$4:$E$1503,'Daily Log'!$A$4:$A$1503,$A82))</f>
        <v/>
      </c>
      <c r="F82" s="20" t="str">
        <f aca="false">IF($A82="","",SUMIFS('Daily Log'!$F$4:$F$1503,'Daily Log'!$A$4:$A$1503,$A82))</f>
        <v/>
      </c>
      <c r="G82" s="22" t="str">
        <f aca="false">IF(N($E82)=0,"",$F82/$E82)</f>
        <v/>
      </c>
      <c r="H82" s="21" t="str">
        <f aca="false">IF($A82="","",SUMIFS('Daily Log'!$G$4:$G$1503,'Daily Log'!$A$4:$A$1503,$A82))</f>
        <v/>
      </c>
      <c r="I82" s="20" t="str">
        <f aca="false">IF($A82="","",SUMIFS('Daily Log'!$J$4:$J$1503,'Daily Log'!$A$4:$A$1503,$A82))</f>
        <v/>
      </c>
      <c r="J82" s="20" t="str">
        <f aca="false">IF($A82="","",SUMIFS('Daily Log'!$K$4:$K$1503,'Daily Log'!$A$4:$A$1503,$A82))</f>
        <v/>
      </c>
      <c r="K82" s="20" t="str">
        <f aca="false">IF($A82="","",SUMIFS('Daily Log'!$L$4:$L$1503,'Daily Log'!$A$4:$A$1503,$A82))</f>
        <v/>
      </c>
      <c r="L82" s="3"/>
    </row>
    <row r="83" customFormat="false" ht="15" hidden="false" customHeight="false" outlineLevel="0" collapsed="false">
      <c r="A83" s="54"/>
      <c r="B83" s="27" t="str">
        <f aca="false">IF($A83="","",SUMIFS('Daily Log'!$C$4:$C$1503,'Daily Log'!$A$4:$A$1503,$A83))</f>
        <v/>
      </c>
      <c r="C83" s="27" t="str">
        <f aca="false">IF($A83="","",SUMIFS('Daily Log'!$D$4:$D$1503,'Daily Log'!$A$4:$A$1503,$A83))</f>
        <v/>
      </c>
      <c r="D83" s="29" t="str">
        <f aca="false">IF(N($B83)=0,"",$C83/$B83)</f>
        <v/>
      </c>
      <c r="E83" s="27" t="str">
        <f aca="false">IF($A83="","",SUMIFS('Daily Log'!$E$4:$E$1503,'Daily Log'!$A$4:$A$1503,$A83))</f>
        <v/>
      </c>
      <c r="F83" s="27" t="str">
        <f aca="false">IF($A83="","",SUMIFS('Daily Log'!$F$4:$F$1503,'Daily Log'!$A$4:$A$1503,$A83))</f>
        <v/>
      </c>
      <c r="G83" s="29" t="str">
        <f aca="false">IF(N($E83)=0,"",$F83/$E83)</f>
        <v/>
      </c>
      <c r="H83" s="28" t="str">
        <f aca="false">IF($A83="","",SUMIFS('Daily Log'!$G$4:$G$1503,'Daily Log'!$A$4:$A$1503,$A83))</f>
        <v/>
      </c>
      <c r="I83" s="27" t="str">
        <f aca="false">IF($A83="","",SUMIFS('Daily Log'!$J$4:$J$1503,'Daily Log'!$A$4:$A$1503,$A83))</f>
        <v/>
      </c>
      <c r="J83" s="27" t="str">
        <f aca="false">IF($A83="","",SUMIFS('Daily Log'!$K$4:$K$1503,'Daily Log'!$A$4:$A$1503,$A83))</f>
        <v/>
      </c>
      <c r="K83" s="27" t="str">
        <f aca="false">IF($A83="","",SUMIFS('Daily Log'!$L$4:$L$1503,'Daily Log'!$A$4:$A$1503,$A83))</f>
        <v/>
      </c>
      <c r="L83" s="3"/>
    </row>
    <row r="84" customFormat="false" ht="15" hidden="false" customHeight="false" outlineLevel="0" collapsed="false">
      <c r="A84" s="48"/>
      <c r="B84" s="20" t="str">
        <f aca="false">IF($A84="","",SUMIFS('Daily Log'!$C$4:$C$1503,'Daily Log'!$A$4:$A$1503,$A84))</f>
        <v/>
      </c>
      <c r="C84" s="20" t="str">
        <f aca="false">IF($A84="","",SUMIFS('Daily Log'!$D$4:$D$1503,'Daily Log'!$A$4:$A$1503,$A84))</f>
        <v/>
      </c>
      <c r="D84" s="22" t="str">
        <f aca="false">IF(N($B84)=0,"",$C84/$B84)</f>
        <v/>
      </c>
      <c r="E84" s="20" t="str">
        <f aca="false">IF($A84="","",SUMIFS('Daily Log'!$E$4:$E$1503,'Daily Log'!$A$4:$A$1503,$A84))</f>
        <v/>
      </c>
      <c r="F84" s="20" t="str">
        <f aca="false">IF($A84="","",SUMIFS('Daily Log'!$F$4:$F$1503,'Daily Log'!$A$4:$A$1503,$A84))</f>
        <v/>
      </c>
      <c r="G84" s="22" t="str">
        <f aca="false">IF(N($E84)=0,"",$F84/$E84)</f>
        <v/>
      </c>
      <c r="H84" s="21" t="str">
        <f aca="false">IF($A84="","",SUMIFS('Daily Log'!$G$4:$G$1503,'Daily Log'!$A$4:$A$1503,$A84))</f>
        <v/>
      </c>
      <c r="I84" s="20" t="str">
        <f aca="false">IF($A84="","",SUMIFS('Daily Log'!$J$4:$J$1503,'Daily Log'!$A$4:$A$1503,$A84))</f>
        <v/>
      </c>
      <c r="J84" s="20" t="str">
        <f aca="false">IF($A84="","",SUMIFS('Daily Log'!$K$4:$K$1503,'Daily Log'!$A$4:$A$1503,$A84))</f>
        <v/>
      </c>
      <c r="K84" s="20" t="str">
        <f aca="false">IF($A84="","",SUMIFS('Daily Log'!$L$4:$L$1503,'Daily Log'!$A$4:$A$1503,$A84))</f>
        <v/>
      </c>
      <c r="L84" s="3"/>
    </row>
    <row r="85" customFormat="false" ht="15" hidden="false" customHeight="false" outlineLevel="0" collapsed="false">
      <c r="A85" s="54"/>
      <c r="B85" s="27" t="str">
        <f aca="false">IF($A85="","",SUMIFS('Daily Log'!$C$4:$C$1503,'Daily Log'!$A$4:$A$1503,$A85))</f>
        <v/>
      </c>
      <c r="C85" s="27" t="str">
        <f aca="false">IF($A85="","",SUMIFS('Daily Log'!$D$4:$D$1503,'Daily Log'!$A$4:$A$1503,$A85))</f>
        <v/>
      </c>
      <c r="D85" s="29" t="str">
        <f aca="false">IF(N($B85)=0,"",$C85/$B85)</f>
        <v/>
      </c>
      <c r="E85" s="27" t="str">
        <f aca="false">IF($A85="","",SUMIFS('Daily Log'!$E$4:$E$1503,'Daily Log'!$A$4:$A$1503,$A85))</f>
        <v/>
      </c>
      <c r="F85" s="27" t="str">
        <f aca="false">IF($A85="","",SUMIFS('Daily Log'!$F$4:$F$1503,'Daily Log'!$A$4:$A$1503,$A85))</f>
        <v/>
      </c>
      <c r="G85" s="29" t="str">
        <f aca="false">IF(N($E85)=0,"",$F85/$E85)</f>
        <v/>
      </c>
      <c r="H85" s="28" t="str">
        <f aca="false">IF($A85="","",SUMIFS('Daily Log'!$G$4:$G$1503,'Daily Log'!$A$4:$A$1503,$A85))</f>
        <v/>
      </c>
      <c r="I85" s="27" t="str">
        <f aca="false">IF($A85="","",SUMIFS('Daily Log'!$J$4:$J$1503,'Daily Log'!$A$4:$A$1503,$A85))</f>
        <v/>
      </c>
      <c r="J85" s="27" t="str">
        <f aca="false">IF($A85="","",SUMIFS('Daily Log'!$K$4:$K$1503,'Daily Log'!$A$4:$A$1503,$A85))</f>
        <v/>
      </c>
      <c r="K85" s="27" t="str">
        <f aca="false">IF($A85="","",SUMIFS('Daily Log'!$L$4:$L$1503,'Daily Log'!$A$4:$A$1503,$A85))</f>
        <v/>
      </c>
      <c r="L85" s="3"/>
    </row>
    <row r="86" customFormat="false" ht="15" hidden="false" customHeight="false" outlineLevel="0" collapsed="false">
      <c r="A86" s="48"/>
      <c r="B86" s="20" t="str">
        <f aca="false">IF($A86="","",SUMIFS('Daily Log'!$C$4:$C$1503,'Daily Log'!$A$4:$A$1503,$A86))</f>
        <v/>
      </c>
      <c r="C86" s="20" t="str">
        <f aca="false">IF($A86="","",SUMIFS('Daily Log'!$D$4:$D$1503,'Daily Log'!$A$4:$A$1503,$A86))</f>
        <v/>
      </c>
      <c r="D86" s="22" t="str">
        <f aca="false">IF(N($B86)=0,"",$C86/$B86)</f>
        <v/>
      </c>
      <c r="E86" s="20" t="str">
        <f aca="false">IF($A86="","",SUMIFS('Daily Log'!$E$4:$E$1503,'Daily Log'!$A$4:$A$1503,$A86))</f>
        <v/>
      </c>
      <c r="F86" s="20" t="str">
        <f aca="false">IF($A86="","",SUMIFS('Daily Log'!$F$4:$F$1503,'Daily Log'!$A$4:$A$1503,$A86))</f>
        <v/>
      </c>
      <c r="G86" s="22" t="str">
        <f aca="false">IF(N($E86)=0,"",$F86/$E86)</f>
        <v/>
      </c>
      <c r="H86" s="21" t="str">
        <f aca="false">IF($A86="","",SUMIFS('Daily Log'!$G$4:$G$1503,'Daily Log'!$A$4:$A$1503,$A86))</f>
        <v/>
      </c>
      <c r="I86" s="20" t="str">
        <f aca="false">IF($A86="","",SUMIFS('Daily Log'!$J$4:$J$1503,'Daily Log'!$A$4:$A$1503,$A86))</f>
        <v/>
      </c>
      <c r="J86" s="20" t="str">
        <f aca="false">IF($A86="","",SUMIFS('Daily Log'!$K$4:$K$1503,'Daily Log'!$A$4:$A$1503,$A86))</f>
        <v/>
      </c>
      <c r="K86" s="20" t="str">
        <f aca="false">IF($A86="","",SUMIFS('Daily Log'!$L$4:$L$1503,'Daily Log'!$A$4:$A$1503,$A86))</f>
        <v/>
      </c>
      <c r="L86" s="3"/>
    </row>
    <row r="87" customFormat="false" ht="15" hidden="false" customHeight="false" outlineLevel="0" collapsed="false">
      <c r="A87" s="54"/>
      <c r="B87" s="27" t="str">
        <f aca="false">IF($A87="","",SUMIFS('Daily Log'!$C$4:$C$1503,'Daily Log'!$A$4:$A$1503,$A87))</f>
        <v/>
      </c>
      <c r="C87" s="27" t="str">
        <f aca="false">IF($A87="","",SUMIFS('Daily Log'!$D$4:$D$1503,'Daily Log'!$A$4:$A$1503,$A87))</f>
        <v/>
      </c>
      <c r="D87" s="29" t="str">
        <f aca="false">IF(N($B87)=0,"",$C87/$B87)</f>
        <v/>
      </c>
      <c r="E87" s="27" t="str">
        <f aca="false">IF($A87="","",SUMIFS('Daily Log'!$E$4:$E$1503,'Daily Log'!$A$4:$A$1503,$A87))</f>
        <v/>
      </c>
      <c r="F87" s="27" t="str">
        <f aca="false">IF($A87="","",SUMIFS('Daily Log'!$F$4:$F$1503,'Daily Log'!$A$4:$A$1503,$A87))</f>
        <v/>
      </c>
      <c r="G87" s="29" t="str">
        <f aca="false">IF(N($E87)=0,"",$F87/$E87)</f>
        <v/>
      </c>
      <c r="H87" s="28" t="str">
        <f aca="false">IF($A87="","",SUMIFS('Daily Log'!$G$4:$G$1503,'Daily Log'!$A$4:$A$1503,$A87))</f>
        <v/>
      </c>
      <c r="I87" s="27" t="str">
        <f aca="false">IF($A87="","",SUMIFS('Daily Log'!$J$4:$J$1503,'Daily Log'!$A$4:$A$1503,$A87))</f>
        <v/>
      </c>
      <c r="J87" s="27" t="str">
        <f aca="false">IF($A87="","",SUMIFS('Daily Log'!$K$4:$K$1503,'Daily Log'!$A$4:$A$1503,$A87))</f>
        <v/>
      </c>
      <c r="K87" s="27" t="str">
        <f aca="false">IF($A87="","",SUMIFS('Daily Log'!$L$4:$L$1503,'Daily Log'!$A$4:$A$1503,$A87))</f>
        <v/>
      </c>
      <c r="L87" s="3"/>
    </row>
    <row r="88" customFormat="false" ht="15" hidden="false" customHeight="false" outlineLevel="0" collapsed="false">
      <c r="A88" s="48"/>
      <c r="B88" s="20" t="str">
        <f aca="false">IF($A88="","",SUMIFS('Daily Log'!$C$4:$C$1503,'Daily Log'!$A$4:$A$1503,$A88))</f>
        <v/>
      </c>
      <c r="C88" s="20" t="str">
        <f aca="false">IF($A88="","",SUMIFS('Daily Log'!$D$4:$D$1503,'Daily Log'!$A$4:$A$1503,$A88))</f>
        <v/>
      </c>
      <c r="D88" s="22" t="str">
        <f aca="false">IF(N($B88)=0,"",$C88/$B88)</f>
        <v/>
      </c>
      <c r="E88" s="20" t="str">
        <f aca="false">IF($A88="","",SUMIFS('Daily Log'!$E$4:$E$1503,'Daily Log'!$A$4:$A$1503,$A88))</f>
        <v/>
      </c>
      <c r="F88" s="20" t="str">
        <f aca="false">IF($A88="","",SUMIFS('Daily Log'!$F$4:$F$1503,'Daily Log'!$A$4:$A$1503,$A88))</f>
        <v/>
      </c>
      <c r="G88" s="22" t="str">
        <f aca="false">IF(N($E88)=0,"",$F88/$E88)</f>
        <v/>
      </c>
      <c r="H88" s="21" t="str">
        <f aca="false">IF($A88="","",SUMIFS('Daily Log'!$G$4:$G$1503,'Daily Log'!$A$4:$A$1503,$A88))</f>
        <v/>
      </c>
      <c r="I88" s="20" t="str">
        <f aca="false">IF($A88="","",SUMIFS('Daily Log'!$J$4:$J$1503,'Daily Log'!$A$4:$A$1503,$A88))</f>
        <v/>
      </c>
      <c r="J88" s="20" t="str">
        <f aca="false">IF($A88="","",SUMIFS('Daily Log'!$K$4:$K$1503,'Daily Log'!$A$4:$A$1503,$A88))</f>
        <v/>
      </c>
      <c r="K88" s="20" t="str">
        <f aca="false">IF($A88="","",SUMIFS('Daily Log'!$L$4:$L$1503,'Daily Log'!$A$4:$A$1503,$A88))</f>
        <v/>
      </c>
      <c r="L88" s="3"/>
    </row>
    <row r="89" customFormat="false" ht="15" hidden="false" customHeight="false" outlineLevel="0" collapsed="false">
      <c r="A89" s="54"/>
      <c r="B89" s="27" t="str">
        <f aca="false">IF($A89="","",SUMIFS('Daily Log'!$C$4:$C$1503,'Daily Log'!$A$4:$A$1503,$A89))</f>
        <v/>
      </c>
      <c r="C89" s="27" t="str">
        <f aca="false">IF($A89="","",SUMIFS('Daily Log'!$D$4:$D$1503,'Daily Log'!$A$4:$A$1503,$A89))</f>
        <v/>
      </c>
      <c r="D89" s="29" t="str">
        <f aca="false">IF(N($B89)=0,"",$C89/$B89)</f>
        <v/>
      </c>
      <c r="E89" s="27" t="str">
        <f aca="false">IF($A89="","",SUMIFS('Daily Log'!$E$4:$E$1503,'Daily Log'!$A$4:$A$1503,$A89))</f>
        <v/>
      </c>
      <c r="F89" s="27" t="str">
        <f aca="false">IF($A89="","",SUMIFS('Daily Log'!$F$4:$F$1503,'Daily Log'!$A$4:$A$1503,$A89))</f>
        <v/>
      </c>
      <c r="G89" s="29" t="str">
        <f aca="false">IF(N($E89)=0,"",$F89/$E89)</f>
        <v/>
      </c>
      <c r="H89" s="28" t="str">
        <f aca="false">IF($A89="","",SUMIFS('Daily Log'!$G$4:$G$1503,'Daily Log'!$A$4:$A$1503,$A89))</f>
        <v/>
      </c>
      <c r="I89" s="27" t="str">
        <f aca="false">IF($A89="","",SUMIFS('Daily Log'!$J$4:$J$1503,'Daily Log'!$A$4:$A$1503,$A89))</f>
        <v/>
      </c>
      <c r="J89" s="27" t="str">
        <f aca="false">IF($A89="","",SUMIFS('Daily Log'!$K$4:$K$1503,'Daily Log'!$A$4:$A$1503,$A89))</f>
        <v/>
      </c>
      <c r="K89" s="27" t="str">
        <f aca="false">IF($A89="","",SUMIFS('Daily Log'!$L$4:$L$1503,'Daily Log'!$A$4:$A$1503,$A89))</f>
        <v/>
      </c>
      <c r="L89" s="3"/>
    </row>
    <row r="90" customFormat="false" ht="15" hidden="false" customHeight="false" outlineLevel="0" collapsed="false">
      <c r="A90" s="48"/>
      <c r="B90" s="20" t="str">
        <f aca="false">IF($A90="","",SUMIFS('Daily Log'!$C$4:$C$1503,'Daily Log'!$A$4:$A$1503,$A90))</f>
        <v/>
      </c>
      <c r="C90" s="20" t="str">
        <f aca="false">IF($A90="","",SUMIFS('Daily Log'!$D$4:$D$1503,'Daily Log'!$A$4:$A$1503,$A90))</f>
        <v/>
      </c>
      <c r="D90" s="22" t="str">
        <f aca="false">IF(N($B90)=0,"",$C90/$B90)</f>
        <v/>
      </c>
      <c r="E90" s="20" t="str">
        <f aca="false">IF($A90="","",SUMIFS('Daily Log'!$E$4:$E$1503,'Daily Log'!$A$4:$A$1503,$A90))</f>
        <v/>
      </c>
      <c r="F90" s="20" t="str">
        <f aca="false">IF($A90="","",SUMIFS('Daily Log'!$F$4:$F$1503,'Daily Log'!$A$4:$A$1503,$A90))</f>
        <v/>
      </c>
      <c r="G90" s="22" t="str">
        <f aca="false">IF(N($E90)=0,"",$F90/$E90)</f>
        <v/>
      </c>
      <c r="H90" s="21" t="str">
        <f aca="false">IF($A90="","",SUMIFS('Daily Log'!$G$4:$G$1503,'Daily Log'!$A$4:$A$1503,$A90))</f>
        <v/>
      </c>
      <c r="I90" s="20" t="str">
        <f aca="false">IF($A90="","",SUMIFS('Daily Log'!$J$4:$J$1503,'Daily Log'!$A$4:$A$1503,$A90))</f>
        <v/>
      </c>
      <c r="J90" s="20" t="str">
        <f aca="false">IF($A90="","",SUMIFS('Daily Log'!$K$4:$K$1503,'Daily Log'!$A$4:$A$1503,$A90))</f>
        <v/>
      </c>
      <c r="K90" s="20" t="str">
        <f aca="false">IF($A90="","",SUMIFS('Daily Log'!$L$4:$L$1503,'Daily Log'!$A$4:$A$1503,$A90))</f>
        <v/>
      </c>
      <c r="L90" s="3"/>
    </row>
    <row r="91" customFormat="false" ht="15" hidden="false" customHeight="false" outlineLevel="0" collapsed="false">
      <c r="A91" s="54"/>
      <c r="B91" s="27" t="str">
        <f aca="false">IF($A91="","",SUMIFS('Daily Log'!$C$4:$C$1503,'Daily Log'!$A$4:$A$1503,$A91))</f>
        <v/>
      </c>
      <c r="C91" s="27" t="str">
        <f aca="false">IF($A91="","",SUMIFS('Daily Log'!$D$4:$D$1503,'Daily Log'!$A$4:$A$1503,$A91))</f>
        <v/>
      </c>
      <c r="D91" s="29" t="str">
        <f aca="false">IF(N($B91)=0,"",$C91/$B91)</f>
        <v/>
      </c>
      <c r="E91" s="27" t="str">
        <f aca="false">IF($A91="","",SUMIFS('Daily Log'!$E$4:$E$1503,'Daily Log'!$A$4:$A$1503,$A91))</f>
        <v/>
      </c>
      <c r="F91" s="27" t="str">
        <f aca="false">IF($A91="","",SUMIFS('Daily Log'!$F$4:$F$1503,'Daily Log'!$A$4:$A$1503,$A91))</f>
        <v/>
      </c>
      <c r="G91" s="29" t="str">
        <f aca="false">IF(N($E91)=0,"",$F91/$E91)</f>
        <v/>
      </c>
      <c r="H91" s="28" t="str">
        <f aca="false">IF($A91="","",SUMIFS('Daily Log'!$G$4:$G$1503,'Daily Log'!$A$4:$A$1503,$A91))</f>
        <v/>
      </c>
      <c r="I91" s="27" t="str">
        <f aca="false">IF($A91="","",SUMIFS('Daily Log'!$J$4:$J$1503,'Daily Log'!$A$4:$A$1503,$A91))</f>
        <v/>
      </c>
      <c r="J91" s="27" t="str">
        <f aca="false">IF($A91="","",SUMIFS('Daily Log'!$K$4:$K$1503,'Daily Log'!$A$4:$A$1503,$A91))</f>
        <v/>
      </c>
      <c r="K91" s="27" t="str">
        <f aca="false">IF($A91="","",SUMIFS('Daily Log'!$L$4:$L$1503,'Daily Log'!$A$4:$A$1503,$A91))</f>
        <v/>
      </c>
      <c r="L91" s="3"/>
    </row>
    <row r="92" customFormat="false" ht="15" hidden="false" customHeight="false" outlineLevel="0" collapsed="false">
      <c r="A92" s="48"/>
      <c r="B92" s="20" t="str">
        <f aca="false">IF($A92="","",SUMIFS('Daily Log'!$C$4:$C$1503,'Daily Log'!$A$4:$A$1503,$A92))</f>
        <v/>
      </c>
      <c r="C92" s="20" t="str">
        <f aca="false">IF($A92="","",SUMIFS('Daily Log'!$D$4:$D$1503,'Daily Log'!$A$4:$A$1503,$A92))</f>
        <v/>
      </c>
      <c r="D92" s="22" t="str">
        <f aca="false">IF(N($B92)=0,"",$C92/$B92)</f>
        <v/>
      </c>
      <c r="E92" s="20" t="str">
        <f aca="false">IF($A92="","",SUMIFS('Daily Log'!$E$4:$E$1503,'Daily Log'!$A$4:$A$1503,$A92))</f>
        <v/>
      </c>
      <c r="F92" s="20" t="str">
        <f aca="false">IF($A92="","",SUMIFS('Daily Log'!$F$4:$F$1503,'Daily Log'!$A$4:$A$1503,$A92))</f>
        <v/>
      </c>
      <c r="G92" s="22" t="str">
        <f aca="false">IF(N($E92)=0,"",$F92/$E92)</f>
        <v/>
      </c>
      <c r="H92" s="21" t="str">
        <f aca="false">IF($A92="","",SUMIFS('Daily Log'!$G$4:$G$1503,'Daily Log'!$A$4:$A$1503,$A92))</f>
        <v/>
      </c>
      <c r="I92" s="20" t="str">
        <f aca="false">IF($A92="","",SUMIFS('Daily Log'!$J$4:$J$1503,'Daily Log'!$A$4:$A$1503,$A92))</f>
        <v/>
      </c>
      <c r="J92" s="20" t="str">
        <f aca="false">IF($A92="","",SUMIFS('Daily Log'!$K$4:$K$1503,'Daily Log'!$A$4:$A$1503,$A92))</f>
        <v/>
      </c>
      <c r="K92" s="20" t="str">
        <f aca="false">IF($A92="","",SUMIFS('Daily Log'!$L$4:$L$1503,'Daily Log'!$A$4:$A$1503,$A92))</f>
        <v/>
      </c>
      <c r="L92" s="3"/>
    </row>
    <row r="93" customFormat="false" ht="15" hidden="false" customHeight="false" outlineLevel="0" collapsed="false">
      <c r="A93" s="54"/>
      <c r="B93" s="27" t="str">
        <f aca="false">IF($A93="","",SUMIFS('Daily Log'!$C$4:$C$1503,'Daily Log'!$A$4:$A$1503,$A93))</f>
        <v/>
      </c>
      <c r="C93" s="27" t="str">
        <f aca="false">IF($A93="","",SUMIFS('Daily Log'!$D$4:$D$1503,'Daily Log'!$A$4:$A$1503,$A93))</f>
        <v/>
      </c>
      <c r="D93" s="29" t="str">
        <f aca="false">IF(N($B93)=0,"",$C93/$B93)</f>
        <v/>
      </c>
      <c r="E93" s="27" t="str">
        <f aca="false">IF($A93="","",SUMIFS('Daily Log'!$E$4:$E$1503,'Daily Log'!$A$4:$A$1503,$A93))</f>
        <v/>
      </c>
      <c r="F93" s="27" t="str">
        <f aca="false">IF($A93="","",SUMIFS('Daily Log'!$F$4:$F$1503,'Daily Log'!$A$4:$A$1503,$A93))</f>
        <v/>
      </c>
      <c r="G93" s="29" t="str">
        <f aca="false">IF(N($E93)=0,"",$F93/$E93)</f>
        <v/>
      </c>
      <c r="H93" s="28" t="str">
        <f aca="false">IF($A93="","",SUMIFS('Daily Log'!$G$4:$G$1503,'Daily Log'!$A$4:$A$1503,$A93))</f>
        <v/>
      </c>
      <c r="I93" s="27" t="str">
        <f aca="false">IF($A93="","",SUMIFS('Daily Log'!$J$4:$J$1503,'Daily Log'!$A$4:$A$1503,$A93))</f>
        <v/>
      </c>
      <c r="J93" s="27" t="str">
        <f aca="false">IF($A93="","",SUMIFS('Daily Log'!$K$4:$K$1503,'Daily Log'!$A$4:$A$1503,$A93))</f>
        <v/>
      </c>
      <c r="K93" s="27" t="str">
        <f aca="false">IF($A93="","",SUMIFS('Daily Log'!$L$4:$L$1503,'Daily Log'!$A$4:$A$1503,$A93))</f>
        <v/>
      </c>
      <c r="L93" s="3"/>
    </row>
    <row r="94" customFormat="false" ht="15" hidden="false" customHeight="false" outlineLevel="0" collapsed="false">
      <c r="A94" s="48"/>
      <c r="B94" s="20" t="str">
        <f aca="false">IF($A94="","",SUMIFS('Daily Log'!$C$4:$C$1503,'Daily Log'!$A$4:$A$1503,$A94))</f>
        <v/>
      </c>
      <c r="C94" s="20" t="str">
        <f aca="false">IF($A94="","",SUMIFS('Daily Log'!$D$4:$D$1503,'Daily Log'!$A$4:$A$1503,$A94))</f>
        <v/>
      </c>
      <c r="D94" s="22" t="str">
        <f aca="false">IF(N($B94)=0,"",$C94/$B94)</f>
        <v/>
      </c>
      <c r="E94" s="20" t="str">
        <f aca="false">IF($A94="","",SUMIFS('Daily Log'!$E$4:$E$1503,'Daily Log'!$A$4:$A$1503,$A94))</f>
        <v/>
      </c>
      <c r="F94" s="20" t="str">
        <f aca="false">IF($A94="","",SUMIFS('Daily Log'!$F$4:$F$1503,'Daily Log'!$A$4:$A$1503,$A94))</f>
        <v/>
      </c>
      <c r="G94" s="22" t="str">
        <f aca="false">IF(N($E94)=0,"",$F94/$E94)</f>
        <v/>
      </c>
      <c r="H94" s="21" t="str">
        <f aca="false">IF($A94="","",SUMIFS('Daily Log'!$G$4:$G$1503,'Daily Log'!$A$4:$A$1503,$A94))</f>
        <v/>
      </c>
      <c r="I94" s="20" t="str">
        <f aca="false">IF($A94="","",SUMIFS('Daily Log'!$J$4:$J$1503,'Daily Log'!$A$4:$A$1503,$A94))</f>
        <v/>
      </c>
      <c r="J94" s="20" t="str">
        <f aca="false">IF($A94="","",SUMIFS('Daily Log'!$K$4:$K$1503,'Daily Log'!$A$4:$A$1503,$A94))</f>
        <v/>
      </c>
      <c r="K94" s="20" t="str">
        <f aca="false">IF($A94="","",SUMIFS('Daily Log'!$L$4:$L$1503,'Daily Log'!$A$4:$A$1503,$A94))</f>
        <v/>
      </c>
      <c r="L94" s="3"/>
    </row>
    <row r="95" customFormat="false" ht="15" hidden="false" customHeight="false" outlineLevel="0" collapsed="false">
      <c r="A95" s="54"/>
      <c r="B95" s="27" t="str">
        <f aca="false">IF($A95="","",SUMIFS('Daily Log'!$C$4:$C$1503,'Daily Log'!$A$4:$A$1503,$A95))</f>
        <v/>
      </c>
      <c r="C95" s="27" t="str">
        <f aca="false">IF($A95="","",SUMIFS('Daily Log'!$D$4:$D$1503,'Daily Log'!$A$4:$A$1503,$A95))</f>
        <v/>
      </c>
      <c r="D95" s="29" t="str">
        <f aca="false">IF(N($B95)=0,"",$C95/$B95)</f>
        <v/>
      </c>
      <c r="E95" s="27" t="str">
        <f aca="false">IF($A95="","",SUMIFS('Daily Log'!$E$4:$E$1503,'Daily Log'!$A$4:$A$1503,$A95))</f>
        <v/>
      </c>
      <c r="F95" s="27" t="str">
        <f aca="false">IF($A95="","",SUMIFS('Daily Log'!$F$4:$F$1503,'Daily Log'!$A$4:$A$1503,$A95))</f>
        <v/>
      </c>
      <c r="G95" s="29" t="str">
        <f aca="false">IF(N($E95)=0,"",$F95/$E95)</f>
        <v/>
      </c>
      <c r="H95" s="28" t="str">
        <f aca="false">IF($A95="","",SUMIFS('Daily Log'!$G$4:$G$1503,'Daily Log'!$A$4:$A$1503,$A95))</f>
        <v/>
      </c>
      <c r="I95" s="27" t="str">
        <f aca="false">IF($A95="","",SUMIFS('Daily Log'!$J$4:$J$1503,'Daily Log'!$A$4:$A$1503,$A95))</f>
        <v/>
      </c>
      <c r="J95" s="27" t="str">
        <f aca="false">IF($A95="","",SUMIFS('Daily Log'!$K$4:$K$1503,'Daily Log'!$A$4:$A$1503,$A95))</f>
        <v/>
      </c>
      <c r="K95" s="27" t="str">
        <f aca="false">IF($A95="","",SUMIFS('Daily Log'!$L$4:$L$1503,'Daily Log'!$A$4:$A$1503,$A95))</f>
        <v/>
      </c>
      <c r="L95" s="3"/>
    </row>
    <row r="96" customFormat="false" ht="15" hidden="false" customHeight="false" outlineLevel="0" collapsed="false">
      <c r="A96" s="48"/>
      <c r="B96" s="20" t="str">
        <f aca="false">IF($A96="","",SUMIFS('Daily Log'!$C$4:$C$1503,'Daily Log'!$A$4:$A$1503,$A96))</f>
        <v/>
      </c>
      <c r="C96" s="20" t="str">
        <f aca="false">IF($A96="","",SUMIFS('Daily Log'!$D$4:$D$1503,'Daily Log'!$A$4:$A$1503,$A96))</f>
        <v/>
      </c>
      <c r="D96" s="22" t="str">
        <f aca="false">IF(N($B96)=0,"",$C96/$B96)</f>
        <v/>
      </c>
      <c r="E96" s="20" t="str">
        <f aca="false">IF($A96="","",SUMIFS('Daily Log'!$E$4:$E$1503,'Daily Log'!$A$4:$A$1503,$A96))</f>
        <v/>
      </c>
      <c r="F96" s="20" t="str">
        <f aca="false">IF($A96="","",SUMIFS('Daily Log'!$F$4:$F$1503,'Daily Log'!$A$4:$A$1503,$A96))</f>
        <v/>
      </c>
      <c r="G96" s="22" t="str">
        <f aca="false">IF(N($E96)=0,"",$F96/$E96)</f>
        <v/>
      </c>
      <c r="H96" s="21" t="str">
        <f aca="false">IF($A96="","",SUMIFS('Daily Log'!$G$4:$G$1503,'Daily Log'!$A$4:$A$1503,$A96))</f>
        <v/>
      </c>
      <c r="I96" s="20" t="str">
        <f aca="false">IF($A96="","",SUMIFS('Daily Log'!$J$4:$J$1503,'Daily Log'!$A$4:$A$1503,$A96))</f>
        <v/>
      </c>
      <c r="J96" s="20" t="str">
        <f aca="false">IF($A96="","",SUMIFS('Daily Log'!$K$4:$K$1503,'Daily Log'!$A$4:$A$1503,$A96))</f>
        <v/>
      </c>
      <c r="K96" s="20" t="str">
        <f aca="false">IF($A96="","",SUMIFS('Daily Log'!$L$4:$L$1503,'Daily Log'!$A$4:$A$1503,$A96))</f>
        <v/>
      </c>
      <c r="L96" s="3"/>
    </row>
    <row r="97" customFormat="false" ht="15" hidden="false" customHeight="false" outlineLevel="0" collapsed="false">
      <c r="A97" s="54"/>
      <c r="B97" s="27" t="str">
        <f aca="false">IF($A97="","",SUMIFS('Daily Log'!$C$4:$C$1503,'Daily Log'!$A$4:$A$1503,$A97))</f>
        <v/>
      </c>
      <c r="C97" s="27" t="str">
        <f aca="false">IF($A97="","",SUMIFS('Daily Log'!$D$4:$D$1503,'Daily Log'!$A$4:$A$1503,$A97))</f>
        <v/>
      </c>
      <c r="D97" s="29" t="str">
        <f aca="false">IF(N($B97)=0,"",$C97/$B97)</f>
        <v/>
      </c>
      <c r="E97" s="27" t="str">
        <f aca="false">IF($A97="","",SUMIFS('Daily Log'!$E$4:$E$1503,'Daily Log'!$A$4:$A$1503,$A97))</f>
        <v/>
      </c>
      <c r="F97" s="27" t="str">
        <f aca="false">IF($A97="","",SUMIFS('Daily Log'!$F$4:$F$1503,'Daily Log'!$A$4:$A$1503,$A97))</f>
        <v/>
      </c>
      <c r="G97" s="29" t="str">
        <f aca="false">IF(N($E97)=0,"",$F97/$E97)</f>
        <v/>
      </c>
      <c r="H97" s="28" t="str">
        <f aca="false">IF($A97="","",SUMIFS('Daily Log'!$G$4:$G$1503,'Daily Log'!$A$4:$A$1503,$A97))</f>
        <v/>
      </c>
      <c r="I97" s="27" t="str">
        <f aca="false">IF($A97="","",SUMIFS('Daily Log'!$J$4:$J$1503,'Daily Log'!$A$4:$A$1503,$A97))</f>
        <v/>
      </c>
      <c r="J97" s="27" t="str">
        <f aca="false">IF($A97="","",SUMIFS('Daily Log'!$K$4:$K$1503,'Daily Log'!$A$4:$A$1503,$A97))</f>
        <v/>
      </c>
      <c r="K97" s="27" t="str">
        <f aca="false">IF($A97="","",SUMIFS('Daily Log'!$L$4:$L$1503,'Daily Log'!$A$4:$A$1503,$A97))</f>
        <v/>
      </c>
      <c r="L97" s="3"/>
    </row>
    <row r="98" customFormat="false" ht="15" hidden="false" customHeight="false" outlineLevel="0" collapsed="false">
      <c r="A98" s="48"/>
      <c r="B98" s="20" t="str">
        <f aca="false">IF($A98="","",SUMIFS('Daily Log'!$C$4:$C$1503,'Daily Log'!$A$4:$A$1503,$A98))</f>
        <v/>
      </c>
      <c r="C98" s="20" t="str">
        <f aca="false">IF($A98="","",SUMIFS('Daily Log'!$D$4:$D$1503,'Daily Log'!$A$4:$A$1503,$A98))</f>
        <v/>
      </c>
      <c r="D98" s="22" t="str">
        <f aca="false">IF(N($B98)=0,"",$C98/$B98)</f>
        <v/>
      </c>
      <c r="E98" s="20" t="str">
        <f aca="false">IF($A98="","",SUMIFS('Daily Log'!$E$4:$E$1503,'Daily Log'!$A$4:$A$1503,$A98))</f>
        <v/>
      </c>
      <c r="F98" s="20" t="str">
        <f aca="false">IF($A98="","",SUMIFS('Daily Log'!$F$4:$F$1503,'Daily Log'!$A$4:$A$1503,$A98))</f>
        <v/>
      </c>
      <c r="G98" s="22" t="str">
        <f aca="false">IF(N($E98)=0,"",$F98/$E98)</f>
        <v/>
      </c>
      <c r="H98" s="21" t="str">
        <f aca="false">IF($A98="","",SUMIFS('Daily Log'!$G$4:$G$1503,'Daily Log'!$A$4:$A$1503,$A98))</f>
        <v/>
      </c>
      <c r="I98" s="20" t="str">
        <f aca="false">IF($A98="","",SUMIFS('Daily Log'!$J$4:$J$1503,'Daily Log'!$A$4:$A$1503,$A98))</f>
        <v/>
      </c>
      <c r="J98" s="20" t="str">
        <f aca="false">IF($A98="","",SUMIFS('Daily Log'!$K$4:$K$1503,'Daily Log'!$A$4:$A$1503,$A98))</f>
        <v/>
      </c>
      <c r="K98" s="20" t="str">
        <f aca="false">IF($A98="","",SUMIFS('Daily Log'!$L$4:$L$1503,'Daily Log'!$A$4:$A$1503,$A98))</f>
        <v/>
      </c>
      <c r="L98" s="3"/>
    </row>
    <row r="99" customFormat="false" ht="15" hidden="false" customHeight="false" outlineLevel="0" collapsed="false">
      <c r="A99" s="54"/>
      <c r="B99" s="27" t="str">
        <f aca="false">IF($A99="","",SUMIFS('Daily Log'!$C$4:$C$1503,'Daily Log'!$A$4:$A$1503,$A99))</f>
        <v/>
      </c>
      <c r="C99" s="27" t="str">
        <f aca="false">IF($A99="","",SUMIFS('Daily Log'!$D$4:$D$1503,'Daily Log'!$A$4:$A$1503,$A99))</f>
        <v/>
      </c>
      <c r="D99" s="29" t="str">
        <f aca="false">IF(N($B99)=0,"",$C99/$B99)</f>
        <v/>
      </c>
      <c r="E99" s="27" t="str">
        <f aca="false">IF($A99="","",SUMIFS('Daily Log'!$E$4:$E$1503,'Daily Log'!$A$4:$A$1503,$A99))</f>
        <v/>
      </c>
      <c r="F99" s="27" t="str">
        <f aca="false">IF($A99="","",SUMIFS('Daily Log'!$F$4:$F$1503,'Daily Log'!$A$4:$A$1503,$A99))</f>
        <v/>
      </c>
      <c r="G99" s="29" t="str">
        <f aca="false">IF(N($E99)=0,"",$F99/$E99)</f>
        <v/>
      </c>
      <c r="H99" s="28" t="str">
        <f aca="false">IF($A99="","",SUMIFS('Daily Log'!$G$4:$G$1503,'Daily Log'!$A$4:$A$1503,$A99))</f>
        <v/>
      </c>
      <c r="I99" s="27" t="str">
        <f aca="false">IF($A99="","",SUMIFS('Daily Log'!$J$4:$J$1503,'Daily Log'!$A$4:$A$1503,$A99))</f>
        <v/>
      </c>
      <c r="J99" s="27" t="str">
        <f aca="false">IF($A99="","",SUMIFS('Daily Log'!$K$4:$K$1503,'Daily Log'!$A$4:$A$1503,$A99))</f>
        <v/>
      </c>
      <c r="K99" s="27" t="str">
        <f aca="false">IF($A99="","",SUMIFS('Daily Log'!$L$4:$L$1503,'Daily Log'!$A$4:$A$1503,$A99))</f>
        <v/>
      </c>
      <c r="L99" s="3"/>
    </row>
    <row r="100" customFormat="false" ht="15" hidden="false" customHeight="false" outlineLevel="0" collapsed="false">
      <c r="A100" s="48"/>
      <c r="B100" s="20" t="str">
        <f aca="false">IF($A100="","",SUMIFS('Daily Log'!$C$4:$C$1503,'Daily Log'!$A$4:$A$1503,$A100))</f>
        <v/>
      </c>
      <c r="C100" s="20" t="str">
        <f aca="false">IF($A100="","",SUMIFS('Daily Log'!$D$4:$D$1503,'Daily Log'!$A$4:$A$1503,$A100))</f>
        <v/>
      </c>
      <c r="D100" s="22" t="str">
        <f aca="false">IF(N($B100)=0,"",$C100/$B100)</f>
        <v/>
      </c>
      <c r="E100" s="20" t="str">
        <f aca="false">IF($A100="","",SUMIFS('Daily Log'!$E$4:$E$1503,'Daily Log'!$A$4:$A$1503,$A100))</f>
        <v/>
      </c>
      <c r="F100" s="20" t="str">
        <f aca="false">IF($A100="","",SUMIFS('Daily Log'!$F$4:$F$1503,'Daily Log'!$A$4:$A$1503,$A100))</f>
        <v/>
      </c>
      <c r="G100" s="22" t="str">
        <f aca="false">IF(N($E100)=0,"",$F100/$E100)</f>
        <v/>
      </c>
      <c r="H100" s="21" t="str">
        <f aca="false">IF($A100="","",SUMIFS('Daily Log'!$G$4:$G$1503,'Daily Log'!$A$4:$A$1503,$A100))</f>
        <v/>
      </c>
      <c r="I100" s="20" t="str">
        <f aca="false">IF($A100="","",SUMIFS('Daily Log'!$J$4:$J$1503,'Daily Log'!$A$4:$A$1503,$A100))</f>
        <v/>
      </c>
      <c r="J100" s="20" t="str">
        <f aca="false">IF($A100="","",SUMIFS('Daily Log'!$K$4:$K$1503,'Daily Log'!$A$4:$A$1503,$A100))</f>
        <v/>
      </c>
      <c r="K100" s="20" t="str">
        <f aca="false">IF($A100="","",SUMIFS('Daily Log'!$L$4:$L$1503,'Daily Log'!$A$4:$A$1503,$A100))</f>
        <v/>
      </c>
      <c r="L100" s="3"/>
    </row>
    <row r="101" customFormat="false" ht="15" hidden="false" customHeight="false" outlineLevel="0" collapsed="false">
      <c r="A101" s="54"/>
      <c r="B101" s="27" t="str">
        <f aca="false">IF($A101="","",SUMIFS('Daily Log'!$C$4:$C$1503,'Daily Log'!$A$4:$A$1503,$A101))</f>
        <v/>
      </c>
      <c r="C101" s="27" t="str">
        <f aca="false">IF($A101="","",SUMIFS('Daily Log'!$D$4:$D$1503,'Daily Log'!$A$4:$A$1503,$A101))</f>
        <v/>
      </c>
      <c r="D101" s="29" t="str">
        <f aca="false">IF(N($B101)=0,"",$C101/$B101)</f>
        <v/>
      </c>
      <c r="E101" s="27" t="str">
        <f aca="false">IF($A101="","",SUMIFS('Daily Log'!$E$4:$E$1503,'Daily Log'!$A$4:$A$1503,$A101))</f>
        <v/>
      </c>
      <c r="F101" s="27" t="str">
        <f aca="false">IF($A101="","",SUMIFS('Daily Log'!$F$4:$F$1503,'Daily Log'!$A$4:$A$1503,$A101))</f>
        <v/>
      </c>
      <c r="G101" s="29" t="str">
        <f aca="false">IF(N($E101)=0,"",$F101/$E101)</f>
        <v/>
      </c>
      <c r="H101" s="28" t="str">
        <f aca="false">IF($A101="","",SUMIFS('Daily Log'!$G$4:$G$1503,'Daily Log'!$A$4:$A$1503,$A101))</f>
        <v/>
      </c>
      <c r="I101" s="27" t="str">
        <f aca="false">IF($A101="","",SUMIFS('Daily Log'!$J$4:$J$1503,'Daily Log'!$A$4:$A$1503,$A101))</f>
        <v/>
      </c>
      <c r="J101" s="27" t="str">
        <f aca="false">IF($A101="","",SUMIFS('Daily Log'!$K$4:$K$1503,'Daily Log'!$A$4:$A$1503,$A101))</f>
        <v/>
      </c>
      <c r="K101" s="27" t="str">
        <f aca="false">IF($A101="","",SUMIFS('Daily Log'!$L$4:$L$1503,'Daily Log'!$A$4:$A$1503,$A101))</f>
        <v/>
      </c>
      <c r="L101" s="3"/>
    </row>
    <row r="102" customFormat="false" ht="15" hidden="false" customHeight="false" outlineLevel="0" collapsed="false">
      <c r="A102" s="48"/>
      <c r="B102" s="20" t="str">
        <f aca="false">IF($A102="","",SUMIFS('Daily Log'!$C$4:$C$1503,'Daily Log'!$A$4:$A$1503,$A102))</f>
        <v/>
      </c>
      <c r="C102" s="20" t="str">
        <f aca="false">IF($A102="","",SUMIFS('Daily Log'!$D$4:$D$1503,'Daily Log'!$A$4:$A$1503,$A102))</f>
        <v/>
      </c>
      <c r="D102" s="22" t="str">
        <f aca="false">IF(N($B102)=0,"",$C102/$B102)</f>
        <v/>
      </c>
      <c r="E102" s="20" t="str">
        <f aca="false">IF($A102="","",SUMIFS('Daily Log'!$E$4:$E$1503,'Daily Log'!$A$4:$A$1503,$A102))</f>
        <v/>
      </c>
      <c r="F102" s="20" t="str">
        <f aca="false">IF($A102="","",SUMIFS('Daily Log'!$F$4:$F$1503,'Daily Log'!$A$4:$A$1503,$A102))</f>
        <v/>
      </c>
      <c r="G102" s="22" t="str">
        <f aca="false">IF(N($E102)=0,"",$F102/$E102)</f>
        <v/>
      </c>
      <c r="H102" s="21" t="str">
        <f aca="false">IF($A102="","",SUMIFS('Daily Log'!$G$4:$G$1503,'Daily Log'!$A$4:$A$1503,$A102))</f>
        <v/>
      </c>
      <c r="I102" s="20" t="str">
        <f aca="false">IF($A102="","",SUMIFS('Daily Log'!$J$4:$J$1503,'Daily Log'!$A$4:$A$1503,$A102))</f>
        <v/>
      </c>
      <c r="J102" s="20" t="str">
        <f aca="false">IF($A102="","",SUMIFS('Daily Log'!$K$4:$K$1503,'Daily Log'!$A$4:$A$1503,$A102))</f>
        <v/>
      </c>
      <c r="K102" s="20" t="str">
        <f aca="false">IF($A102="","",SUMIFS('Daily Log'!$L$4:$L$1503,'Daily Log'!$A$4:$A$1503,$A102))</f>
        <v/>
      </c>
      <c r="L102" s="3"/>
    </row>
    <row r="103" customFormat="false" ht="15" hidden="false" customHeight="false" outlineLevel="0" collapsed="false">
      <c r="A103" s="54"/>
      <c r="B103" s="27" t="str">
        <f aca="false">IF($A103="","",SUMIFS('Daily Log'!$C$4:$C$1503,'Daily Log'!$A$4:$A$1503,$A103))</f>
        <v/>
      </c>
      <c r="C103" s="27" t="str">
        <f aca="false">IF($A103="","",SUMIFS('Daily Log'!$D$4:$D$1503,'Daily Log'!$A$4:$A$1503,$A103))</f>
        <v/>
      </c>
      <c r="D103" s="29" t="str">
        <f aca="false">IF(N($B103)=0,"",$C103/$B103)</f>
        <v/>
      </c>
      <c r="E103" s="27" t="str">
        <f aca="false">IF($A103="","",SUMIFS('Daily Log'!$E$4:$E$1503,'Daily Log'!$A$4:$A$1503,$A103))</f>
        <v/>
      </c>
      <c r="F103" s="27" t="str">
        <f aca="false">IF($A103="","",SUMIFS('Daily Log'!$F$4:$F$1503,'Daily Log'!$A$4:$A$1503,$A103))</f>
        <v/>
      </c>
      <c r="G103" s="29" t="str">
        <f aca="false">IF(N($E103)=0,"",$F103/$E103)</f>
        <v/>
      </c>
      <c r="H103" s="28" t="str">
        <f aca="false">IF($A103="","",SUMIFS('Daily Log'!$G$4:$G$1503,'Daily Log'!$A$4:$A$1503,$A103))</f>
        <v/>
      </c>
      <c r="I103" s="27" t="str">
        <f aca="false">IF($A103="","",SUMIFS('Daily Log'!$J$4:$J$1503,'Daily Log'!$A$4:$A$1503,$A103))</f>
        <v/>
      </c>
      <c r="J103" s="27" t="str">
        <f aca="false">IF($A103="","",SUMIFS('Daily Log'!$K$4:$K$1503,'Daily Log'!$A$4:$A$1503,$A103))</f>
        <v/>
      </c>
      <c r="K103" s="27" t="str">
        <f aca="false">IF($A103="","",SUMIFS('Daily Log'!$L$4:$L$1503,'Daily Log'!$A$4:$A$1503,$A103))</f>
        <v/>
      </c>
      <c r="L103" s="3"/>
    </row>
    <row r="104" customFormat="false" ht="15" hidden="false" customHeight="false" outlineLevel="0" collapsed="false">
      <c r="A104" s="48"/>
      <c r="B104" s="20" t="str">
        <f aca="false">IF($A104="","",SUMIFS('Daily Log'!$C$4:$C$1503,'Daily Log'!$A$4:$A$1503,$A104))</f>
        <v/>
      </c>
      <c r="C104" s="20" t="str">
        <f aca="false">IF($A104="","",SUMIFS('Daily Log'!$D$4:$D$1503,'Daily Log'!$A$4:$A$1503,$A104))</f>
        <v/>
      </c>
      <c r="D104" s="22" t="str">
        <f aca="false">IF(N($B104)=0,"",$C104/$B104)</f>
        <v/>
      </c>
      <c r="E104" s="20" t="str">
        <f aca="false">IF($A104="","",SUMIFS('Daily Log'!$E$4:$E$1503,'Daily Log'!$A$4:$A$1503,$A104))</f>
        <v/>
      </c>
      <c r="F104" s="20" t="str">
        <f aca="false">IF($A104="","",SUMIFS('Daily Log'!$F$4:$F$1503,'Daily Log'!$A$4:$A$1503,$A104))</f>
        <v/>
      </c>
      <c r="G104" s="22" t="str">
        <f aca="false">IF(N($E104)=0,"",$F104/$E104)</f>
        <v/>
      </c>
      <c r="H104" s="21" t="str">
        <f aca="false">IF($A104="","",SUMIFS('Daily Log'!$G$4:$G$1503,'Daily Log'!$A$4:$A$1503,$A104))</f>
        <v/>
      </c>
      <c r="I104" s="20" t="str">
        <f aca="false">IF($A104="","",SUMIFS('Daily Log'!$J$4:$J$1503,'Daily Log'!$A$4:$A$1503,$A104))</f>
        <v/>
      </c>
      <c r="J104" s="20" t="str">
        <f aca="false">IF($A104="","",SUMIFS('Daily Log'!$K$4:$K$1503,'Daily Log'!$A$4:$A$1503,$A104))</f>
        <v/>
      </c>
      <c r="K104" s="20" t="str">
        <f aca="false">IF($A104="","",SUMIFS('Daily Log'!$L$4:$L$1503,'Daily Log'!$A$4:$A$1503,$A104))</f>
        <v/>
      </c>
      <c r="L104" s="3"/>
    </row>
  </sheetData>
  <mergeCells count="2">
    <mergeCell ref="A1:L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F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3" min="2" style="0" width="20"/>
    <col collapsed="false" customWidth="true" hidden="false" outlineLevel="0" max="5" min="4" style="0" width="12"/>
    <col collapsed="false" customWidth="true" hidden="false" outlineLevel="0" max="6" min="6" style="0" width="14"/>
  </cols>
  <sheetData>
    <row r="1" customFormat="false" ht="25.5" hidden="false" customHeight="true" outlineLevel="0" collapsed="false">
      <c r="A1" s="1" t="s">
        <v>498</v>
      </c>
      <c r="B1" s="1"/>
      <c r="C1" s="1"/>
      <c r="D1" s="1"/>
      <c r="E1" s="1"/>
      <c r="F1" s="1"/>
    </row>
    <row r="2" customFormat="false" ht="15" hidden="false" customHeight="false" outlineLevel="0" collapsed="false">
      <c r="A2" s="2" t="s">
        <v>499</v>
      </c>
      <c r="B2" s="2"/>
      <c r="C2" s="2"/>
      <c r="D2" s="2"/>
      <c r="E2" s="2"/>
      <c r="F2" s="2"/>
    </row>
    <row r="3" customFormat="false" ht="31.5" hidden="false" customHeight="true" outlineLevel="0" collapsed="false">
      <c r="A3" s="45" t="s">
        <v>500</v>
      </c>
      <c r="B3" s="45" t="s">
        <v>501</v>
      </c>
      <c r="C3" s="45" t="s">
        <v>502</v>
      </c>
      <c r="D3" s="45" t="s">
        <v>356</v>
      </c>
      <c r="E3" s="45" t="s">
        <v>503</v>
      </c>
      <c r="F3" s="45" t="s">
        <v>504</v>
      </c>
    </row>
    <row r="4" customFormat="false" ht="15" hidden="false" customHeight="false" outlineLevel="0" collapsed="false">
      <c r="A4" s="46" t="s">
        <v>211</v>
      </c>
      <c r="B4" s="46" t="s">
        <v>288</v>
      </c>
      <c r="C4" s="46" t="s">
        <v>377</v>
      </c>
      <c r="D4" s="46" t="s">
        <v>369</v>
      </c>
      <c r="E4" s="46" t="n">
        <v>1</v>
      </c>
      <c r="F4" s="46" t="s">
        <v>5</v>
      </c>
    </row>
    <row r="5" customFormat="false" ht="15" hidden="false" customHeight="false" outlineLevel="0" collapsed="false">
      <c r="A5" s="46" t="s">
        <v>199</v>
      </c>
      <c r="B5" s="46" t="s">
        <v>282</v>
      </c>
      <c r="C5" s="46" t="s">
        <v>372</v>
      </c>
      <c r="D5" s="46" t="s">
        <v>374</v>
      </c>
      <c r="E5" s="46" t="n">
        <v>2</v>
      </c>
      <c r="F5" s="46" t="s">
        <v>7</v>
      </c>
    </row>
    <row r="6" customFormat="false" ht="15" hidden="false" customHeight="false" outlineLevel="0" collapsed="false">
      <c r="A6" s="46" t="s">
        <v>213</v>
      </c>
      <c r="B6" s="46" t="s">
        <v>276</v>
      </c>
      <c r="C6" s="46" t="s">
        <v>387</v>
      </c>
      <c r="D6" s="3"/>
      <c r="E6" s="46" t="n">
        <v>3</v>
      </c>
      <c r="F6" s="3"/>
    </row>
    <row r="7" customFormat="false" ht="15" hidden="false" customHeight="false" outlineLevel="0" collapsed="false">
      <c r="A7" s="3"/>
      <c r="B7" s="46" t="s">
        <v>263</v>
      </c>
      <c r="C7" s="3"/>
      <c r="D7" s="3"/>
      <c r="E7" s="46" t="n">
        <v>4</v>
      </c>
      <c r="F7" s="3"/>
    </row>
    <row r="8" customFormat="false" ht="15" hidden="false" customHeight="false" outlineLevel="0" collapsed="false">
      <c r="A8" s="3"/>
      <c r="B8" s="46" t="s">
        <v>505</v>
      </c>
      <c r="C8" s="3"/>
      <c r="D8" s="3"/>
      <c r="E8" s="46" t="n">
        <v>5</v>
      </c>
      <c r="F8" s="3"/>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2026-09-01T02:26:56Z</dcterms:created>
  <dc:creator>openpyxl</dc:creator>
  <dc:description/>
  <dc:language>en-US</dc:language>
  <cp:lastModifiedBy/>
  <dcterms:modified xsi:type="dcterms:W3CDTF">2026-09-01T02:27:04Z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